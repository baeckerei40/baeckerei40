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yi86yoj\Desktop\"/>
    </mc:Choice>
  </mc:AlternateContent>
  <bookViews>
    <workbookView xWindow="0" yWindow="0" windowWidth="28800" windowHeight="14235"/>
  </bookViews>
  <sheets>
    <sheet name="Rezepte" sheetId="1" r:id="rId1"/>
    <sheet name="Kunden" sheetId="2" r:id="rId2"/>
    <sheet name="Bestellungen" sheetId="3" r:id="rId3"/>
    <sheet name="Kalkulation" sheetId="5" r:id="rId4"/>
    <sheet name="Materialpreise" sheetId="6" r:id="rId5"/>
    <sheet name="Produktionsmenge" sheetId="8" r:id="rId6"/>
    <sheet name="Kasse" sheetId="4" r:id="rId7"/>
  </sheets>
  <definedNames>
    <definedName name="Kalkulationspreise">Kalkulation!$A$6:$C$38</definedName>
    <definedName name="Materialpreise">Materialpreise!$A$3:$C$31</definedName>
    <definedName name="Rezepte">Rezepte!$6:$1048576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7" i="4" l="1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W118" i="4"/>
  <c r="W119" i="4"/>
  <c r="W120" i="4"/>
  <c r="W121" i="4"/>
  <c r="W122" i="4"/>
  <c r="W123" i="4"/>
  <c r="W124" i="4"/>
  <c r="W125" i="4"/>
  <c r="W126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2" i="4"/>
  <c r="W153" i="4"/>
  <c r="W154" i="4"/>
  <c r="W155" i="4"/>
  <c r="W156" i="4"/>
  <c r="W157" i="4"/>
  <c r="W158" i="4"/>
  <c r="W159" i="4"/>
  <c r="W160" i="4"/>
  <c r="W161" i="4"/>
  <c r="W162" i="4"/>
  <c r="W163" i="4"/>
  <c r="W164" i="4"/>
  <c r="W165" i="4"/>
  <c r="W166" i="4"/>
  <c r="W167" i="4"/>
  <c r="W168" i="4"/>
  <c r="W169" i="4"/>
  <c r="W170" i="4"/>
  <c r="W171" i="4"/>
  <c r="W172" i="4"/>
  <c r="W173" i="4"/>
  <c r="W174" i="4"/>
  <c r="W175" i="4"/>
  <c r="W176" i="4"/>
  <c r="W177" i="4"/>
  <c r="W178" i="4"/>
  <c r="W179" i="4"/>
  <c r="W180" i="4"/>
  <c r="W181" i="4"/>
  <c r="W182" i="4"/>
  <c r="W183" i="4"/>
  <c r="W184" i="4"/>
  <c r="W185" i="4"/>
  <c r="W186" i="4"/>
  <c r="W187" i="4"/>
  <c r="W188" i="4"/>
  <c r="W189" i="4"/>
  <c r="W190" i="4"/>
  <c r="W191" i="4"/>
  <c r="W192" i="4"/>
  <c r="W193" i="4"/>
  <c r="W194" i="4"/>
  <c r="W195" i="4"/>
  <c r="W196" i="4"/>
  <c r="W197" i="4"/>
  <c r="W198" i="4"/>
  <c r="W199" i="4"/>
  <c r="W200" i="4"/>
  <c r="W201" i="4"/>
  <c r="W202" i="4"/>
  <c r="W203" i="4"/>
  <c r="W204" i="4"/>
  <c r="W205" i="4"/>
  <c r="W206" i="4"/>
  <c r="W207" i="4"/>
  <c r="W208" i="4"/>
  <c r="W209" i="4"/>
  <c r="W210" i="4"/>
  <c r="W211" i="4"/>
  <c r="W212" i="4"/>
  <c r="W213" i="4"/>
  <c r="W214" i="4"/>
  <c r="W215" i="4"/>
  <c r="W216" i="4"/>
  <c r="W217" i="4"/>
  <c r="W218" i="4"/>
  <c r="W219" i="4"/>
  <c r="W220" i="4"/>
  <c r="W221" i="4"/>
  <c r="W222" i="4"/>
  <c r="W223" i="4"/>
  <c r="W224" i="4"/>
  <c r="W225" i="4"/>
  <c r="W226" i="4"/>
  <c r="W227" i="4"/>
  <c r="W228" i="4"/>
  <c r="W229" i="4"/>
  <c r="W230" i="4"/>
  <c r="W231" i="4"/>
  <c r="W232" i="4"/>
  <c r="W233" i="4"/>
  <c r="W234" i="4"/>
  <c r="W235" i="4"/>
  <c r="W236" i="4"/>
  <c r="W237" i="4"/>
  <c r="W238" i="4"/>
  <c r="W239" i="4"/>
  <c r="W240" i="4"/>
  <c r="W241" i="4"/>
  <c r="W242" i="4"/>
  <c r="W243" i="4"/>
  <c r="W244" i="4"/>
  <c r="W245" i="4"/>
  <c r="W246" i="4"/>
  <c r="W247" i="4"/>
  <c r="W248" i="4"/>
  <c r="W249" i="4"/>
  <c r="W250" i="4"/>
  <c r="W251" i="4"/>
  <c r="W252" i="4"/>
  <c r="W253" i="4"/>
  <c r="W254" i="4"/>
  <c r="W255" i="4"/>
  <c r="W256" i="4"/>
  <c r="W257" i="4"/>
  <c r="W258" i="4"/>
  <c r="W259" i="4"/>
  <c r="W260" i="4"/>
  <c r="W261" i="4"/>
  <c r="W262" i="4"/>
  <c r="W263" i="4"/>
  <c r="W264" i="4"/>
  <c r="W265" i="4"/>
  <c r="W266" i="4"/>
  <c r="W267" i="4"/>
  <c r="W268" i="4"/>
  <c r="W269" i="4"/>
  <c r="W270" i="4"/>
  <c r="W271" i="4"/>
  <c r="W272" i="4"/>
  <c r="W273" i="4"/>
  <c r="W274" i="4"/>
  <c r="W275" i="4"/>
  <c r="W276" i="4"/>
  <c r="W277" i="4"/>
  <c r="W278" i="4"/>
  <c r="W279" i="4"/>
  <c r="W280" i="4"/>
  <c r="W281" i="4"/>
  <c r="W282" i="4"/>
  <c r="W283" i="4"/>
  <c r="W284" i="4"/>
  <c r="W285" i="4"/>
  <c r="W286" i="4"/>
  <c r="W287" i="4"/>
  <c r="W288" i="4"/>
  <c r="W289" i="4"/>
  <c r="W290" i="4"/>
  <c r="W291" i="4"/>
  <c r="W292" i="4"/>
  <c r="W293" i="4"/>
  <c r="W294" i="4"/>
  <c r="W295" i="4"/>
  <c r="W296" i="4"/>
  <c r="W297" i="4"/>
  <c r="W298" i="4"/>
  <c r="W299" i="4"/>
  <c r="W300" i="4"/>
  <c r="W301" i="4"/>
  <c r="W302" i="4"/>
  <c r="W303" i="4"/>
  <c r="W304" i="4"/>
  <c r="W305" i="4"/>
  <c r="W306" i="4"/>
  <c r="W307" i="4"/>
  <c r="W308" i="4"/>
  <c r="W309" i="4"/>
  <c r="W310" i="4"/>
  <c r="W311" i="4"/>
  <c r="W312" i="4"/>
  <c r="W313" i="4"/>
  <c r="W314" i="4"/>
  <c r="W315" i="4"/>
  <c r="W316" i="4"/>
  <c r="W317" i="4"/>
  <c r="A7" i="4"/>
  <c r="A8" i="4"/>
  <c r="A9" i="4"/>
  <c r="A10" i="4"/>
  <c r="A11" i="4"/>
  <c r="U221" i="4"/>
  <c r="U222" i="4"/>
  <c r="U223" i="4"/>
  <c r="U224" i="4"/>
  <c r="U225" i="4"/>
  <c r="U226" i="4"/>
  <c r="U227" i="4"/>
  <c r="U228" i="4"/>
  <c r="U229" i="4"/>
  <c r="U230" i="4"/>
  <c r="U231" i="4"/>
  <c r="U232" i="4"/>
  <c r="U233" i="4"/>
  <c r="U234" i="4"/>
  <c r="U235" i="4"/>
  <c r="U236" i="4"/>
  <c r="U237" i="4"/>
  <c r="U238" i="4"/>
  <c r="U239" i="4"/>
  <c r="U240" i="4"/>
  <c r="U241" i="4"/>
  <c r="U242" i="4"/>
  <c r="U243" i="4"/>
  <c r="U244" i="4"/>
  <c r="U245" i="4"/>
  <c r="U246" i="4"/>
  <c r="U247" i="4"/>
  <c r="U248" i="4"/>
  <c r="U249" i="4"/>
  <c r="U250" i="4"/>
  <c r="U251" i="4"/>
  <c r="U252" i="4"/>
  <c r="U253" i="4"/>
  <c r="U254" i="4"/>
  <c r="U255" i="4"/>
  <c r="U256" i="4"/>
  <c r="U257" i="4"/>
  <c r="U258" i="4"/>
  <c r="U259" i="4"/>
  <c r="U260" i="4"/>
  <c r="U261" i="4"/>
  <c r="U262" i="4"/>
  <c r="U263" i="4"/>
  <c r="U264" i="4"/>
  <c r="U265" i="4"/>
  <c r="U266" i="4"/>
  <c r="U267" i="4"/>
  <c r="U268" i="4"/>
  <c r="U269" i="4"/>
  <c r="U270" i="4"/>
  <c r="U271" i="4"/>
  <c r="U272" i="4"/>
  <c r="U273" i="4"/>
  <c r="U274" i="4"/>
  <c r="U275" i="4"/>
  <c r="U276" i="4"/>
  <c r="U277" i="4"/>
  <c r="U278" i="4"/>
  <c r="U279" i="4"/>
  <c r="U280" i="4"/>
  <c r="U281" i="4"/>
  <c r="U282" i="4"/>
  <c r="U283" i="4"/>
  <c r="U284" i="4"/>
  <c r="U285" i="4"/>
  <c r="U286" i="4"/>
  <c r="U287" i="4"/>
  <c r="U288" i="4"/>
  <c r="U289" i="4"/>
  <c r="U290" i="4"/>
  <c r="U291" i="4"/>
  <c r="U292" i="4"/>
  <c r="U293" i="4"/>
  <c r="U294" i="4"/>
  <c r="U295" i="4"/>
  <c r="U296" i="4"/>
  <c r="U297" i="4"/>
  <c r="U298" i="4"/>
  <c r="U299" i="4"/>
  <c r="U300" i="4"/>
  <c r="U301" i="4"/>
  <c r="U302" i="4"/>
  <c r="U303" i="4"/>
  <c r="U304" i="4"/>
  <c r="U305" i="4"/>
  <c r="U306" i="4"/>
  <c r="U307" i="4"/>
  <c r="U308" i="4"/>
  <c r="U309" i="4"/>
  <c r="U310" i="4"/>
  <c r="U311" i="4"/>
  <c r="U312" i="4"/>
  <c r="U313" i="4"/>
  <c r="U314" i="4"/>
  <c r="U315" i="4"/>
  <c r="U316" i="4"/>
  <c r="U317" i="4"/>
  <c r="U318" i="4"/>
  <c r="U319" i="4"/>
  <c r="U320" i="4"/>
  <c r="U321" i="4"/>
  <c r="U322" i="4"/>
  <c r="U323" i="4"/>
  <c r="U324" i="4"/>
  <c r="U325" i="4"/>
  <c r="U326" i="4"/>
  <c r="U327" i="4"/>
  <c r="U328" i="4"/>
  <c r="U329" i="4"/>
  <c r="U330" i="4"/>
  <c r="U331" i="4"/>
  <c r="U332" i="4"/>
  <c r="U333" i="4"/>
  <c r="U334" i="4"/>
  <c r="U335" i="4"/>
  <c r="U336" i="4"/>
  <c r="U337" i="4"/>
  <c r="U338" i="4"/>
  <c r="U339" i="4"/>
  <c r="U340" i="4"/>
  <c r="U341" i="4"/>
  <c r="U342" i="4"/>
  <c r="U343" i="4"/>
  <c r="U344" i="4"/>
  <c r="U345" i="4"/>
  <c r="U346" i="4"/>
  <c r="U347" i="4"/>
  <c r="U348" i="4"/>
  <c r="U349" i="4"/>
  <c r="U350" i="4"/>
  <c r="U351" i="4"/>
  <c r="U352" i="4"/>
  <c r="U353" i="4"/>
  <c r="U354" i="4"/>
  <c r="U355" i="4"/>
  <c r="U356" i="4"/>
  <c r="U357" i="4"/>
  <c r="U358" i="4"/>
  <c r="U359" i="4"/>
  <c r="U360" i="4"/>
  <c r="U361" i="4"/>
  <c r="U362" i="4"/>
  <c r="U363" i="4"/>
  <c r="U364" i="4"/>
  <c r="U365" i="4"/>
  <c r="U366" i="4"/>
  <c r="U367" i="4"/>
  <c r="U368" i="4"/>
  <c r="U369" i="4"/>
  <c r="U370" i="4"/>
  <c r="U371" i="4"/>
  <c r="U372" i="4"/>
  <c r="U373" i="4"/>
  <c r="U374" i="4"/>
  <c r="U375" i="4"/>
  <c r="U376" i="4"/>
  <c r="U377" i="4"/>
  <c r="U378" i="4"/>
  <c r="U379" i="4"/>
  <c r="U380" i="4"/>
  <c r="U381" i="4"/>
  <c r="U382" i="4"/>
  <c r="U383" i="4"/>
  <c r="U384" i="4"/>
  <c r="U385" i="4"/>
  <c r="U386" i="4"/>
  <c r="U387" i="4"/>
  <c r="U388" i="4"/>
  <c r="U389" i="4"/>
  <c r="U390" i="4"/>
  <c r="U391" i="4"/>
  <c r="U392" i="4"/>
  <c r="U393" i="4"/>
  <c r="U394" i="4"/>
  <c r="U395" i="4"/>
  <c r="U396" i="4"/>
  <c r="U397" i="4"/>
  <c r="U398" i="4"/>
  <c r="U399" i="4"/>
  <c r="U400" i="4"/>
  <c r="U401" i="4"/>
  <c r="U402" i="4"/>
  <c r="U403" i="4"/>
  <c r="U404" i="4"/>
  <c r="U405" i="4"/>
  <c r="U406" i="4"/>
  <c r="U407" i="4"/>
  <c r="U408" i="4"/>
  <c r="U409" i="4"/>
  <c r="U410" i="4"/>
  <c r="U411" i="4"/>
  <c r="U412" i="4"/>
  <c r="U413" i="4"/>
  <c r="U414" i="4"/>
  <c r="U415" i="4"/>
  <c r="B30" i="5"/>
  <c r="B31" i="5"/>
  <c r="C31" i="5" s="1"/>
  <c r="B32" i="5"/>
  <c r="C32" i="5" s="1"/>
  <c r="B33" i="5"/>
  <c r="C33" i="5" s="1"/>
  <c r="B34" i="5"/>
  <c r="B35" i="5"/>
  <c r="C35" i="5" s="1"/>
  <c r="B36" i="5"/>
  <c r="C36" i="5" s="1"/>
  <c r="B37" i="5"/>
  <c r="C37" i="5" s="1"/>
  <c r="B38" i="5"/>
  <c r="C34" i="5"/>
  <c r="C38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6" i="5"/>
  <c r="A12" i="4" l="1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6" i="4"/>
  <c r="Q5" i="4"/>
  <c r="R5" i="4"/>
  <c r="S5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B5" i="4"/>
  <c r="D214" i="4" l="1"/>
  <c r="H214" i="4"/>
  <c r="L214" i="4"/>
  <c r="P214" i="4"/>
  <c r="T214" i="4"/>
  <c r="E214" i="4"/>
  <c r="I214" i="4"/>
  <c r="M214" i="4"/>
  <c r="Q214" i="4"/>
  <c r="B214" i="4"/>
  <c r="F214" i="4"/>
  <c r="J214" i="4"/>
  <c r="N214" i="4"/>
  <c r="R214" i="4"/>
  <c r="C214" i="4"/>
  <c r="S214" i="4"/>
  <c r="G214" i="4"/>
  <c r="O214" i="4"/>
  <c r="K214" i="4"/>
  <c r="D202" i="4"/>
  <c r="H202" i="4"/>
  <c r="L202" i="4"/>
  <c r="P202" i="4"/>
  <c r="T202" i="4"/>
  <c r="C202" i="4"/>
  <c r="S202" i="4"/>
  <c r="E202" i="4"/>
  <c r="I202" i="4"/>
  <c r="M202" i="4"/>
  <c r="Q202" i="4"/>
  <c r="K202" i="4"/>
  <c r="B202" i="4"/>
  <c r="F202" i="4"/>
  <c r="J202" i="4"/>
  <c r="N202" i="4"/>
  <c r="R202" i="4"/>
  <c r="G202" i="4"/>
  <c r="O202" i="4"/>
  <c r="D190" i="4"/>
  <c r="H190" i="4"/>
  <c r="L190" i="4"/>
  <c r="P190" i="4"/>
  <c r="T190" i="4"/>
  <c r="K190" i="4"/>
  <c r="S190" i="4"/>
  <c r="E190" i="4"/>
  <c r="I190" i="4"/>
  <c r="M190" i="4"/>
  <c r="Q190" i="4"/>
  <c r="G190" i="4"/>
  <c r="B190" i="4"/>
  <c r="F190" i="4"/>
  <c r="J190" i="4"/>
  <c r="N190" i="4"/>
  <c r="R190" i="4"/>
  <c r="C190" i="4"/>
  <c r="O190" i="4"/>
  <c r="E178" i="4"/>
  <c r="I178" i="4"/>
  <c r="M178" i="4"/>
  <c r="Q178" i="4"/>
  <c r="B178" i="4"/>
  <c r="F178" i="4"/>
  <c r="J178" i="4"/>
  <c r="N178" i="4"/>
  <c r="R178" i="4"/>
  <c r="C178" i="4"/>
  <c r="G178" i="4"/>
  <c r="K178" i="4"/>
  <c r="O178" i="4"/>
  <c r="S178" i="4"/>
  <c r="D178" i="4"/>
  <c r="T178" i="4"/>
  <c r="H178" i="4"/>
  <c r="P178" i="4"/>
  <c r="L178" i="4"/>
  <c r="E166" i="4"/>
  <c r="I166" i="4"/>
  <c r="M166" i="4"/>
  <c r="Q166" i="4"/>
  <c r="B166" i="4"/>
  <c r="F166" i="4"/>
  <c r="J166" i="4"/>
  <c r="N166" i="4"/>
  <c r="R166" i="4"/>
  <c r="C166" i="4"/>
  <c r="G166" i="4"/>
  <c r="K166" i="4"/>
  <c r="O166" i="4"/>
  <c r="S166" i="4"/>
  <c r="H166" i="4"/>
  <c r="D166" i="4"/>
  <c r="L166" i="4"/>
  <c r="T166" i="4"/>
  <c r="P166" i="4"/>
  <c r="E154" i="4"/>
  <c r="I154" i="4"/>
  <c r="M154" i="4"/>
  <c r="Q154" i="4"/>
  <c r="B154" i="4"/>
  <c r="F154" i="4"/>
  <c r="J154" i="4"/>
  <c r="N154" i="4"/>
  <c r="R154" i="4"/>
  <c r="C154" i="4"/>
  <c r="G154" i="4"/>
  <c r="K154" i="4"/>
  <c r="O154" i="4"/>
  <c r="S154" i="4"/>
  <c r="L154" i="4"/>
  <c r="P154" i="4"/>
  <c r="H154" i="4"/>
  <c r="D154" i="4"/>
  <c r="T154" i="4"/>
  <c r="B142" i="4"/>
  <c r="F142" i="4"/>
  <c r="J142" i="4"/>
  <c r="N142" i="4"/>
  <c r="R142" i="4"/>
  <c r="E142" i="4"/>
  <c r="K142" i="4"/>
  <c r="P142" i="4"/>
  <c r="G142" i="4"/>
  <c r="L142" i="4"/>
  <c r="Q142" i="4"/>
  <c r="C142" i="4"/>
  <c r="H142" i="4"/>
  <c r="M142" i="4"/>
  <c r="S142" i="4"/>
  <c r="I142" i="4"/>
  <c r="D142" i="4"/>
  <c r="O142" i="4"/>
  <c r="T142" i="4"/>
  <c r="B130" i="4"/>
  <c r="F130" i="4"/>
  <c r="J130" i="4"/>
  <c r="N130" i="4"/>
  <c r="R130" i="4"/>
  <c r="D130" i="4"/>
  <c r="I130" i="4"/>
  <c r="O130" i="4"/>
  <c r="T130" i="4"/>
  <c r="E130" i="4"/>
  <c r="K130" i="4"/>
  <c r="P130" i="4"/>
  <c r="G130" i="4"/>
  <c r="L130" i="4"/>
  <c r="Q130" i="4"/>
  <c r="C130" i="4"/>
  <c r="H130" i="4"/>
  <c r="M130" i="4"/>
  <c r="S130" i="4"/>
  <c r="B118" i="4"/>
  <c r="F118" i="4"/>
  <c r="J118" i="4"/>
  <c r="N118" i="4"/>
  <c r="R118" i="4"/>
  <c r="C118" i="4"/>
  <c r="G118" i="4"/>
  <c r="K118" i="4"/>
  <c r="O118" i="4"/>
  <c r="S118" i="4"/>
  <c r="I118" i="4"/>
  <c r="Q118" i="4"/>
  <c r="D118" i="4"/>
  <c r="L118" i="4"/>
  <c r="T118" i="4"/>
  <c r="E118" i="4"/>
  <c r="M118" i="4"/>
  <c r="P118" i="4"/>
  <c r="H118" i="4"/>
  <c r="B106" i="4"/>
  <c r="F106" i="4"/>
  <c r="J106" i="4"/>
  <c r="N106" i="4"/>
  <c r="R106" i="4"/>
  <c r="C106" i="4"/>
  <c r="G106" i="4"/>
  <c r="K106" i="4"/>
  <c r="O106" i="4"/>
  <c r="S106" i="4"/>
  <c r="E106" i="4"/>
  <c r="M106" i="4"/>
  <c r="H106" i="4"/>
  <c r="P106" i="4"/>
  <c r="I106" i="4"/>
  <c r="Q106" i="4"/>
  <c r="T106" i="4"/>
  <c r="D106" i="4"/>
  <c r="L106" i="4"/>
  <c r="B94" i="4"/>
  <c r="F94" i="4"/>
  <c r="J94" i="4"/>
  <c r="N94" i="4"/>
  <c r="R94" i="4"/>
  <c r="C94" i="4"/>
  <c r="G94" i="4"/>
  <c r="K94" i="4"/>
  <c r="O94" i="4"/>
  <c r="S94" i="4"/>
  <c r="D94" i="4"/>
  <c r="L94" i="4"/>
  <c r="T94" i="4"/>
  <c r="E94" i="4"/>
  <c r="M94" i="4"/>
  <c r="I94" i="4"/>
  <c r="P94" i="4"/>
  <c r="Q94" i="4"/>
  <c r="H94" i="4"/>
  <c r="B82" i="4"/>
  <c r="F82" i="4"/>
  <c r="J82" i="4"/>
  <c r="N82" i="4"/>
  <c r="R82" i="4"/>
  <c r="C82" i="4"/>
  <c r="G82" i="4"/>
  <c r="K82" i="4"/>
  <c r="O82" i="4"/>
  <c r="S82" i="4"/>
  <c r="H82" i="4"/>
  <c r="P82" i="4"/>
  <c r="I82" i="4"/>
  <c r="Q82" i="4"/>
  <c r="M82" i="4"/>
  <c r="D82" i="4"/>
  <c r="T82" i="4"/>
  <c r="E82" i="4"/>
  <c r="L82" i="4"/>
  <c r="D66" i="4"/>
  <c r="H66" i="4"/>
  <c r="L66" i="4"/>
  <c r="P66" i="4"/>
  <c r="T66" i="4"/>
  <c r="E66" i="4"/>
  <c r="I66" i="4"/>
  <c r="M66" i="4"/>
  <c r="Q66" i="4"/>
  <c r="B66" i="4"/>
  <c r="F66" i="4"/>
  <c r="J66" i="4"/>
  <c r="N66" i="4"/>
  <c r="R66" i="4"/>
  <c r="C66" i="4"/>
  <c r="S66" i="4"/>
  <c r="G66" i="4"/>
  <c r="K66" i="4"/>
  <c r="O66" i="4"/>
  <c r="D50" i="4"/>
  <c r="H50" i="4"/>
  <c r="L50" i="4"/>
  <c r="P50" i="4"/>
  <c r="T50" i="4"/>
  <c r="E50" i="4"/>
  <c r="I50" i="4"/>
  <c r="M50" i="4"/>
  <c r="Q50" i="4"/>
  <c r="B50" i="4"/>
  <c r="F50" i="4"/>
  <c r="J50" i="4"/>
  <c r="N50" i="4"/>
  <c r="R50" i="4"/>
  <c r="C50" i="4"/>
  <c r="S50" i="4"/>
  <c r="G50" i="4"/>
  <c r="K50" i="4"/>
  <c r="O50" i="4"/>
  <c r="C18" i="4"/>
  <c r="G18" i="4"/>
  <c r="K18" i="4"/>
  <c r="O18" i="4"/>
  <c r="S18" i="4"/>
  <c r="E18" i="4"/>
  <c r="I18" i="4"/>
  <c r="M18" i="4"/>
  <c r="Q18" i="4"/>
  <c r="H18" i="4"/>
  <c r="P18" i="4"/>
  <c r="B18" i="4"/>
  <c r="J18" i="4"/>
  <c r="R18" i="4"/>
  <c r="D18" i="4"/>
  <c r="L18" i="4"/>
  <c r="T18" i="4"/>
  <c r="N18" i="4"/>
  <c r="F18" i="4"/>
  <c r="C213" i="4"/>
  <c r="G213" i="4"/>
  <c r="K213" i="4"/>
  <c r="O213" i="4"/>
  <c r="S213" i="4"/>
  <c r="D213" i="4"/>
  <c r="H213" i="4"/>
  <c r="L213" i="4"/>
  <c r="P213" i="4"/>
  <c r="T213" i="4"/>
  <c r="E213" i="4"/>
  <c r="I213" i="4"/>
  <c r="M213" i="4"/>
  <c r="Q213" i="4"/>
  <c r="F213" i="4"/>
  <c r="B213" i="4"/>
  <c r="J213" i="4"/>
  <c r="N213" i="4"/>
  <c r="R213" i="4"/>
  <c r="C201" i="4"/>
  <c r="G201" i="4"/>
  <c r="K201" i="4"/>
  <c r="O201" i="4"/>
  <c r="S201" i="4"/>
  <c r="B201" i="4"/>
  <c r="N201" i="4"/>
  <c r="D201" i="4"/>
  <c r="H201" i="4"/>
  <c r="L201" i="4"/>
  <c r="P201" i="4"/>
  <c r="T201" i="4"/>
  <c r="F201" i="4"/>
  <c r="R201" i="4"/>
  <c r="E201" i="4"/>
  <c r="I201" i="4"/>
  <c r="M201" i="4"/>
  <c r="Q201" i="4"/>
  <c r="J201" i="4"/>
  <c r="C193" i="4"/>
  <c r="G193" i="4"/>
  <c r="K193" i="4"/>
  <c r="O193" i="4"/>
  <c r="S193" i="4"/>
  <c r="N193" i="4"/>
  <c r="D193" i="4"/>
  <c r="H193" i="4"/>
  <c r="L193" i="4"/>
  <c r="P193" i="4"/>
  <c r="T193" i="4"/>
  <c r="F193" i="4"/>
  <c r="R193" i="4"/>
  <c r="E193" i="4"/>
  <c r="I193" i="4"/>
  <c r="M193" i="4"/>
  <c r="Q193" i="4"/>
  <c r="B193" i="4"/>
  <c r="J193" i="4"/>
  <c r="C185" i="4"/>
  <c r="G185" i="4"/>
  <c r="K185" i="4"/>
  <c r="O185" i="4"/>
  <c r="S185" i="4"/>
  <c r="N185" i="4"/>
  <c r="D185" i="4"/>
  <c r="H185" i="4"/>
  <c r="L185" i="4"/>
  <c r="P185" i="4"/>
  <c r="T185" i="4"/>
  <c r="J185" i="4"/>
  <c r="E185" i="4"/>
  <c r="I185" i="4"/>
  <c r="M185" i="4"/>
  <c r="Q185" i="4"/>
  <c r="B185" i="4"/>
  <c r="F185" i="4"/>
  <c r="R185" i="4"/>
  <c r="D177" i="4"/>
  <c r="H177" i="4"/>
  <c r="L177" i="4"/>
  <c r="P177" i="4"/>
  <c r="T177" i="4"/>
  <c r="E177" i="4"/>
  <c r="I177" i="4"/>
  <c r="M177" i="4"/>
  <c r="Q177" i="4"/>
  <c r="B177" i="4"/>
  <c r="F177" i="4"/>
  <c r="J177" i="4"/>
  <c r="N177" i="4"/>
  <c r="R177" i="4"/>
  <c r="G177" i="4"/>
  <c r="C177" i="4"/>
  <c r="K177" i="4"/>
  <c r="O177" i="4"/>
  <c r="S177" i="4"/>
  <c r="D169" i="4"/>
  <c r="H169" i="4"/>
  <c r="L169" i="4"/>
  <c r="P169" i="4"/>
  <c r="T169" i="4"/>
  <c r="E169" i="4"/>
  <c r="I169" i="4"/>
  <c r="M169" i="4"/>
  <c r="Q169" i="4"/>
  <c r="B169" i="4"/>
  <c r="F169" i="4"/>
  <c r="J169" i="4"/>
  <c r="N169" i="4"/>
  <c r="R169" i="4"/>
  <c r="O169" i="4"/>
  <c r="C169" i="4"/>
  <c r="S169" i="4"/>
  <c r="K169" i="4"/>
  <c r="G169" i="4"/>
  <c r="D161" i="4"/>
  <c r="H161" i="4"/>
  <c r="L161" i="4"/>
  <c r="P161" i="4"/>
  <c r="T161" i="4"/>
  <c r="E161" i="4"/>
  <c r="I161" i="4"/>
  <c r="M161" i="4"/>
  <c r="Q161" i="4"/>
  <c r="B161" i="4"/>
  <c r="F161" i="4"/>
  <c r="J161" i="4"/>
  <c r="N161" i="4"/>
  <c r="R161" i="4"/>
  <c r="G161" i="4"/>
  <c r="C161" i="4"/>
  <c r="K161" i="4"/>
  <c r="O161" i="4"/>
  <c r="S161" i="4"/>
  <c r="E153" i="4"/>
  <c r="I153" i="4"/>
  <c r="M153" i="4"/>
  <c r="Q153" i="4"/>
  <c r="D153" i="4"/>
  <c r="J153" i="4"/>
  <c r="O153" i="4"/>
  <c r="T153" i="4"/>
  <c r="F153" i="4"/>
  <c r="K153" i="4"/>
  <c r="P153" i="4"/>
  <c r="B153" i="4"/>
  <c r="G153" i="4"/>
  <c r="L153" i="4"/>
  <c r="R153" i="4"/>
  <c r="N153" i="4"/>
  <c r="S153" i="4"/>
  <c r="C153" i="4"/>
  <c r="H153" i="4"/>
  <c r="E141" i="4"/>
  <c r="I141" i="4"/>
  <c r="M141" i="4"/>
  <c r="Q141" i="4"/>
  <c r="C141" i="4"/>
  <c r="H141" i="4"/>
  <c r="N141" i="4"/>
  <c r="S141" i="4"/>
  <c r="D141" i="4"/>
  <c r="J141" i="4"/>
  <c r="O141" i="4"/>
  <c r="T141" i="4"/>
  <c r="F141" i="4"/>
  <c r="K141" i="4"/>
  <c r="P141" i="4"/>
  <c r="G141" i="4"/>
  <c r="L141" i="4"/>
  <c r="R141" i="4"/>
  <c r="B141" i="4"/>
  <c r="E109" i="4"/>
  <c r="I109" i="4"/>
  <c r="M109" i="4"/>
  <c r="Q109" i="4"/>
  <c r="B109" i="4"/>
  <c r="F109" i="4"/>
  <c r="J109" i="4"/>
  <c r="N109" i="4"/>
  <c r="R109" i="4"/>
  <c r="D109" i="4"/>
  <c r="L109" i="4"/>
  <c r="T109" i="4"/>
  <c r="G109" i="4"/>
  <c r="O109" i="4"/>
  <c r="H109" i="4"/>
  <c r="P109" i="4"/>
  <c r="C109" i="4"/>
  <c r="S109" i="4"/>
  <c r="K109" i="4"/>
  <c r="D206" i="4"/>
  <c r="H206" i="4"/>
  <c r="L206" i="4"/>
  <c r="P206" i="4"/>
  <c r="T206" i="4"/>
  <c r="E206" i="4"/>
  <c r="I206" i="4"/>
  <c r="M206" i="4"/>
  <c r="Q206" i="4"/>
  <c r="B206" i="4"/>
  <c r="F206" i="4"/>
  <c r="J206" i="4"/>
  <c r="N206" i="4"/>
  <c r="R206" i="4"/>
  <c r="K206" i="4"/>
  <c r="O206" i="4"/>
  <c r="C206" i="4"/>
  <c r="S206" i="4"/>
  <c r="G206" i="4"/>
  <c r="D198" i="4"/>
  <c r="H198" i="4"/>
  <c r="L198" i="4"/>
  <c r="P198" i="4"/>
  <c r="T198" i="4"/>
  <c r="G198" i="4"/>
  <c r="E198" i="4"/>
  <c r="I198" i="4"/>
  <c r="M198" i="4"/>
  <c r="Q198" i="4"/>
  <c r="C198" i="4"/>
  <c r="O198" i="4"/>
  <c r="B198" i="4"/>
  <c r="F198" i="4"/>
  <c r="J198" i="4"/>
  <c r="N198" i="4"/>
  <c r="R198" i="4"/>
  <c r="K198" i="4"/>
  <c r="S198" i="4"/>
  <c r="E182" i="4"/>
  <c r="B182" i="4"/>
  <c r="F182" i="4"/>
  <c r="C182" i="4"/>
  <c r="G182" i="4"/>
  <c r="H182" i="4"/>
  <c r="L182" i="4"/>
  <c r="P182" i="4"/>
  <c r="T182" i="4"/>
  <c r="K182" i="4"/>
  <c r="I182" i="4"/>
  <c r="M182" i="4"/>
  <c r="Q182" i="4"/>
  <c r="D182" i="4"/>
  <c r="S182" i="4"/>
  <c r="J182" i="4"/>
  <c r="N182" i="4"/>
  <c r="R182" i="4"/>
  <c r="O182" i="4"/>
  <c r="E170" i="4"/>
  <c r="I170" i="4"/>
  <c r="M170" i="4"/>
  <c r="Q170" i="4"/>
  <c r="B170" i="4"/>
  <c r="F170" i="4"/>
  <c r="J170" i="4"/>
  <c r="N170" i="4"/>
  <c r="R170" i="4"/>
  <c r="C170" i="4"/>
  <c r="G170" i="4"/>
  <c r="K170" i="4"/>
  <c r="O170" i="4"/>
  <c r="S170" i="4"/>
  <c r="L170" i="4"/>
  <c r="H170" i="4"/>
  <c r="P170" i="4"/>
  <c r="D170" i="4"/>
  <c r="T170" i="4"/>
  <c r="E158" i="4"/>
  <c r="I158" i="4"/>
  <c r="M158" i="4"/>
  <c r="Q158" i="4"/>
  <c r="B158" i="4"/>
  <c r="F158" i="4"/>
  <c r="J158" i="4"/>
  <c r="N158" i="4"/>
  <c r="R158" i="4"/>
  <c r="C158" i="4"/>
  <c r="G158" i="4"/>
  <c r="K158" i="4"/>
  <c r="O158" i="4"/>
  <c r="S158" i="4"/>
  <c r="P158" i="4"/>
  <c r="L158" i="4"/>
  <c r="D158" i="4"/>
  <c r="T158" i="4"/>
  <c r="H158" i="4"/>
  <c r="B146" i="4"/>
  <c r="F146" i="4"/>
  <c r="J146" i="4"/>
  <c r="N146" i="4"/>
  <c r="R146" i="4"/>
  <c r="D146" i="4"/>
  <c r="I146" i="4"/>
  <c r="O146" i="4"/>
  <c r="T146" i="4"/>
  <c r="E146" i="4"/>
  <c r="K146" i="4"/>
  <c r="P146" i="4"/>
  <c r="G146" i="4"/>
  <c r="L146" i="4"/>
  <c r="Q146" i="4"/>
  <c r="S146" i="4"/>
  <c r="C146" i="4"/>
  <c r="M146" i="4"/>
  <c r="H146" i="4"/>
  <c r="B134" i="4"/>
  <c r="F134" i="4"/>
  <c r="J134" i="4"/>
  <c r="N134" i="4"/>
  <c r="R134" i="4"/>
  <c r="C134" i="4"/>
  <c r="H134" i="4"/>
  <c r="M134" i="4"/>
  <c r="S134" i="4"/>
  <c r="D134" i="4"/>
  <c r="I134" i="4"/>
  <c r="O134" i="4"/>
  <c r="T134" i="4"/>
  <c r="E134" i="4"/>
  <c r="K134" i="4"/>
  <c r="P134" i="4"/>
  <c r="L134" i="4"/>
  <c r="Q134" i="4"/>
  <c r="G134" i="4"/>
  <c r="B122" i="4"/>
  <c r="F122" i="4"/>
  <c r="J122" i="4"/>
  <c r="N122" i="4"/>
  <c r="R122" i="4"/>
  <c r="G122" i="4"/>
  <c r="L122" i="4"/>
  <c r="Q122" i="4"/>
  <c r="C122" i="4"/>
  <c r="H122" i="4"/>
  <c r="M122" i="4"/>
  <c r="S122" i="4"/>
  <c r="D122" i="4"/>
  <c r="I122" i="4"/>
  <c r="O122" i="4"/>
  <c r="T122" i="4"/>
  <c r="E122" i="4"/>
  <c r="K122" i="4"/>
  <c r="P122" i="4"/>
  <c r="B114" i="4"/>
  <c r="F114" i="4"/>
  <c r="J114" i="4"/>
  <c r="N114" i="4"/>
  <c r="R114" i="4"/>
  <c r="C114" i="4"/>
  <c r="G114" i="4"/>
  <c r="K114" i="4"/>
  <c r="O114" i="4"/>
  <c r="S114" i="4"/>
  <c r="E114" i="4"/>
  <c r="M114" i="4"/>
  <c r="H114" i="4"/>
  <c r="P114" i="4"/>
  <c r="I114" i="4"/>
  <c r="Q114" i="4"/>
  <c r="D114" i="4"/>
  <c r="T114" i="4"/>
  <c r="L114" i="4"/>
  <c r="B102" i="4"/>
  <c r="F102" i="4"/>
  <c r="J102" i="4"/>
  <c r="N102" i="4"/>
  <c r="R102" i="4"/>
  <c r="C102" i="4"/>
  <c r="G102" i="4"/>
  <c r="K102" i="4"/>
  <c r="O102" i="4"/>
  <c r="S102" i="4"/>
  <c r="I102" i="4"/>
  <c r="Q102" i="4"/>
  <c r="D102" i="4"/>
  <c r="L102" i="4"/>
  <c r="T102" i="4"/>
  <c r="E102" i="4"/>
  <c r="M102" i="4"/>
  <c r="H102" i="4"/>
  <c r="P102" i="4"/>
  <c r="B90" i="4"/>
  <c r="F90" i="4"/>
  <c r="J90" i="4"/>
  <c r="N90" i="4"/>
  <c r="R90" i="4"/>
  <c r="C90" i="4"/>
  <c r="G90" i="4"/>
  <c r="K90" i="4"/>
  <c r="O90" i="4"/>
  <c r="S90" i="4"/>
  <c r="H90" i="4"/>
  <c r="P90" i="4"/>
  <c r="I90" i="4"/>
  <c r="Q90" i="4"/>
  <c r="E90" i="4"/>
  <c r="L90" i="4"/>
  <c r="M90" i="4"/>
  <c r="D90" i="4"/>
  <c r="T90" i="4"/>
  <c r="B78" i="4"/>
  <c r="F78" i="4"/>
  <c r="J78" i="4"/>
  <c r="N78" i="4"/>
  <c r="R78" i="4"/>
  <c r="C78" i="4"/>
  <c r="G78" i="4"/>
  <c r="K78" i="4"/>
  <c r="O78" i="4"/>
  <c r="S78" i="4"/>
  <c r="D78" i="4"/>
  <c r="L78" i="4"/>
  <c r="T78" i="4"/>
  <c r="E78" i="4"/>
  <c r="M78" i="4"/>
  <c r="I78" i="4"/>
  <c r="P78" i="4"/>
  <c r="Q78" i="4"/>
  <c r="H78" i="4"/>
  <c r="D70" i="4"/>
  <c r="H70" i="4"/>
  <c r="E70" i="4"/>
  <c r="I70" i="4"/>
  <c r="M70" i="4"/>
  <c r="Q70" i="4"/>
  <c r="B70" i="4"/>
  <c r="F70" i="4"/>
  <c r="J70" i="4"/>
  <c r="N70" i="4"/>
  <c r="R70" i="4"/>
  <c r="G70" i="4"/>
  <c r="P70" i="4"/>
  <c r="K70" i="4"/>
  <c r="S70" i="4"/>
  <c r="L70" i="4"/>
  <c r="O70" i="4"/>
  <c r="C70" i="4"/>
  <c r="T70" i="4"/>
  <c r="D58" i="4"/>
  <c r="H58" i="4"/>
  <c r="L58" i="4"/>
  <c r="P58" i="4"/>
  <c r="T58" i="4"/>
  <c r="E58" i="4"/>
  <c r="I58" i="4"/>
  <c r="M58" i="4"/>
  <c r="Q58" i="4"/>
  <c r="B58" i="4"/>
  <c r="F58" i="4"/>
  <c r="J58" i="4"/>
  <c r="N58" i="4"/>
  <c r="R58" i="4"/>
  <c r="K58" i="4"/>
  <c r="O58" i="4"/>
  <c r="S58" i="4"/>
  <c r="C58" i="4"/>
  <c r="G58" i="4"/>
  <c r="B46" i="4"/>
  <c r="F46" i="4"/>
  <c r="J46" i="4"/>
  <c r="N46" i="4"/>
  <c r="R46" i="4"/>
  <c r="C46" i="4"/>
  <c r="G46" i="4"/>
  <c r="K46" i="4"/>
  <c r="O46" i="4"/>
  <c r="S46" i="4"/>
  <c r="I46" i="4"/>
  <c r="Q46" i="4"/>
  <c r="D46" i="4"/>
  <c r="L46" i="4"/>
  <c r="T46" i="4"/>
  <c r="E46" i="4"/>
  <c r="M46" i="4"/>
  <c r="H46" i="4"/>
  <c r="P46" i="4"/>
  <c r="B38" i="4"/>
  <c r="F38" i="4"/>
  <c r="J38" i="4"/>
  <c r="N38" i="4"/>
  <c r="R38" i="4"/>
  <c r="C38" i="4"/>
  <c r="G38" i="4"/>
  <c r="K38" i="4"/>
  <c r="O38" i="4"/>
  <c r="S38" i="4"/>
  <c r="I38" i="4"/>
  <c r="Q38" i="4"/>
  <c r="D38" i="4"/>
  <c r="L38" i="4"/>
  <c r="T38" i="4"/>
  <c r="E38" i="4"/>
  <c r="M38" i="4"/>
  <c r="H38" i="4"/>
  <c r="P38" i="4"/>
  <c r="C30" i="4"/>
  <c r="G30" i="4"/>
  <c r="K30" i="4"/>
  <c r="O30" i="4"/>
  <c r="S30" i="4"/>
  <c r="D30" i="4"/>
  <c r="H30" i="4"/>
  <c r="L30" i="4"/>
  <c r="P30" i="4"/>
  <c r="T30" i="4"/>
  <c r="E30" i="4"/>
  <c r="I30" i="4"/>
  <c r="M30" i="4"/>
  <c r="Q30" i="4"/>
  <c r="J30" i="4"/>
  <c r="N30" i="4"/>
  <c r="B30" i="4"/>
  <c r="F30" i="4"/>
  <c r="R30" i="4"/>
  <c r="C22" i="4"/>
  <c r="G22" i="4"/>
  <c r="K22" i="4"/>
  <c r="O22" i="4"/>
  <c r="S22" i="4"/>
  <c r="E22" i="4"/>
  <c r="I22" i="4"/>
  <c r="D22" i="4"/>
  <c r="L22" i="4"/>
  <c r="Q22" i="4"/>
  <c r="F22" i="4"/>
  <c r="M22" i="4"/>
  <c r="R22" i="4"/>
  <c r="H22" i="4"/>
  <c r="N22" i="4"/>
  <c r="T22" i="4"/>
  <c r="B22" i="4"/>
  <c r="J22" i="4"/>
  <c r="P22" i="4"/>
  <c r="C10" i="4"/>
  <c r="G10" i="4"/>
  <c r="K10" i="4"/>
  <c r="O10" i="4"/>
  <c r="S10" i="4"/>
  <c r="D10" i="4"/>
  <c r="H10" i="4"/>
  <c r="L10" i="4"/>
  <c r="P10" i="4"/>
  <c r="T10" i="4"/>
  <c r="E10" i="4"/>
  <c r="I10" i="4"/>
  <c r="M10" i="4"/>
  <c r="Q10" i="4"/>
  <c r="N10" i="4"/>
  <c r="B10" i="4"/>
  <c r="R10" i="4"/>
  <c r="F10" i="4"/>
  <c r="J10" i="4"/>
  <c r="C217" i="4"/>
  <c r="G217" i="4"/>
  <c r="K217" i="4"/>
  <c r="O217" i="4"/>
  <c r="S217" i="4"/>
  <c r="D217" i="4"/>
  <c r="H217" i="4"/>
  <c r="L217" i="4"/>
  <c r="P217" i="4"/>
  <c r="T217" i="4"/>
  <c r="E217" i="4"/>
  <c r="I217" i="4"/>
  <c r="M217" i="4"/>
  <c r="Q217" i="4"/>
  <c r="J217" i="4"/>
  <c r="N217" i="4"/>
  <c r="F217" i="4"/>
  <c r="B217" i="4"/>
  <c r="R217" i="4"/>
  <c r="C209" i="4"/>
  <c r="G209" i="4"/>
  <c r="K209" i="4"/>
  <c r="O209" i="4"/>
  <c r="S209" i="4"/>
  <c r="D209" i="4"/>
  <c r="H209" i="4"/>
  <c r="L209" i="4"/>
  <c r="P209" i="4"/>
  <c r="T209" i="4"/>
  <c r="E209" i="4"/>
  <c r="I209" i="4"/>
  <c r="M209" i="4"/>
  <c r="Q209" i="4"/>
  <c r="B209" i="4"/>
  <c r="R209" i="4"/>
  <c r="F209" i="4"/>
  <c r="J209" i="4"/>
  <c r="N209" i="4"/>
  <c r="C205" i="4"/>
  <c r="G205" i="4"/>
  <c r="K205" i="4"/>
  <c r="O205" i="4"/>
  <c r="S205" i="4"/>
  <c r="B205" i="4"/>
  <c r="D205" i="4"/>
  <c r="H205" i="4"/>
  <c r="L205" i="4"/>
  <c r="P205" i="4"/>
  <c r="T205" i="4"/>
  <c r="F205" i="4"/>
  <c r="E205" i="4"/>
  <c r="I205" i="4"/>
  <c r="M205" i="4"/>
  <c r="Q205" i="4"/>
  <c r="J205" i="4"/>
  <c r="N205" i="4"/>
  <c r="R205" i="4"/>
  <c r="C197" i="4"/>
  <c r="G197" i="4"/>
  <c r="K197" i="4"/>
  <c r="O197" i="4"/>
  <c r="S197" i="4"/>
  <c r="F197" i="4"/>
  <c r="N197" i="4"/>
  <c r="D197" i="4"/>
  <c r="H197" i="4"/>
  <c r="L197" i="4"/>
  <c r="P197" i="4"/>
  <c r="T197" i="4"/>
  <c r="J197" i="4"/>
  <c r="E197" i="4"/>
  <c r="I197" i="4"/>
  <c r="M197" i="4"/>
  <c r="Q197" i="4"/>
  <c r="B197" i="4"/>
  <c r="R197" i="4"/>
  <c r="C189" i="4"/>
  <c r="G189" i="4"/>
  <c r="K189" i="4"/>
  <c r="O189" i="4"/>
  <c r="S189" i="4"/>
  <c r="B189" i="4"/>
  <c r="R189" i="4"/>
  <c r="D189" i="4"/>
  <c r="H189" i="4"/>
  <c r="L189" i="4"/>
  <c r="P189" i="4"/>
  <c r="T189" i="4"/>
  <c r="F189" i="4"/>
  <c r="N189" i="4"/>
  <c r="E189" i="4"/>
  <c r="I189" i="4"/>
  <c r="M189" i="4"/>
  <c r="Q189" i="4"/>
  <c r="J189" i="4"/>
  <c r="D181" i="4"/>
  <c r="H181" i="4"/>
  <c r="L181" i="4"/>
  <c r="P181" i="4"/>
  <c r="T181" i="4"/>
  <c r="E181" i="4"/>
  <c r="I181" i="4"/>
  <c r="M181" i="4"/>
  <c r="Q181" i="4"/>
  <c r="B181" i="4"/>
  <c r="F181" i="4"/>
  <c r="J181" i="4"/>
  <c r="N181" i="4"/>
  <c r="R181" i="4"/>
  <c r="K181" i="4"/>
  <c r="O181" i="4"/>
  <c r="C181" i="4"/>
  <c r="S181" i="4"/>
  <c r="G181" i="4"/>
  <c r="D173" i="4"/>
  <c r="H173" i="4"/>
  <c r="L173" i="4"/>
  <c r="P173" i="4"/>
  <c r="T173" i="4"/>
  <c r="E173" i="4"/>
  <c r="I173" i="4"/>
  <c r="M173" i="4"/>
  <c r="Q173" i="4"/>
  <c r="B173" i="4"/>
  <c r="F173" i="4"/>
  <c r="J173" i="4"/>
  <c r="N173" i="4"/>
  <c r="R173" i="4"/>
  <c r="C173" i="4"/>
  <c r="S173" i="4"/>
  <c r="O173" i="4"/>
  <c r="G173" i="4"/>
  <c r="K173" i="4"/>
  <c r="D165" i="4"/>
  <c r="H165" i="4"/>
  <c r="L165" i="4"/>
  <c r="P165" i="4"/>
  <c r="T165" i="4"/>
  <c r="E165" i="4"/>
  <c r="I165" i="4"/>
  <c r="M165" i="4"/>
  <c r="Q165" i="4"/>
  <c r="B165" i="4"/>
  <c r="F165" i="4"/>
  <c r="J165" i="4"/>
  <c r="N165" i="4"/>
  <c r="R165" i="4"/>
  <c r="K165" i="4"/>
  <c r="O165" i="4"/>
  <c r="G165" i="4"/>
  <c r="C165" i="4"/>
  <c r="S165" i="4"/>
  <c r="D157" i="4"/>
  <c r="H157" i="4"/>
  <c r="L157" i="4"/>
  <c r="P157" i="4"/>
  <c r="T157" i="4"/>
  <c r="E157" i="4"/>
  <c r="I157" i="4"/>
  <c r="M157" i="4"/>
  <c r="Q157" i="4"/>
  <c r="B157" i="4"/>
  <c r="F157" i="4"/>
  <c r="J157" i="4"/>
  <c r="N157" i="4"/>
  <c r="R157" i="4"/>
  <c r="C157" i="4"/>
  <c r="S157" i="4"/>
  <c r="G157" i="4"/>
  <c r="O157" i="4"/>
  <c r="K157" i="4"/>
  <c r="E149" i="4"/>
  <c r="I149" i="4"/>
  <c r="M149" i="4"/>
  <c r="Q149" i="4"/>
  <c r="F149" i="4"/>
  <c r="K149" i="4"/>
  <c r="P149" i="4"/>
  <c r="B149" i="4"/>
  <c r="G149" i="4"/>
  <c r="L149" i="4"/>
  <c r="R149" i="4"/>
  <c r="C149" i="4"/>
  <c r="H149" i="4"/>
  <c r="N149" i="4"/>
  <c r="S149" i="4"/>
  <c r="D149" i="4"/>
  <c r="J149" i="4"/>
  <c r="T149" i="4"/>
  <c r="O149" i="4"/>
  <c r="E145" i="4"/>
  <c r="I145" i="4"/>
  <c r="M145" i="4"/>
  <c r="Q145" i="4"/>
  <c r="B145" i="4"/>
  <c r="G145" i="4"/>
  <c r="L145" i="4"/>
  <c r="R145" i="4"/>
  <c r="C145" i="4"/>
  <c r="H145" i="4"/>
  <c r="N145" i="4"/>
  <c r="S145" i="4"/>
  <c r="D145" i="4"/>
  <c r="J145" i="4"/>
  <c r="O145" i="4"/>
  <c r="T145" i="4"/>
  <c r="P145" i="4"/>
  <c r="K145" i="4"/>
  <c r="F145" i="4"/>
  <c r="E137" i="4"/>
  <c r="I137" i="4"/>
  <c r="M137" i="4"/>
  <c r="Q137" i="4"/>
  <c r="D137" i="4"/>
  <c r="J137" i="4"/>
  <c r="O137" i="4"/>
  <c r="T137" i="4"/>
  <c r="F137" i="4"/>
  <c r="K137" i="4"/>
  <c r="P137" i="4"/>
  <c r="B137" i="4"/>
  <c r="G137" i="4"/>
  <c r="L137" i="4"/>
  <c r="R137" i="4"/>
  <c r="S137" i="4"/>
  <c r="C137" i="4"/>
  <c r="H137" i="4"/>
  <c r="N137" i="4"/>
  <c r="E133" i="4"/>
  <c r="I133" i="4"/>
  <c r="M133" i="4"/>
  <c r="Q133" i="4"/>
  <c r="F133" i="4"/>
  <c r="K133" i="4"/>
  <c r="P133" i="4"/>
  <c r="B133" i="4"/>
  <c r="G133" i="4"/>
  <c r="L133" i="4"/>
  <c r="R133" i="4"/>
  <c r="C133" i="4"/>
  <c r="H133" i="4"/>
  <c r="N133" i="4"/>
  <c r="S133" i="4"/>
  <c r="J133" i="4"/>
  <c r="O133" i="4"/>
  <c r="D133" i="4"/>
  <c r="T133" i="4"/>
  <c r="E129" i="4"/>
  <c r="I129" i="4"/>
  <c r="M129" i="4"/>
  <c r="Q129" i="4"/>
  <c r="B129" i="4"/>
  <c r="G129" i="4"/>
  <c r="L129" i="4"/>
  <c r="R129" i="4"/>
  <c r="C129" i="4"/>
  <c r="H129" i="4"/>
  <c r="N129" i="4"/>
  <c r="S129" i="4"/>
  <c r="D129" i="4"/>
  <c r="J129" i="4"/>
  <c r="O129" i="4"/>
  <c r="T129" i="4"/>
  <c r="F129" i="4"/>
  <c r="P129" i="4"/>
  <c r="K129" i="4"/>
  <c r="E125" i="4"/>
  <c r="I125" i="4"/>
  <c r="M125" i="4"/>
  <c r="Q125" i="4"/>
  <c r="C125" i="4"/>
  <c r="H125" i="4"/>
  <c r="N125" i="4"/>
  <c r="S125" i="4"/>
  <c r="D125" i="4"/>
  <c r="J125" i="4"/>
  <c r="O125" i="4"/>
  <c r="T125" i="4"/>
  <c r="F125" i="4"/>
  <c r="K125" i="4"/>
  <c r="P125" i="4"/>
  <c r="L125" i="4"/>
  <c r="R125" i="4"/>
  <c r="G125" i="4"/>
  <c r="B125" i="4"/>
  <c r="E121" i="4"/>
  <c r="I121" i="4"/>
  <c r="M121" i="4"/>
  <c r="Q121" i="4"/>
  <c r="D121" i="4"/>
  <c r="J121" i="4"/>
  <c r="O121" i="4"/>
  <c r="T121" i="4"/>
  <c r="F121" i="4"/>
  <c r="K121" i="4"/>
  <c r="P121" i="4"/>
  <c r="B121" i="4"/>
  <c r="G121" i="4"/>
  <c r="L121" i="4"/>
  <c r="R121" i="4"/>
  <c r="C121" i="4"/>
  <c r="H121" i="4"/>
  <c r="S121" i="4"/>
  <c r="N121" i="4"/>
  <c r="E117" i="4"/>
  <c r="I117" i="4"/>
  <c r="M117" i="4"/>
  <c r="Q117" i="4"/>
  <c r="B117" i="4"/>
  <c r="F117" i="4"/>
  <c r="J117" i="4"/>
  <c r="N117" i="4"/>
  <c r="R117" i="4"/>
  <c r="D117" i="4"/>
  <c r="L117" i="4"/>
  <c r="T117" i="4"/>
  <c r="G117" i="4"/>
  <c r="O117" i="4"/>
  <c r="H117" i="4"/>
  <c r="P117" i="4"/>
  <c r="C117" i="4"/>
  <c r="K117" i="4"/>
  <c r="S117" i="4"/>
  <c r="E113" i="4"/>
  <c r="I113" i="4"/>
  <c r="M113" i="4"/>
  <c r="Q113" i="4"/>
  <c r="B113" i="4"/>
  <c r="F113" i="4"/>
  <c r="J113" i="4"/>
  <c r="N113" i="4"/>
  <c r="R113" i="4"/>
  <c r="H113" i="4"/>
  <c r="P113" i="4"/>
  <c r="C113" i="4"/>
  <c r="K113" i="4"/>
  <c r="S113" i="4"/>
  <c r="D113" i="4"/>
  <c r="L113" i="4"/>
  <c r="T113" i="4"/>
  <c r="O113" i="4"/>
  <c r="G113" i="4"/>
  <c r="E105" i="4"/>
  <c r="I105" i="4"/>
  <c r="M105" i="4"/>
  <c r="Q105" i="4"/>
  <c r="B105" i="4"/>
  <c r="F105" i="4"/>
  <c r="J105" i="4"/>
  <c r="N105" i="4"/>
  <c r="R105" i="4"/>
  <c r="H105" i="4"/>
  <c r="P105" i="4"/>
  <c r="C105" i="4"/>
  <c r="K105" i="4"/>
  <c r="S105" i="4"/>
  <c r="D105" i="4"/>
  <c r="L105" i="4"/>
  <c r="T105" i="4"/>
  <c r="G105" i="4"/>
  <c r="O105" i="4"/>
  <c r="B101" i="4"/>
  <c r="E101" i="4"/>
  <c r="I101" i="4"/>
  <c r="M101" i="4"/>
  <c r="Q101" i="4"/>
  <c r="F101" i="4"/>
  <c r="J101" i="4"/>
  <c r="N101" i="4"/>
  <c r="R101" i="4"/>
  <c r="D101" i="4"/>
  <c r="L101" i="4"/>
  <c r="T101" i="4"/>
  <c r="G101" i="4"/>
  <c r="O101" i="4"/>
  <c r="H101" i="4"/>
  <c r="P101" i="4"/>
  <c r="S101" i="4"/>
  <c r="C101" i="4"/>
  <c r="K101" i="4"/>
  <c r="E97" i="4"/>
  <c r="I97" i="4"/>
  <c r="M97" i="4"/>
  <c r="Q97" i="4"/>
  <c r="B97" i="4"/>
  <c r="F97" i="4"/>
  <c r="J97" i="4"/>
  <c r="N97" i="4"/>
  <c r="R97" i="4"/>
  <c r="C97" i="4"/>
  <c r="K97" i="4"/>
  <c r="S97" i="4"/>
  <c r="D97" i="4"/>
  <c r="L97" i="4"/>
  <c r="T97" i="4"/>
  <c r="P97" i="4"/>
  <c r="G97" i="4"/>
  <c r="H97" i="4"/>
  <c r="O97" i="4"/>
  <c r="E93" i="4"/>
  <c r="I93" i="4"/>
  <c r="M93" i="4"/>
  <c r="Q93" i="4"/>
  <c r="B93" i="4"/>
  <c r="F93" i="4"/>
  <c r="J93" i="4"/>
  <c r="N93" i="4"/>
  <c r="R93" i="4"/>
  <c r="G93" i="4"/>
  <c r="O93" i="4"/>
  <c r="H93" i="4"/>
  <c r="P93" i="4"/>
  <c r="L93" i="4"/>
  <c r="C93" i="4"/>
  <c r="S93" i="4"/>
  <c r="D93" i="4"/>
  <c r="T93" i="4"/>
  <c r="K93" i="4"/>
  <c r="E89" i="4"/>
  <c r="I89" i="4"/>
  <c r="M89" i="4"/>
  <c r="Q89" i="4"/>
  <c r="B89" i="4"/>
  <c r="F89" i="4"/>
  <c r="J89" i="4"/>
  <c r="N89" i="4"/>
  <c r="R89" i="4"/>
  <c r="C89" i="4"/>
  <c r="K89" i="4"/>
  <c r="S89" i="4"/>
  <c r="D89" i="4"/>
  <c r="L89" i="4"/>
  <c r="T89" i="4"/>
  <c r="H89" i="4"/>
  <c r="O89" i="4"/>
  <c r="P89" i="4"/>
  <c r="G89" i="4"/>
  <c r="E85" i="4"/>
  <c r="I85" i="4"/>
  <c r="M85" i="4"/>
  <c r="Q85" i="4"/>
  <c r="B85" i="4"/>
  <c r="F85" i="4"/>
  <c r="J85" i="4"/>
  <c r="N85" i="4"/>
  <c r="R85" i="4"/>
  <c r="G85" i="4"/>
  <c r="O85" i="4"/>
  <c r="H85" i="4"/>
  <c r="P85" i="4"/>
  <c r="D85" i="4"/>
  <c r="T85" i="4"/>
  <c r="K85" i="4"/>
  <c r="L85" i="4"/>
  <c r="S85" i="4"/>
  <c r="C85" i="4"/>
  <c r="E81" i="4"/>
  <c r="I81" i="4"/>
  <c r="M81" i="4"/>
  <c r="Q81" i="4"/>
  <c r="B81" i="4"/>
  <c r="F81" i="4"/>
  <c r="J81" i="4"/>
  <c r="N81" i="4"/>
  <c r="R81" i="4"/>
  <c r="C81" i="4"/>
  <c r="K81" i="4"/>
  <c r="S81" i="4"/>
  <c r="D81" i="4"/>
  <c r="L81" i="4"/>
  <c r="T81" i="4"/>
  <c r="P81" i="4"/>
  <c r="G81" i="4"/>
  <c r="H81" i="4"/>
  <c r="O81" i="4"/>
  <c r="E77" i="4"/>
  <c r="I77" i="4"/>
  <c r="M77" i="4"/>
  <c r="Q77" i="4"/>
  <c r="B77" i="4"/>
  <c r="F77" i="4"/>
  <c r="J77" i="4"/>
  <c r="N77" i="4"/>
  <c r="R77" i="4"/>
  <c r="G77" i="4"/>
  <c r="O77" i="4"/>
  <c r="H77" i="4"/>
  <c r="P77" i="4"/>
  <c r="L77" i="4"/>
  <c r="C77" i="4"/>
  <c r="S77" i="4"/>
  <c r="D77" i="4"/>
  <c r="T77" i="4"/>
  <c r="K77" i="4"/>
  <c r="D73" i="4"/>
  <c r="H73" i="4"/>
  <c r="L73" i="4"/>
  <c r="P73" i="4"/>
  <c r="T73" i="4"/>
  <c r="E73" i="4"/>
  <c r="I73" i="4"/>
  <c r="M73" i="4"/>
  <c r="Q73" i="4"/>
  <c r="G73" i="4"/>
  <c r="O73" i="4"/>
  <c r="B73" i="4"/>
  <c r="J73" i="4"/>
  <c r="R73" i="4"/>
  <c r="C73" i="4"/>
  <c r="S73" i="4"/>
  <c r="F73" i="4"/>
  <c r="K73" i="4"/>
  <c r="N73" i="4"/>
  <c r="C69" i="4"/>
  <c r="G69" i="4"/>
  <c r="K69" i="4"/>
  <c r="O69" i="4"/>
  <c r="S69" i="4"/>
  <c r="D69" i="4"/>
  <c r="H69" i="4"/>
  <c r="L69" i="4"/>
  <c r="P69" i="4"/>
  <c r="T69" i="4"/>
  <c r="E69" i="4"/>
  <c r="I69" i="4"/>
  <c r="M69" i="4"/>
  <c r="Q69" i="4"/>
  <c r="J69" i="4"/>
  <c r="N69" i="4"/>
  <c r="B69" i="4"/>
  <c r="F69" i="4"/>
  <c r="R69" i="4"/>
  <c r="C65" i="4"/>
  <c r="G65" i="4"/>
  <c r="K65" i="4"/>
  <c r="O65" i="4"/>
  <c r="S65" i="4"/>
  <c r="D65" i="4"/>
  <c r="H65" i="4"/>
  <c r="L65" i="4"/>
  <c r="P65" i="4"/>
  <c r="T65" i="4"/>
  <c r="E65" i="4"/>
  <c r="I65" i="4"/>
  <c r="M65" i="4"/>
  <c r="Q65" i="4"/>
  <c r="F65" i="4"/>
  <c r="J65" i="4"/>
  <c r="N65" i="4"/>
  <c r="R65" i="4"/>
  <c r="B65" i="4"/>
  <c r="C61" i="4"/>
  <c r="G61" i="4"/>
  <c r="K61" i="4"/>
  <c r="O61" i="4"/>
  <c r="S61" i="4"/>
  <c r="D61" i="4"/>
  <c r="H61" i="4"/>
  <c r="L61" i="4"/>
  <c r="P61" i="4"/>
  <c r="T61" i="4"/>
  <c r="E61" i="4"/>
  <c r="I61" i="4"/>
  <c r="M61" i="4"/>
  <c r="Q61" i="4"/>
  <c r="B61" i="4"/>
  <c r="R61" i="4"/>
  <c r="F61" i="4"/>
  <c r="J61" i="4"/>
  <c r="N61" i="4"/>
  <c r="C57" i="4"/>
  <c r="G57" i="4"/>
  <c r="K57" i="4"/>
  <c r="O57" i="4"/>
  <c r="S57" i="4"/>
  <c r="D57" i="4"/>
  <c r="H57" i="4"/>
  <c r="L57" i="4"/>
  <c r="P57" i="4"/>
  <c r="T57" i="4"/>
  <c r="E57" i="4"/>
  <c r="I57" i="4"/>
  <c r="M57" i="4"/>
  <c r="Q57" i="4"/>
  <c r="N57" i="4"/>
  <c r="B57" i="4"/>
  <c r="R57" i="4"/>
  <c r="F57" i="4"/>
  <c r="J57" i="4"/>
  <c r="C53" i="4"/>
  <c r="G53" i="4"/>
  <c r="K53" i="4"/>
  <c r="O53" i="4"/>
  <c r="S53" i="4"/>
  <c r="D53" i="4"/>
  <c r="H53" i="4"/>
  <c r="L53" i="4"/>
  <c r="P53" i="4"/>
  <c r="T53" i="4"/>
  <c r="E53" i="4"/>
  <c r="I53" i="4"/>
  <c r="M53" i="4"/>
  <c r="Q53" i="4"/>
  <c r="J53" i="4"/>
  <c r="N53" i="4"/>
  <c r="R53" i="4"/>
  <c r="B53" i="4"/>
  <c r="F53" i="4"/>
  <c r="C49" i="4"/>
  <c r="G49" i="4"/>
  <c r="K49" i="4"/>
  <c r="O49" i="4"/>
  <c r="S49" i="4"/>
  <c r="D49" i="4"/>
  <c r="H49" i="4"/>
  <c r="L49" i="4"/>
  <c r="P49" i="4"/>
  <c r="T49" i="4"/>
  <c r="E49" i="4"/>
  <c r="I49" i="4"/>
  <c r="M49" i="4"/>
  <c r="Q49" i="4"/>
  <c r="F49" i="4"/>
  <c r="J49" i="4"/>
  <c r="B49" i="4"/>
  <c r="N49" i="4"/>
  <c r="R49" i="4"/>
  <c r="E45" i="4"/>
  <c r="I45" i="4"/>
  <c r="M45" i="4"/>
  <c r="Q45" i="4"/>
  <c r="B45" i="4"/>
  <c r="F45" i="4"/>
  <c r="J45" i="4"/>
  <c r="N45" i="4"/>
  <c r="R45" i="4"/>
  <c r="D45" i="4"/>
  <c r="L45" i="4"/>
  <c r="T45" i="4"/>
  <c r="G45" i="4"/>
  <c r="O45" i="4"/>
  <c r="H45" i="4"/>
  <c r="P45" i="4"/>
  <c r="C45" i="4"/>
  <c r="K45" i="4"/>
  <c r="S45" i="4"/>
  <c r="E41" i="4"/>
  <c r="I41" i="4"/>
  <c r="M41" i="4"/>
  <c r="Q41" i="4"/>
  <c r="B41" i="4"/>
  <c r="F41" i="4"/>
  <c r="J41" i="4"/>
  <c r="N41" i="4"/>
  <c r="R41" i="4"/>
  <c r="H41" i="4"/>
  <c r="P41" i="4"/>
  <c r="C41" i="4"/>
  <c r="K41" i="4"/>
  <c r="S41" i="4"/>
  <c r="D41" i="4"/>
  <c r="L41" i="4"/>
  <c r="T41" i="4"/>
  <c r="G41" i="4"/>
  <c r="O41" i="4"/>
  <c r="E37" i="4"/>
  <c r="I37" i="4"/>
  <c r="M37" i="4"/>
  <c r="Q37" i="4"/>
  <c r="B37" i="4"/>
  <c r="F37" i="4"/>
  <c r="J37" i="4"/>
  <c r="N37" i="4"/>
  <c r="R37" i="4"/>
  <c r="D37" i="4"/>
  <c r="L37" i="4"/>
  <c r="T37" i="4"/>
  <c r="G37" i="4"/>
  <c r="O37" i="4"/>
  <c r="H37" i="4"/>
  <c r="P37" i="4"/>
  <c r="S37" i="4"/>
  <c r="C37" i="4"/>
  <c r="K37" i="4"/>
  <c r="B33" i="4"/>
  <c r="F33" i="4"/>
  <c r="J33" i="4"/>
  <c r="N33" i="4"/>
  <c r="R33" i="4"/>
  <c r="C33" i="4"/>
  <c r="G33" i="4"/>
  <c r="K33" i="4"/>
  <c r="O33" i="4"/>
  <c r="S33" i="4"/>
  <c r="D33" i="4"/>
  <c r="H33" i="4"/>
  <c r="L33" i="4"/>
  <c r="P33" i="4"/>
  <c r="T33" i="4"/>
  <c r="Q33" i="4"/>
  <c r="E33" i="4"/>
  <c r="I33" i="4"/>
  <c r="M33" i="4"/>
  <c r="B29" i="4"/>
  <c r="F29" i="4"/>
  <c r="J29" i="4"/>
  <c r="N29" i="4"/>
  <c r="R29" i="4"/>
  <c r="C29" i="4"/>
  <c r="G29" i="4"/>
  <c r="K29" i="4"/>
  <c r="O29" i="4"/>
  <c r="S29" i="4"/>
  <c r="D29" i="4"/>
  <c r="H29" i="4"/>
  <c r="L29" i="4"/>
  <c r="P29" i="4"/>
  <c r="T29" i="4"/>
  <c r="M29" i="4"/>
  <c r="Q29" i="4"/>
  <c r="I29" i="4"/>
  <c r="E29" i="4"/>
  <c r="B25" i="4"/>
  <c r="F25" i="4"/>
  <c r="J25" i="4"/>
  <c r="N25" i="4"/>
  <c r="R25" i="4"/>
  <c r="C25" i="4"/>
  <c r="G25" i="4"/>
  <c r="K25" i="4"/>
  <c r="O25" i="4"/>
  <c r="S25" i="4"/>
  <c r="D25" i="4"/>
  <c r="H25" i="4"/>
  <c r="L25" i="4"/>
  <c r="P25" i="4"/>
  <c r="T25" i="4"/>
  <c r="I25" i="4"/>
  <c r="M25" i="4"/>
  <c r="E25" i="4"/>
  <c r="Q25" i="4"/>
  <c r="B21" i="4"/>
  <c r="F21" i="4"/>
  <c r="J21" i="4"/>
  <c r="N21" i="4"/>
  <c r="R21" i="4"/>
  <c r="D21" i="4"/>
  <c r="H21" i="4"/>
  <c r="L21" i="4"/>
  <c r="P21" i="4"/>
  <c r="T21" i="4"/>
  <c r="G21" i="4"/>
  <c r="O21" i="4"/>
  <c r="I21" i="4"/>
  <c r="Q21" i="4"/>
  <c r="C21" i="4"/>
  <c r="K21" i="4"/>
  <c r="S21" i="4"/>
  <c r="M21" i="4"/>
  <c r="E21" i="4"/>
  <c r="B17" i="4"/>
  <c r="F17" i="4"/>
  <c r="J17" i="4"/>
  <c r="N17" i="4"/>
  <c r="R17" i="4"/>
  <c r="D17" i="4"/>
  <c r="H17" i="4"/>
  <c r="L17" i="4"/>
  <c r="P17" i="4"/>
  <c r="T17" i="4"/>
  <c r="C17" i="4"/>
  <c r="K17" i="4"/>
  <c r="S17" i="4"/>
  <c r="E17" i="4"/>
  <c r="M17" i="4"/>
  <c r="G17" i="4"/>
  <c r="O17" i="4"/>
  <c r="I17" i="4"/>
  <c r="Q17" i="4"/>
  <c r="B13" i="4"/>
  <c r="F13" i="4"/>
  <c r="J13" i="4"/>
  <c r="N13" i="4"/>
  <c r="R13" i="4"/>
  <c r="C13" i="4"/>
  <c r="G13" i="4"/>
  <c r="K13" i="4"/>
  <c r="O13" i="4"/>
  <c r="S13" i="4"/>
  <c r="D13" i="4"/>
  <c r="H13" i="4"/>
  <c r="L13" i="4"/>
  <c r="P13" i="4"/>
  <c r="T13" i="4"/>
  <c r="E13" i="4"/>
  <c r="I13" i="4"/>
  <c r="M13" i="4"/>
  <c r="Q13" i="4"/>
  <c r="B9" i="4"/>
  <c r="F9" i="4"/>
  <c r="J9" i="4"/>
  <c r="N9" i="4"/>
  <c r="R9" i="4"/>
  <c r="C9" i="4"/>
  <c r="G9" i="4"/>
  <c r="K9" i="4"/>
  <c r="O9" i="4"/>
  <c r="S9" i="4"/>
  <c r="D9" i="4"/>
  <c r="H9" i="4"/>
  <c r="L9" i="4"/>
  <c r="P9" i="4"/>
  <c r="T9" i="4"/>
  <c r="Q9" i="4"/>
  <c r="E9" i="4"/>
  <c r="I9" i="4"/>
  <c r="M9" i="4"/>
  <c r="B220" i="4"/>
  <c r="F220" i="4"/>
  <c r="J220" i="4"/>
  <c r="N220" i="4"/>
  <c r="R220" i="4"/>
  <c r="C220" i="4"/>
  <c r="G220" i="4"/>
  <c r="K220" i="4"/>
  <c r="O220" i="4"/>
  <c r="S220" i="4"/>
  <c r="D220" i="4"/>
  <c r="H220" i="4"/>
  <c r="L220" i="4"/>
  <c r="P220" i="4"/>
  <c r="T220" i="4"/>
  <c r="Q220" i="4"/>
  <c r="E220" i="4"/>
  <c r="I220" i="4"/>
  <c r="M220" i="4"/>
  <c r="B216" i="4"/>
  <c r="F216" i="4"/>
  <c r="J216" i="4"/>
  <c r="N216" i="4"/>
  <c r="R216" i="4"/>
  <c r="C216" i="4"/>
  <c r="G216" i="4"/>
  <c r="K216" i="4"/>
  <c r="O216" i="4"/>
  <c r="S216" i="4"/>
  <c r="D216" i="4"/>
  <c r="H216" i="4"/>
  <c r="L216" i="4"/>
  <c r="P216" i="4"/>
  <c r="T216" i="4"/>
  <c r="M216" i="4"/>
  <c r="Q216" i="4"/>
  <c r="E216" i="4"/>
  <c r="I216" i="4"/>
  <c r="B212" i="4"/>
  <c r="F212" i="4"/>
  <c r="J212" i="4"/>
  <c r="N212" i="4"/>
  <c r="R212" i="4"/>
  <c r="C212" i="4"/>
  <c r="G212" i="4"/>
  <c r="K212" i="4"/>
  <c r="O212" i="4"/>
  <c r="S212" i="4"/>
  <c r="D212" i="4"/>
  <c r="H212" i="4"/>
  <c r="L212" i="4"/>
  <c r="P212" i="4"/>
  <c r="T212" i="4"/>
  <c r="I212" i="4"/>
  <c r="M212" i="4"/>
  <c r="Q212" i="4"/>
  <c r="E212" i="4"/>
  <c r="B208" i="4"/>
  <c r="F208" i="4"/>
  <c r="J208" i="4"/>
  <c r="N208" i="4"/>
  <c r="R208" i="4"/>
  <c r="C208" i="4"/>
  <c r="G208" i="4"/>
  <c r="K208" i="4"/>
  <c r="O208" i="4"/>
  <c r="S208" i="4"/>
  <c r="D208" i="4"/>
  <c r="H208" i="4"/>
  <c r="L208" i="4"/>
  <c r="P208" i="4"/>
  <c r="T208" i="4"/>
  <c r="E208" i="4"/>
  <c r="I208" i="4"/>
  <c r="M208" i="4"/>
  <c r="Q208" i="4"/>
  <c r="B204" i="4"/>
  <c r="F204" i="4"/>
  <c r="J204" i="4"/>
  <c r="N204" i="4"/>
  <c r="R204" i="4"/>
  <c r="M204" i="4"/>
  <c r="C204" i="4"/>
  <c r="G204" i="4"/>
  <c r="K204" i="4"/>
  <c r="O204" i="4"/>
  <c r="S204" i="4"/>
  <c r="I204" i="4"/>
  <c r="D204" i="4"/>
  <c r="H204" i="4"/>
  <c r="L204" i="4"/>
  <c r="P204" i="4"/>
  <c r="T204" i="4"/>
  <c r="E204" i="4"/>
  <c r="Q204" i="4"/>
  <c r="B200" i="4"/>
  <c r="F200" i="4"/>
  <c r="J200" i="4"/>
  <c r="N200" i="4"/>
  <c r="R200" i="4"/>
  <c r="Q200" i="4"/>
  <c r="C200" i="4"/>
  <c r="G200" i="4"/>
  <c r="K200" i="4"/>
  <c r="O200" i="4"/>
  <c r="S200" i="4"/>
  <c r="I200" i="4"/>
  <c r="D200" i="4"/>
  <c r="H200" i="4"/>
  <c r="L200" i="4"/>
  <c r="P200" i="4"/>
  <c r="T200" i="4"/>
  <c r="E200" i="4"/>
  <c r="M200" i="4"/>
  <c r="B196" i="4"/>
  <c r="F196" i="4"/>
  <c r="J196" i="4"/>
  <c r="N196" i="4"/>
  <c r="R196" i="4"/>
  <c r="Q196" i="4"/>
  <c r="C196" i="4"/>
  <c r="G196" i="4"/>
  <c r="K196" i="4"/>
  <c r="O196" i="4"/>
  <c r="S196" i="4"/>
  <c r="M196" i="4"/>
  <c r="D196" i="4"/>
  <c r="H196" i="4"/>
  <c r="L196" i="4"/>
  <c r="P196" i="4"/>
  <c r="T196" i="4"/>
  <c r="E196" i="4"/>
  <c r="I196" i="4"/>
  <c r="B192" i="4"/>
  <c r="F192" i="4"/>
  <c r="J192" i="4"/>
  <c r="N192" i="4"/>
  <c r="R192" i="4"/>
  <c r="E192" i="4"/>
  <c r="Q192" i="4"/>
  <c r="C192" i="4"/>
  <c r="G192" i="4"/>
  <c r="K192" i="4"/>
  <c r="O192" i="4"/>
  <c r="S192" i="4"/>
  <c r="M192" i="4"/>
  <c r="D192" i="4"/>
  <c r="H192" i="4"/>
  <c r="L192" i="4"/>
  <c r="P192" i="4"/>
  <c r="T192" i="4"/>
  <c r="I192" i="4"/>
  <c r="B188" i="4"/>
  <c r="F188" i="4"/>
  <c r="J188" i="4"/>
  <c r="N188" i="4"/>
  <c r="R188" i="4"/>
  <c r="I188" i="4"/>
  <c r="C188" i="4"/>
  <c r="G188" i="4"/>
  <c r="K188" i="4"/>
  <c r="O188" i="4"/>
  <c r="S188" i="4"/>
  <c r="M188" i="4"/>
  <c r="D188" i="4"/>
  <c r="H188" i="4"/>
  <c r="L188" i="4"/>
  <c r="P188" i="4"/>
  <c r="T188" i="4"/>
  <c r="E188" i="4"/>
  <c r="Q188" i="4"/>
  <c r="B184" i="4"/>
  <c r="F184" i="4"/>
  <c r="J184" i="4"/>
  <c r="N184" i="4"/>
  <c r="R184" i="4"/>
  <c r="E184" i="4"/>
  <c r="Q184" i="4"/>
  <c r="C184" i="4"/>
  <c r="G184" i="4"/>
  <c r="K184" i="4"/>
  <c r="O184" i="4"/>
  <c r="S184" i="4"/>
  <c r="M184" i="4"/>
  <c r="D184" i="4"/>
  <c r="H184" i="4"/>
  <c r="L184" i="4"/>
  <c r="P184" i="4"/>
  <c r="T184" i="4"/>
  <c r="I184" i="4"/>
  <c r="C180" i="4"/>
  <c r="G180" i="4"/>
  <c r="K180" i="4"/>
  <c r="O180" i="4"/>
  <c r="S180" i="4"/>
  <c r="D180" i="4"/>
  <c r="H180" i="4"/>
  <c r="L180" i="4"/>
  <c r="P180" i="4"/>
  <c r="T180" i="4"/>
  <c r="E180" i="4"/>
  <c r="I180" i="4"/>
  <c r="M180" i="4"/>
  <c r="Q180" i="4"/>
  <c r="N180" i="4"/>
  <c r="J180" i="4"/>
  <c r="B180" i="4"/>
  <c r="R180" i="4"/>
  <c r="F180" i="4"/>
  <c r="C176" i="4"/>
  <c r="G176" i="4"/>
  <c r="K176" i="4"/>
  <c r="O176" i="4"/>
  <c r="S176" i="4"/>
  <c r="D176" i="4"/>
  <c r="H176" i="4"/>
  <c r="L176" i="4"/>
  <c r="P176" i="4"/>
  <c r="T176" i="4"/>
  <c r="E176" i="4"/>
  <c r="I176" i="4"/>
  <c r="M176" i="4"/>
  <c r="Q176" i="4"/>
  <c r="J176" i="4"/>
  <c r="N176" i="4"/>
  <c r="F176" i="4"/>
  <c r="B176" i="4"/>
  <c r="R176" i="4"/>
  <c r="C172" i="4"/>
  <c r="G172" i="4"/>
  <c r="K172" i="4"/>
  <c r="O172" i="4"/>
  <c r="S172" i="4"/>
  <c r="D172" i="4"/>
  <c r="H172" i="4"/>
  <c r="L172" i="4"/>
  <c r="P172" i="4"/>
  <c r="T172" i="4"/>
  <c r="E172" i="4"/>
  <c r="I172" i="4"/>
  <c r="M172" i="4"/>
  <c r="Q172" i="4"/>
  <c r="F172" i="4"/>
  <c r="J172" i="4"/>
  <c r="B172" i="4"/>
  <c r="N172" i="4"/>
  <c r="R172" i="4"/>
  <c r="C168" i="4"/>
  <c r="G168" i="4"/>
  <c r="K168" i="4"/>
  <c r="O168" i="4"/>
  <c r="S168" i="4"/>
  <c r="D168" i="4"/>
  <c r="H168" i="4"/>
  <c r="L168" i="4"/>
  <c r="P168" i="4"/>
  <c r="T168" i="4"/>
  <c r="E168" i="4"/>
  <c r="I168" i="4"/>
  <c r="M168" i="4"/>
  <c r="Q168" i="4"/>
  <c r="B168" i="4"/>
  <c r="R168" i="4"/>
  <c r="F168" i="4"/>
  <c r="J168" i="4"/>
  <c r="N168" i="4"/>
  <c r="C164" i="4"/>
  <c r="G164" i="4"/>
  <c r="K164" i="4"/>
  <c r="O164" i="4"/>
  <c r="S164" i="4"/>
  <c r="D164" i="4"/>
  <c r="H164" i="4"/>
  <c r="L164" i="4"/>
  <c r="P164" i="4"/>
  <c r="T164" i="4"/>
  <c r="E164" i="4"/>
  <c r="I164" i="4"/>
  <c r="M164" i="4"/>
  <c r="Q164" i="4"/>
  <c r="N164" i="4"/>
  <c r="J164" i="4"/>
  <c r="B164" i="4"/>
  <c r="R164" i="4"/>
  <c r="F164" i="4"/>
  <c r="C160" i="4"/>
  <c r="G160" i="4"/>
  <c r="K160" i="4"/>
  <c r="O160" i="4"/>
  <c r="S160" i="4"/>
  <c r="D160" i="4"/>
  <c r="H160" i="4"/>
  <c r="L160" i="4"/>
  <c r="P160" i="4"/>
  <c r="T160" i="4"/>
  <c r="E160" i="4"/>
  <c r="I160" i="4"/>
  <c r="M160" i="4"/>
  <c r="Q160" i="4"/>
  <c r="J160" i="4"/>
  <c r="N160" i="4"/>
  <c r="F160" i="4"/>
  <c r="B160" i="4"/>
  <c r="R160" i="4"/>
  <c r="C156" i="4"/>
  <c r="G156" i="4"/>
  <c r="K156" i="4"/>
  <c r="O156" i="4"/>
  <c r="S156" i="4"/>
  <c r="D156" i="4"/>
  <c r="H156" i="4"/>
  <c r="L156" i="4"/>
  <c r="P156" i="4"/>
  <c r="T156" i="4"/>
  <c r="E156" i="4"/>
  <c r="I156" i="4"/>
  <c r="M156" i="4"/>
  <c r="Q156" i="4"/>
  <c r="F156" i="4"/>
  <c r="J156" i="4"/>
  <c r="N156" i="4"/>
  <c r="B156" i="4"/>
  <c r="R156" i="4"/>
  <c r="D152" i="4"/>
  <c r="H152" i="4"/>
  <c r="L152" i="4"/>
  <c r="P152" i="4"/>
  <c r="T152" i="4"/>
  <c r="B152" i="4"/>
  <c r="G152" i="4"/>
  <c r="M152" i="4"/>
  <c r="R152" i="4"/>
  <c r="C152" i="4"/>
  <c r="I152" i="4"/>
  <c r="N152" i="4"/>
  <c r="S152" i="4"/>
  <c r="E152" i="4"/>
  <c r="J152" i="4"/>
  <c r="O152" i="4"/>
  <c r="K152" i="4"/>
  <c r="F152" i="4"/>
  <c r="Q152" i="4"/>
  <c r="D148" i="4"/>
  <c r="H148" i="4"/>
  <c r="L148" i="4"/>
  <c r="P148" i="4"/>
  <c r="T148" i="4"/>
  <c r="C148" i="4"/>
  <c r="I148" i="4"/>
  <c r="N148" i="4"/>
  <c r="S148" i="4"/>
  <c r="E148" i="4"/>
  <c r="J148" i="4"/>
  <c r="O148" i="4"/>
  <c r="F148" i="4"/>
  <c r="K148" i="4"/>
  <c r="Q148" i="4"/>
  <c r="B148" i="4"/>
  <c r="R148" i="4"/>
  <c r="G148" i="4"/>
  <c r="M148" i="4"/>
  <c r="D144" i="4"/>
  <c r="H144" i="4"/>
  <c r="L144" i="4"/>
  <c r="P144" i="4"/>
  <c r="T144" i="4"/>
  <c r="E144" i="4"/>
  <c r="J144" i="4"/>
  <c r="O144" i="4"/>
  <c r="F144" i="4"/>
  <c r="K144" i="4"/>
  <c r="Q144" i="4"/>
  <c r="B144" i="4"/>
  <c r="G144" i="4"/>
  <c r="M144" i="4"/>
  <c r="R144" i="4"/>
  <c r="N144" i="4"/>
  <c r="S144" i="4"/>
  <c r="C144" i="4"/>
  <c r="I144" i="4"/>
  <c r="D140" i="4"/>
  <c r="H140" i="4"/>
  <c r="L140" i="4"/>
  <c r="P140" i="4"/>
  <c r="T140" i="4"/>
  <c r="F140" i="4"/>
  <c r="K140" i="4"/>
  <c r="Q140" i="4"/>
  <c r="B140" i="4"/>
  <c r="G140" i="4"/>
  <c r="M140" i="4"/>
  <c r="R140" i="4"/>
  <c r="C140" i="4"/>
  <c r="I140" i="4"/>
  <c r="N140" i="4"/>
  <c r="S140" i="4"/>
  <c r="E140" i="4"/>
  <c r="J140" i="4"/>
  <c r="O140" i="4"/>
  <c r="D136" i="4"/>
  <c r="H136" i="4"/>
  <c r="L136" i="4"/>
  <c r="P136" i="4"/>
  <c r="T136" i="4"/>
  <c r="B136" i="4"/>
  <c r="G136" i="4"/>
  <c r="M136" i="4"/>
  <c r="R136" i="4"/>
  <c r="C136" i="4"/>
  <c r="I136" i="4"/>
  <c r="N136" i="4"/>
  <c r="S136" i="4"/>
  <c r="E136" i="4"/>
  <c r="J136" i="4"/>
  <c r="O136" i="4"/>
  <c r="Q136" i="4"/>
  <c r="K136" i="4"/>
  <c r="F136" i="4"/>
  <c r="D132" i="4"/>
  <c r="H132" i="4"/>
  <c r="L132" i="4"/>
  <c r="P132" i="4"/>
  <c r="T132" i="4"/>
  <c r="C132" i="4"/>
  <c r="I132" i="4"/>
  <c r="N132" i="4"/>
  <c r="S132" i="4"/>
  <c r="E132" i="4"/>
  <c r="J132" i="4"/>
  <c r="O132" i="4"/>
  <c r="F132" i="4"/>
  <c r="K132" i="4"/>
  <c r="Q132" i="4"/>
  <c r="G132" i="4"/>
  <c r="B132" i="4"/>
  <c r="M132" i="4"/>
  <c r="R132" i="4"/>
  <c r="D128" i="4"/>
  <c r="H128" i="4"/>
  <c r="L128" i="4"/>
  <c r="P128" i="4"/>
  <c r="T128" i="4"/>
  <c r="E128" i="4"/>
  <c r="J128" i="4"/>
  <c r="O128" i="4"/>
  <c r="F128" i="4"/>
  <c r="K128" i="4"/>
  <c r="Q128" i="4"/>
  <c r="B128" i="4"/>
  <c r="G128" i="4"/>
  <c r="M128" i="4"/>
  <c r="R128" i="4"/>
  <c r="S128" i="4"/>
  <c r="N128" i="4"/>
  <c r="C128" i="4"/>
  <c r="I128" i="4"/>
  <c r="D124" i="4"/>
  <c r="H124" i="4"/>
  <c r="L124" i="4"/>
  <c r="P124" i="4"/>
  <c r="T124" i="4"/>
  <c r="F124" i="4"/>
  <c r="K124" i="4"/>
  <c r="Q124" i="4"/>
  <c r="B124" i="4"/>
  <c r="G124" i="4"/>
  <c r="M124" i="4"/>
  <c r="R124" i="4"/>
  <c r="C124" i="4"/>
  <c r="I124" i="4"/>
  <c r="N124" i="4"/>
  <c r="S124" i="4"/>
  <c r="J124" i="4"/>
  <c r="O124" i="4"/>
  <c r="E124" i="4"/>
  <c r="D120" i="4"/>
  <c r="H120" i="4"/>
  <c r="L120" i="4"/>
  <c r="P120" i="4"/>
  <c r="T120" i="4"/>
  <c r="B120" i="4"/>
  <c r="G120" i="4"/>
  <c r="M120" i="4"/>
  <c r="R120" i="4"/>
  <c r="C120" i="4"/>
  <c r="I120" i="4"/>
  <c r="N120" i="4"/>
  <c r="S120" i="4"/>
  <c r="E120" i="4"/>
  <c r="J120" i="4"/>
  <c r="O120" i="4"/>
  <c r="F120" i="4"/>
  <c r="K120" i="4"/>
  <c r="Q120" i="4"/>
  <c r="D116" i="4"/>
  <c r="H116" i="4"/>
  <c r="L116" i="4"/>
  <c r="P116" i="4"/>
  <c r="T116" i="4"/>
  <c r="E116" i="4"/>
  <c r="I116" i="4"/>
  <c r="M116" i="4"/>
  <c r="Q116" i="4"/>
  <c r="G116" i="4"/>
  <c r="O116" i="4"/>
  <c r="B116" i="4"/>
  <c r="J116" i="4"/>
  <c r="R116" i="4"/>
  <c r="C116" i="4"/>
  <c r="K116" i="4"/>
  <c r="S116" i="4"/>
  <c r="N116" i="4"/>
  <c r="F116" i="4"/>
  <c r="D112" i="4"/>
  <c r="H112" i="4"/>
  <c r="L112" i="4"/>
  <c r="P112" i="4"/>
  <c r="T112" i="4"/>
  <c r="E112" i="4"/>
  <c r="I112" i="4"/>
  <c r="M112" i="4"/>
  <c r="Q112" i="4"/>
  <c r="C112" i="4"/>
  <c r="K112" i="4"/>
  <c r="S112" i="4"/>
  <c r="F112" i="4"/>
  <c r="N112" i="4"/>
  <c r="G112" i="4"/>
  <c r="O112" i="4"/>
  <c r="B112" i="4"/>
  <c r="J112" i="4"/>
  <c r="R112" i="4"/>
  <c r="D108" i="4"/>
  <c r="H108" i="4"/>
  <c r="L108" i="4"/>
  <c r="P108" i="4"/>
  <c r="T108" i="4"/>
  <c r="E108" i="4"/>
  <c r="I108" i="4"/>
  <c r="M108" i="4"/>
  <c r="Q108" i="4"/>
  <c r="G108" i="4"/>
  <c r="O108" i="4"/>
  <c r="B108" i="4"/>
  <c r="J108" i="4"/>
  <c r="R108" i="4"/>
  <c r="C108" i="4"/>
  <c r="K108" i="4"/>
  <c r="S108" i="4"/>
  <c r="N108" i="4"/>
  <c r="F108" i="4"/>
  <c r="D104" i="4"/>
  <c r="H104" i="4"/>
  <c r="L104" i="4"/>
  <c r="P104" i="4"/>
  <c r="T104" i="4"/>
  <c r="E104" i="4"/>
  <c r="I104" i="4"/>
  <c r="M104" i="4"/>
  <c r="Q104" i="4"/>
  <c r="C104" i="4"/>
  <c r="K104" i="4"/>
  <c r="S104" i="4"/>
  <c r="F104" i="4"/>
  <c r="N104" i="4"/>
  <c r="G104" i="4"/>
  <c r="O104" i="4"/>
  <c r="R104" i="4"/>
  <c r="B104" i="4"/>
  <c r="J104" i="4"/>
  <c r="D100" i="4"/>
  <c r="H100" i="4"/>
  <c r="L100" i="4"/>
  <c r="P100" i="4"/>
  <c r="T100" i="4"/>
  <c r="E100" i="4"/>
  <c r="I100" i="4"/>
  <c r="M100" i="4"/>
  <c r="Q100" i="4"/>
  <c r="B100" i="4"/>
  <c r="J100" i="4"/>
  <c r="R100" i="4"/>
  <c r="C100" i="4"/>
  <c r="K100" i="4"/>
  <c r="S100" i="4"/>
  <c r="G100" i="4"/>
  <c r="N100" i="4"/>
  <c r="O100" i="4"/>
  <c r="F100" i="4"/>
  <c r="D96" i="4"/>
  <c r="H96" i="4"/>
  <c r="L96" i="4"/>
  <c r="P96" i="4"/>
  <c r="T96" i="4"/>
  <c r="E96" i="4"/>
  <c r="I96" i="4"/>
  <c r="M96" i="4"/>
  <c r="Q96" i="4"/>
  <c r="F96" i="4"/>
  <c r="N96" i="4"/>
  <c r="G96" i="4"/>
  <c r="O96" i="4"/>
  <c r="C96" i="4"/>
  <c r="S96" i="4"/>
  <c r="J96" i="4"/>
  <c r="K96" i="4"/>
  <c r="B96" i="4"/>
  <c r="R96" i="4"/>
  <c r="D92" i="4"/>
  <c r="H92" i="4"/>
  <c r="L92" i="4"/>
  <c r="P92" i="4"/>
  <c r="T92" i="4"/>
  <c r="E92" i="4"/>
  <c r="I92" i="4"/>
  <c r="M92" i="4"/>
  <c r="Q92" i="4"/>
  <c r="B92" i="4"/>
  <c r="J92" i="4"/>
  <c r="R92" i="4"/>
  <c r="C92" i="4"/>
  <c r="K92" i="4"/>
  <c r="S92" i="4"/>
  <c r="O92" i="4"/>
  <c r="F92" i="4"/>
  <c r="G92" i="4"/>
  <c r="N92" i="4"/>
  <c r="D88" i="4"/>
  <c r="H88" i="4"/>
  <c r="L88" i="4"/>
  <c r="P88" i="4"/>
  <c r="T88" i="4"/>
  <c r="E88" i="4"/>
  <c r="I88" i="4"/>
  <c r="M88" i="4"/>
  <c r="Q88" i="4"/>
  <c r="F88" i="4"/>
  <c r="N88" i="4"/>
  <c r="G88" i="4"/>
  <c r="O88" i="4"/>
  <c r="K88" i="4"/>
  <c r="B88" i="4"/>
  <c r="R88" i="4"/>
  <c r="C88" i="4"/>
  <c r="S88" i="4"/>
  <c r="J88" i="4"/>
  <c r="D84" i="4"/>
  <c r="H84" i="4"/>
  <c r="L84" i="4"/>
  <c r="P84" i="4"/>
  <c r="T84" i="4"/>
  <c r="E84" i="4"/>
  <c r="I84" i="4"/>
  <c r="M84" i="4"/>
  <c r="Q84" i="4"/>
  <c r="B84" i="4"/>
  <c r="J84" i="4"/>
  <c r="R84" i="4"/>
  <c r="C84" i="4"/>
  <c r="K84" i="4"/>
  <c r="S84" i="4"/>
  <c r="G84" i="4"/>
  <c r="N84" i="4"/>
  <c r="O84" i="4"/>
  <c r="F84" i="4"/>
  <c r="D80" i="4"/>
  <c r="H80" i="4"/>
  <c r="L80" i="4"/>
  <c r="P80" i="4"/>
  <c r="T80" i="4"/>
  <c r="E80" i="4"/>
  <c r="I80" i="4"/>
  <c r="M80" i="4"/>
  <c r="Q80" i="4"/>
  <c r="F80" i="4"/>
  <c r="N80" i="4"/>
  <c r="G80" i="4"/>
  <c r="O80" i="4"/>
  <c r="C80" i="4"/>
  <c r="S80" i="4"/>
  <c r="J80" i="4"/>
  <c r="K80" i="4"/>
  <c r="B80" i="4"/>
  <c r="R80" i="4"/>
  <c r="D76" i="4"/>
  <c r="H76" i="4"/>
  <c r="L76" i="4"/>
  <c r="P76" i="4"/>
  <c r="T76" i="4"/>
  <c r="E76" i="4"/>
  <c r="I76" i="4"/>
  <c r="M76" i="4"/>
  <c r="Q76" i="4"/>
  <c r="B76" i="4"/>
  <c r="J76" i="4"/>
  <c r="R76" i="4"/>
  <c r="C76" i="4"/>
  <c r="K76" i="4"/>
  <c r="S76" i="4"/>
  <c r="O76" i="4"/>
  <c r="F76" i="4"/>
  <c r="G76" i="4"/>
  <c r="N76" i="4"/>
  <c r="C72" i="4"/>
  <c r="G72" i="4"/>
  <c r="K72" i="4"/>
  <c r="O72" i="4"/>
  <c r="S72" i="4"/>
  <c r="D72" i="4"/>
  <c r="H72" i="4"/>
  <c r="L72" i="4"/>
  <c r="P72" i="4"/>
  <c r="T72" i="4"/>
  <c r="B72" i="4"/>
  <c r="J72" i="4"/>
  <c r="R72" i="4"/>
  <c r="E72" i="4"/>
  <c r="M72" i="4"/>
  <c r="F72" i="4"/>
  <c r="I72" i="4"/>
  <c r="Q72" i="4"/>
  <c r="N72" i="4"/>
  <c r="B68" i="4"/>
  <c r="F68" i="4"/>
  <c r="J68" i="4"/>
  <c r="N68" i="4"/>
  <c r="R68" i="4"/>
  <c r="C68" i="4"/>
  <c r="G68" i="4"/>
  <c r="K68" i="4"/>
  <c r="O68" i="4"/>
  <c r="S68" i="4"/>
  <c r="D68" i="4"/>
  <c r="H68" i="4"/>
  <c r="L68" i="4"/>
  <c r="P68" i="4"/>
  <c r="T68" i="4"/>
  <c r="M68" i="4"/>
  <c r="Q68" i="4"/>
  <c r="I68" i="4"/>
  <c r="E68" i="4"/>
  <c r="B64" i="4"/>
  <c r="F64" i="4"/>
  <c r="J64" i="4"/>
  <c r="N64" i="4"/>
  <c r="R64" i="4"/>
  <c r="C64" i="4"/>
  <c r="G64" i="4"/>
  <c r="K64" i="4"/>
  <c r="O64" i="4"/>
  <c r="S64" i="4"/>
  <c r="D64" i="4"/>
  <c r="H64" i="4"/>
  <c r="L64" i="4"/>
  <c r="P64" i="4"/>
  <c r="T64" i="4"/>
  <c r="I64" i="4"/>
  <c r="M64" i="4"/>
  <c r="E64" i="4"/>
  <c r="Q64" i="4"/>
  <c r="B60" i="4"/>
  <c r="F60" i="4"/>
  <c r="J60" i="4"/>
  <c r="N60" i="4"/>
  <c r="R60" i="4"/>
  <c r="C60" i="4"/>
  <c r="G60" i="4"/>
  <c r="K60" i="4"/>
  <c r="O60" i="4"/>
  <c r="S60" i="4"/>
  <c r="D60" i="4"/>
  <c r="H60" i="4"/>
  <c r="L60" i="4"/>
  <c r="P60" i="4"/>
  <c r="T60" i="4"/>
  <c r="E60" i="4"/>
  <c r="I60" i="4"/>
  <c r="M60" i="4"/>
  <c r="Q60" i="4"/>
  <c r="B56" i="4"/>
  <c r="F56" i="4"/>
  <c r="J56" i="4"/>
  <c r="N56" i="4"/>
  <c r="R56" i="4"/>
  <c r="C56" i="4"/>
  <c r="G56" i="4"/>
  <c r="K56" i="4"/>
  <c r="O56" i="4"/>
  <c r="S56" i="4"/>
  <c r="D56" i="4"/>
  <c r="H56" i="4"/>
  <c r="L56" i="4"/>
  <c r="P56" i="4"/>
  <c r="T56" i="4"/>
  <c r="Q56" i="4"/>
  <c r="E56" i="4"/>
  <c r="I56" i="4"/>
  <c r="M56" i="4"/>
  <c r="B52" i="4"/>
  <c r="F52" i="4"/>
  <c r="J52" i="4"/>
  <c r="N52" i="4"/>
  <c r="R52" i="4"/>
  <c r="C52" i="4"/>
  <c r="G52" i="4"/>
  <c r="K52" i="4"/>
  <c r="O52" i="4"/>
  <c r="S52" i="4"/>
  <c r="D52" i="4"/>
  <c r="H52" i="4"/>
  <c r="L52" i="4"/>
  <c r="P52" i="4"/>
  <c r="T52" i="4"/>
  <c r="M52" i="4"/>
  <c r="Q52" i="4"/>
  <c r="E52" i="4"/>
  <c r="I52" i="4"/>
  <c r="D48" i="4"/>
  <c r="H48" i="4"/>
  <c r="L48" i="4"/>
  <c r="E48" i="4"/>
  <c r="I48" i="4"/>
  <c r="M48" i="4"/>
  <c r="Q48" i="4"/>
  <c r="C48" i="4"/>
  <c r="K48" i="4"/>
  <c r="R48" i="4"/>
  <c r="F48" i="4"/>
  <c r="N48" i="4"/>
  <c r="S48" i="4"/>
  <c r="G48" i="4"/>
  <c r="O48" i="4"/>
  <c r="T48" i="4"/>
  <c r="B48" i="4"/>
  <c r="J48" i="4"/>
  <c r="P48" i="4"/>
  <c r="D44" i="4"/>
  <c r="H44" i="4"/>
  <c r="L44" i="4"/>
  <c r="P44" i="4"/>
  <c r="T44" i="4"/>
  <c r="E44" i="4"/>
  <c r="I44" i="4"/>
  <c r="M44" i="4"/>
  <c r="Q44" i="4"/>
  <c r="G44" i="4"/>
  <c r="O44" i="4"/>
  <c r="B44" i="4"/>
  <c r="J44" i="4"/>
  <c r="R44" i="4"/>
  <c r="C44" i="4"/>
  <c r="K44" i="4"/>
  <c r="S44" i="4"/>
  <c r="N44" i="4"/>
  <c r="F44" i="4"/>
  <c r="D40" i="4"/>
  <c r="H40" i="4"/>
  <c r="L40" i="4"/>
  <c r="P40" i="4"/>
  <c r="T40" i="4"/>
  <c r="E40" i="4"/>
  <c r="I40" i="4"/>
  <c r="M40" i="4"/>
  <c r="Q40" i="4"/>
  <c r="C40" i="4"/>
  <c r="K40" i="4"/>
  <c r="S40" i="4"/>
  <c r="F40" i="4"/>
  <c r="N40" i="4"/>
  <c r="G40" i="4"/>
  <c r="O40" i="4"/>
  <c r="B40" i="4"/>
  <c r="J40" i="4"/>
  <c r="R40" i="4"/>
  <c r="D36" i="4"/>
  <c r="H36" i="4"/>
  <c r="L36" i="4"/>
  <c r="P36" i="4"/>
  <c r="T36" i="4"/>
  <c r="E36" i="4"/>
  <c r="I36" i="4"/>
  <c r="M36" i="4"/>
  <c r="Q36" i="4"/>
  <c r="G36" i="4"/>
  <c r="O36" i="4"/>
  <c r="B36" i="4"/>
  <c r="J36" i="4"/>
  <c r="R36" i="4"/>
  <c r="C36" i="4"/>
  <c r="K36" i="4"/>
  <c r="S36" i="4"/>
  <c r="F36" i="4"/>
  <c r="N36" i="4"/>
  <c r="E32" i="4"/>
  <c r="I32" i="4"/>
  <c r="M32" i="4"/>
  <c r="Q32" i="4"/>
  <c r="B32" i="4"/>
  <c r="F32" i="4"/>
  <c r="J32" i="4"/>
  <c r="N32" i="4"/>
  <c r="R32" i="4"/>
  <c r="C32" i="4"/>
  <c r="G32" i="4"/>
  <c r="K32" i="4"/>
  <c r="O32" i="4"/>
  <c r="S32" i="4"/>
  <c r="D32" i="4"/>
  <c r="T32" i="4"/>
  <c r="H32" i="4"/>
  <c r="P32" i="4"/>
  <c r="L32" i="4"/>
  <c r="E28" i="4"/>
  <c r="I28" i="4"/>
  <c r="M28" i="4"/>
  <c r="Q28" i="4"/>
  <c r="B28" i="4"/>
  <c r="F28" i="4"/>
  <c r="J28" i="4"/>
  <c r="N28" i="4"/>
  <c r="R28" i="4"/>
  <c r="C28" i="4"/>
  <c r="G28" i="4"/>
  <c r="K28" i="4"/>
  <c r="O28" i="4"/>
  <c r="S28" i="4"/>
  <c r="P28" i="4"/>
  <c r="D28" i="4"/>
  <c r="T28" i="4"/>
  <c r="H28" i="4"/>
  <c r="L28" i="4"/>
  <c r="E24" i="4"/>
  <c r="I24" i="4"/>
  <c r="M24" i="4"/>
  <c r="Q24" i="4"/>
  <c r="F24" i="4"/>
  <c r="K24" i="4"/>
  <c r="P24" i="4"/>
  <c r="B24" i="4"/>
  <c r="G24" i="4"/>
  <c r="L24" i="4"/>
  <c r="R24" i="4"/>
  <c r="C24" i="4"/>
  <c r="H24" i="4"/>
  <c r="N24" i="4"/>
  <c r="S24" i="4"/>
  <c r="J24" i="4"/>
  <c r="O24" i="4"/>
  <c r="D24" i="4"/>
  <c r="T24" i="4"/>
  <c r="E20" i="4"/>
  <c r="I20" i="4"/>
  <c r="M20" i="4"/>
  <c r="Q20" i="4"/>
  <c r="C20" i="4"/>
  <c r="G20" i="4"/>
  <c r="K20" i="4"/>
  <c r="O20" i="4"/>
  <c r="S20" i="4"/>
  <c r="B20" i="4"/>
  <c r="J20" i="4"/>
  <c r="R20" i="4"/>
  <c r="D20" i="4"/>
  <c r="L20" i="4"/>
  <c r="T20" i="4"/>
  <c r="F20" i="4"/>
  <c r="N20" i="4"/>
  <c r="H20" i="4"/>
  <c r="P20" i="4"/>
  <c r="E16" i="4"/>
  <c r="I16" i="4"/>
  <c r="M16" i="4"/>
  <c r="Q16" i="4"/>
  <c r="C16" i="4"/>
  <c r="G16" i="4"/>
  <c r="K16" i="4"/>
  <c r="O16" i="4"/>
  <c r="S16" i="4"/>
  <c r="F16" i="4"/>
  <c r="N16" i="4"/>
  <c r="H16" i="4"/>
  <c r="P16" i="4"/>
  <c r="B16" i="4"/>
  <c r="J16" i="4"/>
  <c r="R16" i="4"/>
  <c r="T16" i="4"/>
  <c r="D16" i="4"/>
  <c r="L16" i="4"/>
  <c r="E12" i="4"/>
  <c r="I12" i="4"/>
  <c r="M12" i="4"/>
  <c r="Q12" i="4"/>
  <c r="B12" i="4"/>
  <c r="F12" i="4"/>
  <c r="J12" i="4"/>
  <c r="N12" i="4"/>
  <c r="R12" i="4"/>
  <c r="C12" i="4"/>
  <c r="G12" i="4"/>
  <c r="K12" i="4"/>
  <c r="O12" i="4"/>
  <c r="S12" i="4"/>
  <c r="H12" i="4"/>
  <c r="L12" i="4"/>
  <c r="P12" i="4"/>
  <c r="D12" i="4"/>
  <c r="T12" i="4"/>
  <c r="D8" i="4"/>
  <c r="H8" i="4"/>
  <c r="L8" i="4"/>
  <c r="Q8" i="4"/>
  <c r="E8" i="4"/>
  <c r="I8" i="4"/>
  <c r="N8" i="4"/>
  <c r="R8" i="4"/>
  <c r="B8" i="4"/>
  <c r="F8" i="4"/>
  <c r="J8" i="4"/>
  <c r="O8" i="4"/>
  <c r="S8" i="4"/>
  <c r="C8" i="4"/>
  <c r="T8" i="4"/>
  <c r="G8" i="4"/>
  <c r="K8" i="4"/>
  <c r="P8" i="4"/>
  <c r="D218" i="4"/>
  <c r="H218" i="4"/>
  <c r="L218" i="4"/>
  <c r="P218" i="4"/>
  <c r="T218" i="4"/>
  <c r="E218" i="4"/>
  <c r="I218" i="4"/>
  <c r="M218" i="4"/>
  <c r="Q218" i="4"/>
  <c r="B218" i="4"/>
  <c r="F218" i="4"/>
  <c r="J218" i="4"/>
  <c r="N218" i="4"/>
  <c r="R218" i="4"/>
  <c r="G218" i="4"/>
  <c r="K218" i="4"/>
  <c r="S218" i="4"/>
  <c r="O218" i="4"/>
  <c r="C218" i="4"/>
  <c r="D210" i="4"/>
  <c r="H210" i="4"/>
  <c r="L210" i="4"/>
  <c r="P210" i="4"/>
  <c r="T210" i="4"/>
  <c r="E210" i="4"/>
  <c r="I210" i="4"/>
  <c r="M210" i="4"/>
  <c r="Q210" i="4"/>
  <c r="B210" i="4"/>
  <c r="F210" i="4"/>
  <c r="J210" i="4"/>
  <c r="N210" i="4"/>
  <c r="R210" i="4"/>
  <c r="O210" i="4"/>
  <c r="C210" i="4"/>
  <c r="S210" i="4"/>
  <c r="G210" i="4"/>
  <c r="K210" i="4"/>
  <c r="D194" i="4"/>
  <c r="H194" i="4"/>
  <c r="L194" i="4"/>
  <c r="P194" i="4"/>
  <c r="T194" i="4"/>
  <c r="G194" i="4"/>
  <c r="O194" i="4"/>
  <c r="E194" i="4"/>
  <c r="I194" i="4"/>
  <c r="M194" i="4"/>
  <c r="Q194" i="4"/>
  <c r="K194" i="4"/>
  <c r="B194" i="4"/>
  <c r="F194" i="4"/>
  <c r="J194" i="4"/>
  <c r="N194" i="4"/>
  <c r="R194" i="4"/>
  <c r="C194" i="4"/>
  <c r="S194" i="4"/>
  <c r="D186" i="4"/>
  <c r="H186" i="4"/>
  <c r="L186" i="4"/>
  <c r="P186" i="4"/>
  <c r="T186" i="4"/>
  <c r="K186" i="4"/>
  <c r="E186" i="4"/>
  <c r="I186" i="4"/>
  <c r="M186" i="4"/>
  <c r="Q186" i="4"/>
  <c r="C186" i="4"/>
  <c r="O186" i="4"/>
  <c r="B186" i="4"/>
  <c r="F186" i="4"/>
  <c r="J186" i="4"/>
  <c r="N186" i="4"/>
  <c r="R186" i="4"/>
  <c r="G186" i="4"/>
  <c r="S186" i="4"/>
  <c r="E174" i="4"/>
  <c r="I174" i="4"/>
  <c r="M174" i="4"/>
  <c r="Q174" i="4"/>
  <c r="B174" i="4"/>
  <c r="F174" i="4"/>
  <c r="J174" i="4"/>
  <c r="N174" i="4"/>
  <c r="R174" i="4"/>
  <c r="C174" i="4"/>
  <c r="G174" i="4"/>
  <c r="K174" i="4"/>
  <c r="O174" i="4"/>
  <c r="S174" i="4"/>
  <c r="P174" i="4"/>
  <c r="D174" i="4"/>
  <c r="T174" i="4"/>
  <c r="L174" i="4"/>
  <c r="H174" i="4"/>
  <c r="E162" i="4"/>
  <c r="I162" i="4"/>
  <c r="M162" i="4"/>
  <c r="Q162" i="4"/>
  <c r="B162" i="4"/>
  <c r="F162" i="4"/>
  <c r="J162" i="4"/>
  <c r="N162" i="4"/>
  <c r="R162" i="4"/>
  <c r="C162" i="4"/>
  <c r="G162" i="4"/>
  <c r="K162" i="4"/>
  <c r="O162" i="4"/>
  <c r="S162" i="4"/>
  <c r="D162" i="4"/>
  <c r="T162" i="4"/>
  <c r="H162" i="4"/>
  <c r="P162" i="4"/>
  <c r="L162" i="4"/>
  <c r="B150" i="4"/>
  <c r="F150" i="4"/>
  <c r="J150" i="4"/>
  <c r="N150" i="4"/>
  <c r="R150" i="4"/>
  <c r="C150" i="4"/>
  <c r="H150" i="4"/>
  <c r="M150" i="4"/>
  <c r="S150" i="4"/>
  <c r="D150" i="4"/>
  <c r="I150" i="4"/>
  <c r="O150" i="4"/>
  <c r="T150" i="4"/>
  <c r="E150" i="4"/>
  <c r="K150" i="4"/>
  <c r="P150" i="4"/>
  <c r="G150" i="4"/>
  <c r="L150" i="4"/>
  <c r="Q150" i="4"/>
  <c r="B138" i="4"/>
  <c r="F138" i="4"/>
  <c r="J138" i="4"/>
  <c r="N138" i="4"/>
  <c r="R138" i="4"/>
  <c r="G138" i="4"/>
  <c r="L138" i="4"/>
  <c r="Q138" i="4"/>
  <c r="C138" i="4"/>
  <c r="H138" i="4"/>
  <c r="M138" i="4"/>
  <c r="S138" i="4"/>
  <c r="D138" i="4"/>
  <c r="I138" i="4"/>
  <c r="O138" i="4"/>
  <c r="T138" i="4"/>
  <c r="P138" i="4"/>
  <c r="E138" i="4"/>
  <c r="K138" i="4"/>
  <c r="B126" i="4"/>
  <c r="F126" i="4"/>
  <c r="J126" i="4"/>
  <c r="N126" i="4"/>
  <c r="R126" i="4"/>
  <c r="E126" i="4"/>
  <c r="K126" i="4"/>
  <c r="P126" i="4"/>
  <c r="G126" i="4"/>
  <c r="L126" i="4"/>
  <c r="Q126" i="4"/>
  <c r="C126" i="4"/>
  <c r="H126" i="4"/>
  <c r="M126" i="4"/>
  <c r="S126" i="4"/>
  <c r="O126" i="4"/>
  <c r="I126" i="4"/>
  <c r="T126" i="4"/>
  <c r="D126" i="4"/>
  <c r="B110" i="4"/>
  <c r="F110" i="4"/>
  <c r="J110" i="4"/>
  <c r="N110" i="4"/>
  <c r="R110" i="4"/>
  <c r="C110" i="4"/>
  <c r="G110" i="4"/>
  <c r="K110" i="4"/>
  <c r="O110" i="4"/>
  <c r="S110" i="4"/>
  <c r="I110" i="4"/>
  <c r="Q110" i="4"/>
  <c r="D110" i="4"/>
  <c r="L110" i="4"/>
  <c r="T110" i="4"/>
  <c r="E110" i="4"/>
  <c r="M110" i="4"/>
  <c r="H110" i="4"/>
  <c r="P110" i="4"/>
  <c r="B98" i="4"/>
  <c r="F98" i="4"/>
  <c r="J98" i="4"/>
  <c r="N98" i="4"/>
  <c r="R98" i="4"/>
  <c r="C98" i="4"/>
  <c r="G98" i="4"/>
  <c r="K98" i="4"/>
  <c r="O98" i="4"/>
  <c r="S98" i="4"/>
  <c r="H98" i="4"/>
  <c r="P98" i="4"/>
  <c r="I98" i="4"/>
  <c r="Q98" i="4"/>
  <c r="M98" i="4"/>
  <c r="D98" i="4"/>
  <c r="T98" i="4"/>
  <c r="E98" i="4"/>
  <c r="L98" i="4"/>
  <c r="B86" i="4"/>
  <c r="F86" i="4"/>
  <c r="J86" i="4"/>
  <c r="N86" i="4"/>
  <c r="R86" i="4"/>
  <c r="C86" i="4"/>
  <c r="G86" i="4"/>
  <c r="K86" i="4"/>
  <c r="O86" i="4"/>
  <c r="S86" i="4"/>
  <c r="D86" i="4"/>
  <c r="L86" i="4"/>
  <c r="T86" i="4"/>
  <c r="E86" i="4"/>
  <c r="M86" i="4"/>
  <c r="Q86" i="4"/>
  <c r="H86" i="4"/>
  <c r="I86" i="4"/>
  <c r="P86" i="4"/>
  <c r="E74" i="4"/>
  <c r="I74" i="4"/>
  <c r="M74" i="4"/>
  <c r="Q74" i="4"/>
  <c r="B74" i="4"/>
  <c r="F74" i="4"/>
  <c r="J74" i="4"/>
  <c r="N74" i="4"/>
  <c r="R74" i="4"/>
  <c r="D74" i="4"/>
  <c r="L74" i="4"/>
  <c r="T74" i="4"/>
  <c r="G74" i="4"/>
  <c r="O74" i="4"/>
  <c r="P74" i="4"/>
  <c r="C74" i="4"/>
  <c r="S74" i="4"/>
  <c r="K74" i="4"/>
  <c r="H74" i="4"/>
  <c r="D62" i="4"/>
  <c r="H62" i="4"/>
  <c r="L62" i="4"/>
  <c r="P62" i="4"/>
  <c r="T62" i="4"/>
  <c r="E62" i="4"/>
  <c r="I62" i="4"/>
  <c r="M62" i="4"/>
  <c r="Q62" i="4"/>
  <c r="B62" i="4"/>
  <c r="F62" i="4"/>
  <c r="J62" i="4"/>
  <c r="N62" i="4"/>
  <c r="R62" i="4"/>
  <c r="O62" i="4"/>
  <c r="C62" i="4"/>
  <c r="S62" i="4"/>
  <c r="G62" i="4"/>
  <c r="K62" i="4"/>
  <c r="D54" i="4"/>
  <c r="H54" i="4"/>
  <c r="L54" i="4"/>
  <c r="P54" i="4"/>
  <c r="T54" i="4"/>
  <c r="E54" i="4"/>
  <c r="I54" i="4"/>
  <c r="M54" i="4"/>
  <c r="Q54" i="4"/>
  <c r="B54" i="4"/>
  <c r="F54" i="4"/>
  <c r="J54" i="4"/>
  <c r="N54" i="4"/>
  <c r="R54" i="4"/>
  <c r="G54" i="4"/>
  <c r="K54" i="4"/>
  <c r="C54" i="4"/>
  <c r="O54" i="4"/>
  <c r="S54" i="4"/>
  <c r="B42" i="4"/>
  <c r="F42" i="4"/>
  <c r="J42" i="4"/>
  <c r="N42" i="4"/>
  <c r="R42" i="4"/>
  <c r="C42" i="4"/>
  <c r="G42" i="4"/>
  <c r="K42" i="4"/>
  <c r="O42" i="4"/>
  <c r="S42" i="4"/>
  <c r="E42" i="4"/>
  <c r="M42" i="4"/>
  <c r="H42" i="4"/>
  <c r="P42" i="4"/>
  <c r="I42" i="4"/>
  <c r="Q42" i="4"/>
  <c r="T42" i="4"/>
  <c r="D42" i="4"/>
  <c r="L42" i="4"/>
  <c r="C34" i="4"/>
  <c r="G34" i="4"/>
  <c r="K34" i="4"/>
  <c r="O34" i="4"/>
  <c r="S34" i="4"/>
  <c r="D34" i="4"/>
  <c r="H34" i="4"/>
  <c r="L34" i="4"/>
  <c r="E34" i="4"/>
  <c r="I34" i="4"/>
  <c r="M34" i="4"/>
  <c r="Q34" i="4"/>
  <c r="N34" i="4"/>
  <c r="B34" i="4"/>
  <c r="P34" i="4"/>
  <c r="J34" i="4"/>
  <c r="R34" i="4"/>
  <c r="T34" i="4"/>
  <c r="F34" i="4"/>
  <c r="C26" i="4"/>
  <c r="G26" i="4"/>
  <c r="K26" i="4"/>
  <c r="O26" i="4"/>
  <c r="S26" i="4"/>
  <c r="D26" i="4"/>
  <c r="H26" i="4"/>
  <c r="L26" i="4"/>
  <c r="P26" i="4"/>
  <c r="T26" i="4"/>
  <c r="E26" i="4"/>
  <c r="I26" i="4"/>
  <c r="M26" i="4"/>
  <c r="Q26" i="4"/>
  <c r="F26" i="4"/>
  <c r="J26" i="4"/>
  <c r="B26" i="4"/>
  <c r="N26" i="4"/>
  <c r="R26" i="4"/>
  <c r="C14" i="4"/>
  <c r="G14" i="4"/>
  <c r="K14" i="4"/>
  <c r="O14" i="4"/>
  <c r="S14" i="4"/>
  <c r="D14" i="4"/>
  <c r="H14" i="4"/>
  <c r="L14" i="4"/>
  <c r="P14" i="4"/>
  <c r="T14" i="4"/>
  <c r="E14" i="4"/>
  <c r="I14" i="4"/>
  <c r="M14" i="4"/>
  <c r="Q14" i="4"/>
  <c r="B14" i="4"/>
  <c r="R14" i="4"/>
  <c r="F14" i="4"/>
  <c r="J14" i="4"/>
  <c r="N14" i="4"/>
  <c r="D6" i="4"/>
  <c r="H6" i="4"/>
  <c r="L6" i="4"/>
  <c r="Q6" i="4"/>
  <c r="B6" i="4"/>
  <c r="E6" i="4"/>
  <c r="I6" i="4"/>
  <c r="N6" i="4"/>
  <c r="R6" i="4"/>
  <c r="F6" i="4"/>
  <c r="J6" i="4"/>
  <c r="O6" i="4"/>
  <c r="S6" i="4"/>
  <c r="P6" i="4"/>
  <c r="C6" i="4"/>
  <c r="K6" i="4"/>
  <c r="T6" i="4"/>
  <c r="G6" i="4"/>
  <c r="E219" i="4"/>
  <c r="I219" i="4"/>
  <c r="M219" i="4"/>
  <c r="Q219" i="4"/>
  <c r="B219" i="4"/>
  <c r="F219" i="4"/>
  <c r="J219" i="4"/>
  <c r="N219" i="4"/>
  <c r="R219" i="4"/>
  <c r="C219" i="4"/>
  <c r="G219" i="4"/>
  <c r="K219" i="4"/>
  <c r="O219" i="4"/>
  <c r="S219" i="4"/>
  <c r="D219" i="4"/>
  <c r="T219" i="4"/>
  <c r="H219" i="4"/>
  <c r="P219" i="4"/>
  <c r="L219" i="4"/>
  <c r="E215" i="4"/>
  <c r="I215" i="4"/>
  <c r="M215" i="4"/>
  <c r="Q215" i="4"/>
  <c r="B215" i="4"/>
  <c r="F215" i="4"/>
  <c r="J215" i="4"/>
  <c r="N215" i="4"/>
  <c r="R215" i="4"/>
  <c r="C215" i="4"/>
  <c r="G215" i="4"/>
  <c r="K215" i="4"/>
  <c r="O215" i="4"/>
  <c r="S215" i="4"/>
  <c r="P215" i="4"/>
  <c r="L215" i="4"/>
  <c r="D215" i="4"/>
  <c r="T215" i="4"/>
  <c r="H215" i="4"/>
  <c r="E211" i="4"/>
  <c r="I211" i="4"/>
  <c r="M211" i="4"/>
  <c r="Q211" i="4"/>
  <c r="B211" i="4"/>
  <c r="F211" i="4"/>
  <c r="J211" i="4"/>
  <c r="N211" i="4"/>
  <c r="R211" i="4"/>
  <c r="C211" i="4"/>
  <c r="G211" i="4"/>
  <c r="K211" i="4"/>
  <c r="O211" i="4"/>
  <c r="S211" i="4"/>
  <c r="L211" i="4"/>
  <c r="H211" i="4"/>
  <c r="P211" i="4"/>
  <c r="D211" i="4"/>
  <c r="T211" i="4"/>
  <c r="E207" i="4"/>
  <c r="I207" i="4"/>
  <c r="M207" i="4"/>
  <c r="Q207" i="4"/>
  <c r="B207" i="4"/>
  <c r="F207" i="4"/>
  <c r="J207" i="4"/>
  <c r="N207" i="4"/>
  <c r="R207" i="4"/>
  <c r="C207" i="4"/>
  <c r="G207" i="4"/>
  <c r="K207" i="4"/>
  <c r="O207" i="4"/>
  <c r="S207" i="4"/>
  <c r="H207" i="4"/>
  <c r="L207" i="4"/>
  <c r="P207" i="4"/>
  <c r="D207" i="4"/>
  <c r="T207" i="4"/>
  <c r="E203" i="4"/>
  <c r="I203" i="4"/>
  <c r="M203" i="4"/>
  <c r="Q203" i="4"/>
  <c r="L203" i="4"/>
  <c r="T203" i="4"/>
  <c r="B203" i="4"/>
  <c r="F203" i="4"/>
  <c r="J203" i="4"/>
  <c r="N203" i="4"/>
  <c r="R203" i="4"/>
  <c r="D203" i="4"/>
  <c r="C203" i="4"/>
  <c r="G203" i="4"/>
  <c r="K203" i="4"/>
  <c r="O203" i="4"/>
  <c r="S203" i="4"/>
  <c r="H203" i="4"/>
  <c r="P203" i="4"/>
  <c r="E199" i="4"/>
  <c r="I199" i="4"/>
  <c r="M199" i="4"/>
  <c r="Q199" i="4"/>
  <c r="H199" i="4"/>
  <c r="T199" i="4"/>
  <c r="B199" i="4"/>
  <c r="F199" i="4"/>
  <c r="J199" i="4"/>
  <c r="N199" i="4"/>
  <c r="R199" i="4"/>
  <c r="D199" i="4"/>
  <c r="P199" i="4"/>
  <c r="C199" i="4"/>
  <c r="G199" i="4"/>
  <c r="K199" i="4"/>
  <c r="O199" i="4"/>
  <c r="S199" i="4"/>
  <c r="L199" i="4"/>
  <c r="E195" i="4"/>
  <c r="I195" i="4"/>
  <c r="M195" i="4"/>
  <c r="Q195" i="4"/>
  <c r="H195" i="4"/>
  <c r="T195" i="4"/>
  <c r="B195" i="4"/>
  <c r="F195" i="4"/>
  <c r="J195" i="4"/>
  <c r="N195" i="4"/>
  <c r="R195" i="4"/>
  <c r="D195" i="4"/>
  <c r="P195" i="4"/>
  <c r="C195" i="4"/>
  <c r="G195" i="4"/>
  <c r="K195" i="4"/>
  <c r="O195" i="4"/>
  <c r="S195" i="4"/>
  <c r="L195" i="4"/>
  <c r="E191" i="4"/>
  <c r="I191" i="4"/>
  <c r="M191" i="4"/>
  <c r="Q191" i="4"/>
  <c r="L191" i="4"/>
  <c r="B191" i="4"/>
  <c r="F191" i="4"/>
  <c r="J191" i="4"/>
  <c r="N191" i="4"/>
  <c r="R191" i="4"/>
  <c r="D191" i="4"/>
  <c r="T191" i="4"/>
  <c r="C191" i="4"/>
  <c r="G191" i="4"/>
  <c r="K191" i="4"/>
  <c r="O191" i="4"/>
  <c r="S191" i="4"/>
  <c r="H191" i="4"/>
  <c r="P191" i="4"/>
  <c r="E187" i="4"/>
  <c r="I187" i="4"/>
  <c r="M187" i="4"/>
  <c r="Q187" i="4"/>
  <c r="D187" i="4"/>
  <c r="L187" i="4"/>
  <c r="B187" i="4"/>
  <c r="F187" i="4"/>
  <c r="J187" i="4"/>
  <c r="N187" i="4"/>
  <c r="R187" i="4"/>
  <c r="H187" i="4"/>
  <c r="T187" i="4"/>
  <c r="C187" i="4"/>
  <c r="G187" i="4"/>
  <c r="K187" i="4"/>
  <c r="O187" i="4"/>
  <c r="S187" i="4"/>
  <c r="P187" i="4"/>
  <c r="E183" i="4"/>
  <c r="I183" i="4"/>
  <c r="M183" i="4"/>
  <c r="Q183" i="4"/>
  <c r="D183" i="4"/>
  <c r="P183" i="4"/>
  <c r="B183" i="4"/>
  <c r="F183" i="4"/>
  <c r="J183" i="4"/>
  <c r="N183" i="4"/>
  <c r="R183" i="4"/>
  <c r="L183" i="4"/>
  <c r="C183" i="4"/>
  <c r="G183" i="4"/>
  <c r="K183" i="4"/>
  <c r="O183" i="4"/>
  <c r="S183" i="4"/>
  <c r="H183" i="4"/>
  <c r="T183" i="4"/>
  <c r="B179" i="4"/>
  <c r="F179" i="4"/>
  <c r="J179" i="4"/>
  <c r="N179" i="4"/>
  <c r="R179" i="4"/>
  <c r="C179" i="4"/>
  <c r="G179" i="4"/>
  <c r="K179" i="4"/>
  <c r="O179" i="4"/>
  <c r="S179" i="4"/>
  <c r="D179" i="4"/>
  <c r="H179" i="4"/>
  <c r="L179" i="4"/>
  <c r="P179" i="4"/>
  <c r="T179" i="4"/>
  <c r="Q179" i="4"/>
  <c r="E179" i="4"/>
  <c r="I179" i="4"/>
  <c r="M179" i="4"/>
  <c r="B175" i="4"/>
  <c r="F175" i="4"/>
  <c r="J175" i="4"/>
  <c r="N175" i="4"/>
  <c r="R175" i="4"/>
  <c r="C175" i="4"/>
  <c r="G175" i="4"/>
  <c r="K175" i="4"/>
  <c r="O175" i="4"/>
  <c r="S175" i="4"/>
  <c r="D175" i="4"/>
  <c r="H175" i="4"/>
  <c r="L175" i="4"/>
  <c r="P175" i="4"/>
  <c r="T175" i="4"/>
  <c r="M175" i="4"/>
  <c r="Q175" i="4"/>
  <c r="E175" i="4"/>
  <c r="I175" i="4"/>
  <c r="B171" i="4"/>
  <c r="F171" i="4"/>
  <c r="J171" i="4"/>
  <c r="N171" i="4"/>
  <c r="R171" i="4"/>
  <c r="C171" i="4"/>
  <c r="G171" i="4"/>
  <c r="K171" i="4"/>
  <c r="O171" i="4"/>
  <c r="S171" i="4"/>
  <c r="D171" i="4"/>
  <c r="H171" i="4"/>
  <c r="L171" i="4"/>
  <c r="P171" i="4"/>
  <c r="T171" i="4"/>
  <c r="I171" i="4"/>
  <c r="M171" i="4"/>
  <c r="Q171" i="4"/>
  <c r="E171" i="4"/>
  <c r="B167" i="4"/>
  <c r="F167" i="4"/>
  <c r="J167" i="4"/>
  <c r="N167" i="4"/>
  <c r="R167" i="4"/>
  <c r="C167" i="4"/>
  <c r="G167" i="4"/>
  <c r="K167" i="4"/>
  <c r="O167" i="4"/>
  <c r="S167" i="4"/>
  <c r="D167" i="4"/>
  <c r="H167" i="4"/>
  <c r="L167" i="4"/>
  <c r="P167" i="4"/>
  <c r="T167" i="4"/>
  <c r="E167" i="4"/>
  <c r="Q167" i="4"/>
  <c r="I167" i="4"/>
  <c r="M167" i="4"/>
  <c r="B163" i="4"/>
  <c r="F163" i="4"/>
  <c r="J163" i="4"/>
  <c r="N163" i="4"/>
  <c r="R163" i="4"/>
  <c r="C163" i="4"/>
  <c r="G163" i="4"/>
  <c r="K163" i="4"/>
  <c r="O163" i="4"/>
  <c r="S163" i="4"/>
  <c r="D163" i="4"/>
  <c r="H163" i="4"/>
  <c r="L163" i="4"/>
  <c r="P163" i="4"/>
  <c r="T163" i="4"/>
  <c r="Q163" i="4"/>
  <c r="E163" i="4"/>
  <c r="I163" i="4"/>
  <c r="M163" i="4"/>
  <c r="B159" i="4"/>
  <c r="F159" i="4"/>
  <c r="J159" i="4"/>
  <c r="N159" i="4"/>
  <c r="R159" i="4"/>
  <c r="C159" i="4"/>
  <c r="G159" i="4"/>
  <c r="K159" i="4"/>
  <c r="O159" i="4"/>
  <c r="S159" i="4"/>
  <c r="D159" i="4"/>
  <c r="H159" i="4"/>
  <c r="L159" i="4"/>
  <c r="P159" i="4"/>
  <c r="T159" i="4"/>
  <c r="M159" i="4"/>
  <c r="Q159" i="4"/>
  <c r="E159" i="4"/>
  <c r="I159" i="4"/>
  <c r="B155" i="4"/>
  <c r="F155" i="4"/>
  <c r="J155" i="4"/>
  <c r="N155" i="4"/>
  <c r="R155" i="4"/>
  <c r="C155" i="4"/>
  <c r="G155" i="4"/>
  <c r="K155" i="4"/>
  <c r="O155" i="4"/>
  <c r="S155" i="4"/>
  <c r="D155" i="4"/>
  <c r="H155" i="4"/>
  <c r="L155" i="4"/>
  <c r="P155" i="4"/>
  <c r="T155" i="4"/>
  <c r="I155" i="4"/>
  <c r="E155" i="4"/>
  <c r="M155" i="4"/>
  <c r="Q155" i="4"/>
  <c r="C151" i="4"/>
  <c r="G151" i="4"/>
  <c r="K151" i="4"/>
  <c r="O151" i="4"/>
  <c r="S151" i="4"/>
  <c r="E151" i="4"/>
  <c r="J151" i="4"/>
  <c r="P151" i="4"/>
  <c r="F151" i="4"/>
  <c r="L151" i="4"/>
  <c r="Q151" i="4"/>
  <c r="B151" i="4"/>
  <c r="H151" i="4"/>
  <c r="M151" i="4"/>
  <c r="R151" i="4"/>
  <c r="I151" i="4"/>
  <c r="N151" i="4"/>
  <c r="T151" i="4"/>
  <c r="D151" i="4"/>
  <c r="C147" i="4"/>
  <c r="G147" i="4"/>
  <c r="K147" i="4"/>
  <c r="O147" i="4"/>
  <c r="S147" i="4"/>
  <c r="F147" i="4"/>
  <c r="L147" i="4"/>
  <c r="Q147" i="4"/>
  <c r="B147" i="4"/>
  <c r="H147" i="4"/>
  <c r="M147" i="4"/>
  <c r="R147" i="4"/>
  <c r="D147" i="4"/>
  <c r="I147" i="4"/>
  <c r="N147" i="4"/>
  <c r="T147" i="4"/>
  <c r="E147" i="4"/>
  <c r="J147" i="4"/>
  <c r="P147" i="4"/>
  <c r="C143" i="4"/>
  <c r="G143" i="4"/>
  <c r="K143" i="4"/>
  <c r="O143" i="4"/>
  <c r="S143" i="4"/>
  <c r="B143" i="4"/>
  <c r="H143" i="4"/>
  <c r="M143" i="4"/>
  <c r="R143" i="4"/>
  <c r="D143" i="4"/>
  <c r="I143" i="4"/>
  <c r="N143" i="4"/>
  <c r="T143" i="4"/>
  <c r="E143" i="4"/>
  <c r="J143" i="4"/>
  <c r="P143" i="4"/>
  <c r="L143" i="4"/>
  <c r="Q143" i="4"/>
  <c r="F143" i="4"/>
  <c r="C139" i="4"/>
  <c r="G139" i="4"/>
  <c r="K139" i="4"/>
  <c r="O139" i="4"/>
  <c r="S139" i="4"/>
  <c r="D139" i="4"/>
  <c r="I139" i="4"/>
  <c r="N139" i="4"/>
  <c r="T139" i="4"/>
  <c r="E139" i="4"/>
  <c r="J139" i="4"/>
  <c r="P139" i="4"/>
  <c r="F139" i="4"/>
  <c r="L139" i="4"/>
  <c r="Q139" i="4"/>
  <c r="B139" i="4"/>
  <c r="H139" i="4"/>
  <c r="R139" i="4"/>
  <c r="M139" i="4"/>
  <c r="C135" i="4"/>
  <c r="G135" i="4"/>
  <c r="K135" i="4"/>
  <c r="O135" i="4"/>
  <c r="S135" i="4"/>
  <c r="E135" i="4"/>
  <c r="J135" i="4"/>
  <c r="P135" i="4"/>
  <c r="F135" i="4"/>
  <c r="L135" i="4"/>
  <c r="Q135" i="4"/>
  <c r="B135" i="4"/>
  <c r="H135" i="4"/>
  <c r="M135" i="4"/>
  <c r="R135" i="4"/>
  <c r="N135" i="4"/>
  <c r="I135" i="4"/>
  <c r="T135" i="4"/>
  <c r="D135" i="4"/>
  <c r="C131" i="4"/>
  <c r="G131" i="4"/>
  <c r="K131" i="4"/>
  <c r="O131" i="4"/>
  <c r="S131" i="4"/>
  <c r="F131" i="4"/>
  <c r="L131" i="4"/>
  <c r="Q131" i="4"/>
  <c r="B131" i="4"/>
  <c r="H131" i="4"/>
  <c r="M131" i="4"/>
  <c r="R131" i="4"/>
  <c r="D131" i="4"/>
  <c r="I131" i="4"/>
  <c r="N131" i="4"/>
  <c r="T131" i="4"/>
  <c r="E131" i="4"/>
  <c r="J131" i="4"/>
  <c r="P131" i="4"/>
  <c r="C127" i="4"/>
  <c r="G127" i="4"/>
  <c r="K127" i="4"/>
  <c r="O127" i="4"/>
  <c r="S127" i="4"/>
  <c r="B127" i="4"/>
  <c r="H127" i="4"/>
  <c r="M127" i="4"/>
  <c r="R127" i="4"/>
  <c r="D127" i="4"/>
  <c r="I127" i="4"/>
  <c r="N127" i="4"/>
  <c r="T127" i="4"/>
  <c r="E127" i="4"/>
  <c r="J127" i="4"/>
  <c r="P127" i="4"/>
  <c r="Q127" i="4"/>
  <c r="F127" i="4"/>
  <c r="L127" i="4"/>
  <c r="C123" i="4"/>
  <c r="G123" i="4"/>
  <c r="K123" i="4"/>
  <c r="O123" i="4"/>
  <c r="S123" i="4"/>
  <c r="D123" i="4"/>
  <c r="I123" i="4"/>
  <c r="N123" i="4"/>
  <c r="T123" i="4"/>
  <c r="E123" i="4"/>
  <c r="J123" i="4"/>
  <c r="P123" i="4"/>
  <c r="F123" i="4"/>
  <c r="L123" i="4"/>
  <c r="Q123" i="4"/>
  <c r="H123" i="4"/>
  <c r="B123" i="4"/>
  <c r="M123" i="4"/>
  <c r="R123" i="4"/>
  <c r="C119" i="4"/>
  <c r="G119" i="4"/>
  <c r="K119" i="4"/>
  <c r="O119" i="4"/>
  <c r="S119" i="4"/>
  <c r="E119" i="4"/>
  <c r="J119" i="4"/>
  <c r="P119" i="4"/>
  <c r="F119" i="4"/>
  <c r="L119" i="4"/>
  <c r="Q119" i="4"/>
  <c r="B119" i="4"/>
  <c r="H119" i="4"/>
  <c r="M119" i="4"/>
  <c r="R119" i="4"/>
  <c r="T119" i="4"/>
  <c r="N119" i="4"/>
  <c r="D119" i="4"/>
  <c r="I119" i="4"/>
  <c r="C115" i="4"/>
  <c r="G115" i="4"/>
  <c r="K115" i="4"/>
  <c r="O115" i="4"/>
  <c r="S115" i="4"/>
  <c r="D115" i="4"/>
  <c r="H115" i="4"/>
  <c r="L115" i="4"/>
  <c r="P115" i="4"/>
  <c r="T115" i="4"/>
  <c r="B115" i="4"/>
  <c r="J115" i="4"/>
  <c r="R115" i="4"/>
  <c r="E115" i="4"/>
  <c r="M115" i="4"/>
  <c r="F115" i="4"/>
  <c r="N115" i="4"/>
  <c r="I115" i="4"/>
  <c r="Q115" i="4"/>
  <c r="C111" i="4"/>
  <c r="G111" i="4"/>
  <c r="K111" i="4"/>
  <c r="O111" i="4"/>
  <c r="S111" i="4"/>
  <c r="D111" i="4"/>
  <c r="H111" i="4"/>
  <c r="L111" i="4"/>
  <c r="P111" i="4"/>
  <c r="T111" i="4"/>
  <c r="F111" i="4"/>
  <c r="N111" i="4"/>
  <c r="I111" i="4"/>
  <c r="Q111" i="4"/>
  <c r="B111" i="4"/>
  <c r="J111" i="4"/>
  <c r="R111" i="4"/>
  <c r="M111" i="4"/>
  <c r="E111" i="4"/>
  <c r="C107" i="4"/>
  <c r="G107" i="4"/>
  <c r="K107" i="4"/>
  <c r="O107" i="4"/>
  <c r="S107" i="4"/>
  <c r="D107" i="4"/>
  <c r="H107" i="4"/>
  <c r="L107" i="4"/>
  <c r="P107" i="4"/>
  <c r="T107" i="4"/>
  <c r="B107" i="4"/>
  <c r="J107" i="4"/>
  <c r="R107" i="4"/>
  <c r="E107" i="4"/>
  <c r="M107" i="4"/>
  <c r="F107" i="4"/>
  <c r="N107" i="4"/>
  <c r="I107" i="4"/>
  <c r="Q107" i="4"/>
  <c r="C103" i="4"/>
  <c r="G103" i="4"/>
  <c r="K103" i="4"/>
  <c r="O103" i="4"/>
  <c r="S103" i="4"/>
  <c r="D103" i="4"/>
  <c r="H103" i="4"/>
  <c r="L103" i="4"/>
  <c r="P103" i="4"/>
  <c r="T103" i="4"/>
  <c r="F103" i="4"/>
  <c r="N103" i="4"/>
  <c r="I103" i="4"/>
  <c r="Q103" i="4"/>
  <c r="B103" i="4"/>
  <c r="J103" i="4"/>
  <c r="R103" i="4"/>
  <c r="M103" i="4"/>
  <c r="E103" i="4"/>
  <c r="C99" i="4"/>
  <c r="G99" i="4"/>
  <c r="K99" i="4"/>
  <c r="O99" i="4"/>
  <c r="S99" i="4"/>
  <c r="D99" i="4"/>
  <c r="H99" i="4"/>
  <c r="L99" i="4"/>
  <c r="P99" i="4"/>
  <c r="T99" i="4"/>
  <c r="E99" i="4"/>
  <c r="M99" i="4"/>
  <c r="F99" i="4"/>
  <c r="N99" i="4"/>
  <c r="J99" i="4"/>
  <c r="Q99" i="4"/>
  <c r="B99" i="4"/>
  <c r="R99" i="4"/>
  <c r="I99" i="4"/>
  <c r="C95" i="4"/>
  <c r="G95" i="4"/>
  <c r="K95" i="4"/>
  <c r="O95" i="4"/>
  <c r="S95" i="4"/>
  <c r="D95" i="4"/>
  <c r="H95" i="4"/>
  <c r="L95" i="4"/>
  <c r="P95" i="4"/>
  <c r="T95" i="4"/>
  <c r="I95" i="4"/>
  <c r="Q95" i="4"/>
  <c r="B95" i="4"/>
  <c r="J95" i="4"/>
  <c r="R95" i="4"/>
  <c r="F95" i="4"/>
  <c r="M95" i="4"/>
  <c r="N95" i="4"/>
  <c r="E95" i="4"/>
  <c r="C91" i="4"/>
  <c r="G91" i="4"/>
  <c r="K91" i="4"/>
  <c r="O91" i="4"/>
  <c r="S91" i="4"/>
  <c r="D91" i="4"/>
  <c r="H91" i="4"/>
  <c r="L91" i="4"/>
  <c r="P91" i="4"/>
  <c r="T91" i="4"/>
  <c r="E91" i="4"/>
  <c r="M91" i="4"/>
  <c r="F91" i="4"/>
  <c r="N91" i="4"/>
  <c r="B91" i="4"/>
  <c r="R91" i="4"/>
  <c r="I91" i="4"/>
  <c r="J91" i="4"/>
  <c r="Q91" i="4"/>
  <c r="C87" i="4"/>
  <c r="G87" i="4"/>
  <c r="K87" i="4"/>
  <c r="O87" i="4"/>
  <c r="S87" i="4"/>
  <c r="D87" i="4"/>
  <c r="H87" i="4"/>
  <c r="L87" i="4"/>
  <c r="P87" i="4"/>
  <c r="T87" i="4"/>
  <c r="I87" i="4"/>
  <c r="Q87" i="4"/>
  <c r="B87" i="4"/>
  <c r="J87" i="4"/>
  <c r="R87" i="4"/>
  <c r="N87" i="4"/>
  <c r="E87" i="4"/>
  <c r="F87" i="4"/>
  <c r="M87" i="4"/>
  <c r="C83" i="4"/>
  <c r="G83" i="4"/>
  <c r="K83" i="4"/>
  <c r="O83" i="4"/>
  <c r="S83" i="4"/>
  <c r="D83" i="4"/>
  <c r="H83" i="4"/>
  <c r="L83" i="4"/>
  <c r="P83" i="4"/>
  <c r="T83" i="4"/>
  <c r="E83" i="4"/>
  <c r="M83" i="4"/>
  <c r="F83" i="4"/>
  <c r="N83" i="4"/>
  <c r="J83" i="4"/>
  <c r="Q83" i="4"/>
  <c r="B83" i="4"/>
  <c r="R83" i="4"/>
  <c r="I83" i="4"/>
  <c r="C79" i="4"/>
  <c r="G79" i="4"/>
  <c r="K79" i="4"/>
  <c r="O79" i="4"/>
  <c r="S79" i="4"/>
  <c r="D79" i="4"/>
  <c r="H79" i="4"/>
  <c r="L79" i="4"/>
  <c r="P79" i="4"/>
  <c r="T79" i="4"/>
  <c r="I79" i="4"/>
  <c r="Q79" i="4"/>
  <c r="B79" i="4"/>
  <c r="J79" i="4"/>
  <c r="R79" i="4"/>
  <c r="F79" i="4"/>
  <c r="M79" i="4"/>
  <c r="N79" i="4"/>
  <c r="E79" i="4"/>
  <c r="B75" i="4"/>
  <c r="F75" i="4"/>
  <c r="J75" i="4"/>
  <c r="C75" i="4"/>
  <c r="G75" i="4"/>
  <c r="K75" i="4"/>
  <c r="I75" i="4"/>
  <c r="O75" i="4"/>
  <c r="S75" i="4"/>
  <c r="D75" i="4"/>
  <c r="L75" i="4"/>
  <c r="P75" i="4"/>
  <c r="T75" i="4"/>
  <c r="M75" i="4"/>
  <c r="N75" i="4"/>
  <c r="R75" i="4"/>
  <c r="E75" i="4"/>
  <c r="H75" i="4"/>
  <c r="Q75" i="4"/>
  <c r="B71" i="4"/>
  <c r="F71" i="4"/>
  <c r="J71" i="4"/>
  <c r="N71" i="4"/>
  <c r="R71" i="4"/>
  <c r="C71" i="4"/>
  <c r="G71" i="4"/>
  <c r="K71" i="4"/>
  <c r="O71" i="4"/>
  <c r="S71" i="4"/>
  <c r="E71" i="4"/>
  <c r="M71" i="4"/>
  <c r="H71" i="4"/>
  <c r="P71" i="4"/>
  <c r="I71" i="4"/>
  <c r="L71" i="4"/>
  <c r="D71" i="4"/>
  <c r="Q71" i="4"/>
  <c r="T71" i="4"/>
  <c r="E67" i="4"/>
  <c r="I67" i="4"/>
  <c r="M67" i="4"/>
  <c r="Q67" i="4"/>
  <c r="B67" i="4"/>
  <c r="F67" i="4"/>
  <c r="J67" i="4"/>
  <c r="N67" i="4"/>
  <c r="R67" i="4"/>
  <c r="C67" i="4"/>
  <c r="G67" i="4"/>
  <c r="K67" i="4"/>
  <c r="O67" i="4"/>
  <c r="S67" i="4"/>
  <c r="P67" i="4"/>
  <c r="D67" i="4"/>
  <c r="T67" i="4"/>
  <c r="H67" i="4"/>
  <c r="L67" i="4"/>
  <c r="E63" i="4"/>
  <c r="I63" i="4"/>
  <c r="M63" i="4"/>
  <c r="Q63" i="4"/>
  <c r="B63" i="4"/>
  <c r="F63" i="4"/>
  <c r="J63" i="4"/>
  <c r="N63" i="4"/>
  <c r="R63" i="4"/>
  <c r="C63" i="4"/>
  <c r="G63" i="4"/>
  <c r="K63" i="4"/>
  <c r="O63" i="4"/>
  <c r="S63" i="4"/>
  <c r="L63" i="4"/>
  <c r="P63" i="4"/>
  <c r="T63" i="4"/>
  <c r="D63" i="4"/>
  <c r="H63" i="4"/>
  <c r="E59" i="4"/>
  <c r="I59" i="4"/>
  <c r="M59" i="4"/>
  <c r="Q59" i="4"/>
  <c r="B59" i="4"/>
  <c r="F59" i="4"/>
  <c r="J59" i="4"/>
  <c r="N59" i="4"/>
  <c r="R59" i="4"/>
  <c r="C59" i="4"/>
  <c r="G59" i="4"/>
  <c r="K59" i="4"/>
  <c r="O59" i="4"/>
  <c r="S59" i="4"/>
  <c r="H59" i="4"/>
  <c r="L59" i="4"/>
  <c r="D59" i="4"/>
  <c r="P59" i="4"/>
  <c r="T59" i="4"/>
  <c r="E55" i="4"/>
  <c r="I55" i="4"/>
  <c r="M55" i="4"/>
  <c r="Q55" i="4"/>
  <c r="B55" i="4"/>
  <c r="F55" i="4"/>
  <c r="J55" i="4"/>
  <c r="N55" i="4"/>
  <c r="R55" i="4"/>
  <c r="C55" i="4"/>
  <c r="G55" i="4"/>
  <c r="K55" i="4"/>
  <c r="O55" i="4"/>
  <c r="S55" i="4"/>
  <c r="D55" i="4"/>
  <c r="T55" i="4"/>
  <c r="H55" i="4"/>
  <c r="L55" i="4"/>
  <c r="P55" i="4"/>
  <c r="E51" i="4"/>
  <c r="I51" i="4"/>
  <c r="M51" i="4"/>
  <c r="Q51" i="4"/>
  <c r="B51" i="4"/>
  <c r="F51" i="4"/>
  <c r="J51" i="4"/>
  <c r="N51" i="4"/>
  <c r="R51" i="4"/>
  <c r="C51" i="4"/>
  <c r="G51" i="4"/>
  <c r="K51" i="4"/>
  <c r="O51" i="4"/>
  <c r="S51" i="4"/>
  <c r="P51" i="4"/>
  <c r="D51" i="4"/>
  <c r="T51" i="4"/>
  <c r="H51" i="4"/>
  <c r="L51" i="4"/>
  <c r="C47" i="4"/>
  <c r="G47" i="4"/>
  <c r="K47" i="4"/>
  <c r="O47" i="4"/>
  <c r="S47" i="4"/>
  <c r="D47" i="4"/>
  <c r="H47" i="4"/>
  <c r="L47" i="4"/>
  <c r="P47" i="4"/>
  <c r="T47" i="4"/>
  <c r="F47" i="4"/>
  <c r="N47" i="4"/>
  <c r="I47" i="4"/>
  <c r="Q47" i="4"/>
  <c r="B47" i="4"/>
  <c r="J47" i="4"/>
  <c r="R47" i="4"/>
  <c r="E47" i="4"/>
  <c r="M47" i="4"/>
  <c r="C43" i="4"/>
  <c r="G43" i="4"/>
  <c r="K43" i="4"/>
  <c r="O43" i="4"/>
  <c r="S43" i="4"/>
  <c r="D43" i="4"/>
  <c r="H43" i="4"/>
  <c r="L43" i="4"/>
  <c r="P43" i="4"/>
  <c r="T43" i="4"/>
  <c r="B43" i="4"/>
  <c r="J43" i="4"/>
  <c r="R43" i="4"/>
  <c r="E43" i="4"/>
  <c r="M43" i="4"/>
  <c r="F43" i="4"/>
  <c r="N43" i="4"/>
  <c r="I43" i="4"/>
  <c r="Q43" i="4"/>
  <c r="C39" i="4"/>
  <c r="G39" i="4"/>
  <c r="K39" i="4"/>
  <c r="O39" i="4"/>
  <c r="S39" i="4"/>
  <c r="D39" i="4"/>
  <c r="H39" i="4"/>
  <c r="L39" i="4"/>
  <c r="P39" i="4"/>
  <c r="T39" i="4"/>
  <c r="F39" i="4"/>
  <c r="N39" i="4"/>
  <c r="I39" i="4"/>
  <c r="Q39" i="4"/>
  <c r="B39" i="4"/>
  <c r="J39" i="4"/>
  <c r="R39" i="4"/>
  <c r="M39" i="4"/>
  <c r="E39" i="4"/>
  <c r="D35" i="4"/>
  <c r="H35" i="4"/>
  <c r="L35" i="4"/>
  <c r="B35" i="4"/>
  <c r="F35" i="4"/>
  <c r="C35" i="4"/>
  <c r="J35" i="4"/>
  <c r="O35" i="4"/>
  <c r="S35" i="4"/>
  <c r="E35" i="4"/>
  <c r="K35" i="4"/>
  <c r="P35" i="4"/>
  <c r="T35" i="4"/>
  <c r="I35" i="4"/>
  <c r="R35" i="4"/>
  <c r="M35" i="4"/>
  <c r="N35" i="4"/>
  <c r="G35" i="4"/>
  <c r="Q35" i="4"/>
  <c r="D31" i="4"/>
  <c r="H31" i="4"/>
  <c r="L31" i="4"/>
  <c r="P31" i="4"/>
  <c r="T31" i="4"/>
  <c r="E31" i="4"/>
  <c r="I31" i="4"/>
  <c r="M31" i="4"/>
  <c r="Q31" i="4"/>
  <c r="B31" i="4"/>
  <c r="F31" i="4"/>
  <c r="J31" i="4"/>
  <c r="N31" i="4"/>
  <c r="R31" i="4"/>
  <c r="G31" i="4"/>
  <c r="K31" i="4"/>
  <c r="C31" i="4"/>
  <c r="O31" i="4"/>
  <c r="S31" i="4"/>
  <c r="D27" i="4"/>
  <c r="H27" i="4"/>
  <c r="L27" i="4"/>
  <c r="P27" i="4"/>
  <c r="T27" i="4"/>
  <c r="E27" i="4"/>
  <c r="I27" i="4"/>
  <c r="M27" i="4"/>
  <c r="Q27" i="4"/>
  <c r="B27" i="4"/>
  <c r="F27" i="4"/>
  <c r="J27" i="4"/>
  <c r="N27" i="4"/>
  <c r="R27" i="4"/>
  <c r="C27" i="4"/>
  <c r="S27" i="4"/>
  <c r="G27" i="4"/>
  <c r="O27" i="4"/>
  <c r="K27" i="4"/>
  <c r="D23" i="4"/>
  <c r="H23" i="4"/>
  <c r="L23" i="4"/>
  <c r="P23" i="4"/>
  <c r="T23" i="4"/>
  <c r="C23" i="4"/>
  <c r="I23" i="4"/>
  <c r="N23" i="4"/>
  <c r="S23" i="4"/>
  <c r="E23" i="4"/>
  <c r="J23" i="4"/>
  <c r="O23" i="4"/>
  <c r="F23" i="4"/>
  <c r="K23" i="4"/>
  <c r="Q23" i="4"/>
  <c r="G23" i="4"/>
  <c r="M23" i="4"/>
  <c r="B23" i="4"/>
  <c r="R23" i="4"/>
  <c r="D19" i="4"/>
  <c r="H19" i="4"/>
  <c r="L19" i="4"/>
  <c r="P19" i="4"/>
  <c r="T19" i="4"/>
  <c r="B19" i="4"/>
  <c r="F19" i="4"/>
  <c r="J19" i="4"/>
  <c r="N19" i="4"/>
  <c r="R19" i="4"/>
  <c r="E19" i="4"/>
  <c r="M19" i="4"/>
  <c r="G19" i="4"/>
  <c r="O19" i="4"/>
  <c r="I19" i="4"/>
  <c r="Q19" i="4"/>
  <c r="C19" i="4"/>
  <c r="K19" i="4"/>
  <c r="S19" i="4"/>
  <c r="D15" i="4"/>
  <c r="H15" i="4"/>
  <c r="L15" i="4"/>
  <c r="P15" i="4"/>
  <c r="T15" i="4"/>
  <c r="B15" i="4"/>
  <c r="F15" i="4"/>
  <c r="J15" i="4"/>
  <c r="N15" i="4"/>
  <c r="R15" i="4"/>
  <c r="I15" i="4"/>
  <c r="Q15" i="4"/>
  <c r="C15" i="4"/>
  <c r="K15" i="4"/>
  <c r="S15" i="4"/>
  <c r="E15" i="4"/>
  <c r="M15" i="4"/>
  <c r="G15" i="4"/>
  <c r="O15" i="4"/>
  <c r="D11" i="4"/>
  <c r="H11" i="4"/>
  <c r="L11" i="4"/>
  <c r="P11" i="4"/>
  <c r="T11" i="4"/>
  <c r="E11" i="4"/>
  <c r="I11" i="4"/>
  <c r="M11" i="4"/>
  <c r="Q11" i="4"/>
  <c r="B11" i="4"/>
  <c r="F11" i="4"/>
  <c r="J11" i="4"/>
  <c r="N11" i="4"/>
  <c r="R11" i="4"/>
  <c r="K11" i="4"/>
  <c r="O11" i="4"/>
  <c r="C11" i="4"/>
  <c r="S11" i="4"/>
  <c r="G11" i="4"/>
  <c r="B7" i="4"/>
  <c r="F7" i="4"/>
  <c r="J7" i="4"/>
  <c r="O7" i="4"/>
  <c r="S7" i="4"/>
  <c r="C7" i="4"/>
  <c r="G7" i="4"/>
  <c r="K7" i="4"/>
  <c r="P7" i="4"/>
  <c r="T7" i="4"/>
  <c r="D7" i="4"/>
  <c r="H7" i="4"/>
  <c r="L7" i="4"/>
  <c r="Q7" i="4"/>
  <c r="E7" i="4"/>
  <c r="I7" i="4"/>
  <c r="N7" i="4"/>
  <c r="R7" i="4"/>
  <c r="M7" i="4"/>
  <c r="M8" i="4"/>
  <c r="M6" i="3"/>
  <c r="M6" i="4" s="1"/>
  <c r="L28" i="1"/>
  <c r="L27" i="1" s="1"/>
  <c r="B28" i="1"/>
  <c r="Q27" i="1"/>
  <c r="P27" i="1"/>
  <c r="J27" i="1"/>
  <c r="Z27" i="1" s="1"/>
  <c r="B27" i="1"/>
  <c r="U8" i="4" l="1"/>
  <c r="U83" i="4"/>
  <c r="U91" i="4"/>
  <c r="U99" i="4"/>
  <c r="U119" i="4"/>
  <c r="U135" i="4"/>
  <c r="U211" i="4"/>
  <c r="U34" i="4"/>
  <c r="U218" i="4"/>
  <c r="U96" i="4"/>
  <c r="U132" i="4"/>
  <c r="U160" i="4"/>
  <c r="U176" i="4"/>
  <c r="U30" i="4"/>
  <c r="U141" i="4"/>
  <c r="U202" i="4"/>
  <c r="U67" i="4"/>
  <c r="U77" i="4"/>
  <c r="U93" i="4"/>
  <c r="U113" i="4"/>
  <c r="U129" i="4"/>
  <c r="U133" i="4"/>
  <c r="U173" i="4"/>
  <c r="U205" i="4"/>
  <c r="U58" i="4"/>
  <c r="U114" i="4"/>
  <c r="U158" i="4"/>
  <c r="U106" i="4"/>
  <c r="U154" i="4"/>
  <c r="U15" i="4"/>
  <c r="U31" i="4"/>
  <c r="U43" i="4"/>
  <c r="U107" i="4"/>
  <c r="U131" i="4"/>
  <c r="U147" i="4"/>
  <c r="U42" i="4"/>
  <c r="U86" i="4"/>
  <c r="U138" i="4"/>
  <c r="U186" i="4"/>
  <c r="U16" i="4"/>
  <c r="U52" i="4"/>
  <c r="U180" i="4"/>
  <c r="U212" i="4"/>
  <c r="U13" i="4"/>
  <c r="U29" i="4"/>
  <c r="U159" i="4"/>
  <c r="U175" i="4"/>
  <c r="U183" i="4"/>
  <c r="U199" i="4"/>
  <c r="U207" i="4"/>
  <c r="U14" i="4"/>
  <c r="U62" i="4"/>
  <c r="U74" i="4"/>
  <c r="U126" i="4"/>
  <c r="U174" i="4"/>
  <c r="U210" i="4"/>
  <c r="U32" i="4"/>
  <c r="U36" i="4"/>
  <c r="U48" i="4"/>
  <c r="U64" i="4"/>
  <c r="U72" i="4"/>
  <c r="U76" i="4"/>
  <c r="U88" i="4"/>
  <c r="U92" i="4"/>
  <c r="U112" i="4"/>
  <c r="U116" i="4"/>
  <c r="U148" i="4"/>
  <c r="U156" i="4"/>
  <c r="U168" i="4"/>
  <c r="U192" i="4"/>
  <c r="U208" i="4"/>
  <c r="U9" i="4"/>
  <c r="U25" i="4"/>
  <c r="U41" i="4"/>
  <c r="U53" i="4"/>
  <c r="U65" i="4"/>
  <c r="U89" i="4"/>
  <c r="U105" i="4"/>
  <c r="U145" i="4"/>
  <c r="U149" i="4"/>
  <c r="U165" i="4"/>
  <c r="U197" i="4"/>
  <c r="U22" i="4"/>
  <c r="U102" i="4"/>
  <c r="U146" i="4"/>
  <c r="U182" i="4"/>
  <c r="U198" i="4"/>
  <c r="U177" i="4"/>
  <c r="U185" i="4"/>
  <c r="U94" i="4"/>
  <c r="U142" i="4"/>
  <c r="U190" i="4"/>
  <c r="U51" i="4"/>
  <c r="U127" i="4"/>
  <c r="U151" i="4"/>
  <c r="U163" i="4"/>
  <c r="U179" i="4"/>
  <c r="U187" i="4"/>
  <c r="U68" i="4"/>
  <c r="U80" i="4"/>
  <c r="U164" i="4"/>
  <c r="U45" i="4"/>
  <c r="U7" i="4"/>
  <c r="U35" i="4"/>
  <c r="U39" i="4"/>
  <c r="U79" i="4"/>
  <c r="U95" i="4"/>
  <c r="U115" i="4"/>
  <c r="U155" i="4"/>
  <c r="U171" i="4"/>
  <c r="U195" i="4"/>
  <c r="U219" i="4"/>
  <c r="U26" i="4"/>
  <c r="U54" i="4"/>
  <c r="U110" i="4"/>
  <c r="U162" i="4"/>
  <c r="U12" i="4"/>
  <c r="U28" i="4"/>
  <c r="U60" i="4"/>
  <c r="U104" i="4"/>
  <c r="U120" i="4"/>
  <c r="U124" i="4"/>
  <c r="U128" i="4"/>
  <c r="U136" i="4"/>
  <c r="U140" i="4"/>
  <c r="U144" i="4"/>
  <c r="U152" i="4"/>
  <c r="U172" i="4"/>
  <c r="U188" i="4"/>
  <c r="U204" i="4"/>
  <c r="U220" i="4"/>
  <c r="U21" i="4"/>
  <c r="U37" i="4"/>
  <c r="U57" i="4"/>
  <c r="U61" i="4"/>
  <c r="U69" i="4"/>
  <c r="U73" i="4"/>
  <c r="U85" i="4"/>
  <c r="U101" i="4"/>
  <c r="U157" i="4"/>
  <c r="U189" i="4"/>
  <c r="U209" i="4"/>
  <c r="U217" i="4"/>
  <c r="U46" i="4"/>
  <c r="U70" i="4"/>
  <c r="U90" i="4"/>
  <c r="U134" i="4"/>
  <c r="U153" i="4"/>
  <c r="U169" i="4"/>
  <c r="U201" i="4"/>
  <c r="U18" i="4"/>
  <c r="U66" i="4"/>
  <c r="U82" i="4"/>
  <c r="U130" i="4"/>
  <c r="U178" i="4"/>
  <c r="U214" i="4"/>
  <c r="U143" i="4"/>
  <c r="U191" i="4"/>
  <c r="U203" i="4"/>
  <c r="U24" i="4"/>
  <c r="U196" i="4"/>
  <c r="U11" i="4"/>
  <c r="U27" i="4"/>
  <c r="U63" i="4"/>
  <c r="U103" i="4"/>
  <c r="U23" i="4"/>
  <c r="U59" i="4"/>
  <c r="U75" i="4"/>
  <c r="U123" i="4"/>
  <c r="U6" i="4"/>
  <c r="W6" i="4" s="1"/>
  <c r="U19" i="4"/>
  <c r="U47" i="4"/>
  <c r="U55" i="4"/>
  <c r="U71" i="4"/>
  <c r="U87" i="4"/>
  <c r="U111" i="4"/>
  <c r="U139" i="4"/>
  <c r="U167" i="4"/>
  <c r="U215" i="4"/>
  <c r="U98" i="4"/>
  <c r="U150" i="4"/>
  <c r="U194" i="4"/>
  <c r="U20" i="4"/>
  <c r="U40" i="4"/>
  <c r="U44" i="4"/>
  <c r="U56" i="4"/>
  <c r="U84" i="4"/>
  <c r="U100" i="4"/>
  <c r="U108" i="4"/>
  <c r="U184" i="4"/>
  <c r="U200" i="4"/>
  <c r="U216" i="4"/>
  <c r="U17" i="4"/>
  <c r="U33" i="4"/>
  <c r="U49" i="4"/>
  <c r="U81" i="4"/>
  <c r="U97" i="4"/>
  <c r="U117" i="4"/>
  <c r="U121" i="4"/>
  <c r="U125" i="4"/>
  <c r="U137" i="4"/>
  <c r="U181" i="4"/>
  <c r="U10" i="4"/>
  <c r="U38" i="4"/>
  <c r="U78" i="4"/>
  <c r="U122" i="4"/>
  <c r="U170" i="4"/>
  <c r="U206" i="4"/>
  <c r="U109" i="4"/>
  <c r="U161" i="4"/>
  <c r="U193" i="4"/>
  <c r="U213" i="4"/>
  <c r="U50" i="4"/>
  <c r="U118" i="4"/>
  <c r="U166" i="4"/>
  <c r="AA27" i="1"/>
  <c r="AM27" i="1" s="1"/>
  <c r="A6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5" i="8"/>
  <c r="F5" i="8"/>
  <c r="E5" i="8"/>
  <c r="D5" i="8"/>
  <c r="C5" i="8"/>
  <c r="B5" i="8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E25" i="1"/>
  <c r="F25" i="1"/>
  <c r="G25" i="1"/>
  <c r="H25" i="1"/>
  <c r="I25" i="1"/>
  <c r="J25" i="1"/>
  <c r="K25" i="1"/>
  <c r="L26" i="1"/>
  <c r="D26" i="1" s="1"/>
  <c r="D25" i="1" s="1"/>
  <c r="L21" i="1"/>
  <c r="L22" i="1"/>
  <c r="L24" i="1"/>
  <c r="L20" i="1"/>
  <c r="L7" i="1"/>
  <c r="L9" i="1"/>
  <c r="L11" i="1"/>
  <c r="L13" i="1"/>
  <c r="L15" i="1"/>
  <c r="AI5" i="5"/>
  <c r="AJ5" i="5"/>
  <c r="AK5" i="5"/>
  <c r="AL5" i="5"/>
  <c r="AM5" i="5"/>
  <c r="AN5" i="5"/>
  <c r="AO5" i="5"/>
  <c r="AP5" i="5"/>
  <c r="AQ5" i="5"/>
  <c r="AR5" i="5"/>
  <c r="AR6" i="5" s="1"/>
  <c r="AS5" i="5"/>
  <c r="AT5" i="5"/>
  <c r="AU5" i="5"/>
  <c r="AV5" i="5"/>
  <c r="AV6" i="5" s="1"/>
  <c r="AW5" i="5"/>
  <c r="AX5" i="5"/>
  <c r="E5" i="5"/>
  <c r="F5" i="5"/>
  <c r="F6" i="5" s="1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V6" i="5" s="1"/>
  <c r="W5" i="5"/>
  <c r="X5" i="5"/>
  <c r="Y5" i="5"/>
  <c r="Z5" i="5"/>
  <c r="Z6" i="5" s="1"/>
  <c r="AA5" i="5"/>
  <c r="AB5" i="5"/>
  <c r="AC5" i="5"/>
  <c r="AD5" i="5"/>
  <c r="AD6" i="5" s="1"/>
  <c r="AE5" i="5"/>
  <c r="AF5" i="5"/>
  <c r="AG5" i="5"/>
  <c r="AH5" i="5"/>
  <c r="AH6" i="5" s="1"/>
  <c r="D5" i="5"/>
  <c r="A6" i="5"/>
  <c r="C31" i="6"/>
  <c r="C30" i="6"/>
  <c r="C29" i="6"/>
  <c r="C28" i="6"/>
  <c r="C27" i="6"/>
  <c r="C26" i="6"/>
  <c r="C25" i="6"/>
  <c r="B24" i="6"/>
  <c r="C24" i="6" s="1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B10" i="6"/>
  <c r="C10" i="6" s="1"/>
  <c r="C9" i="6"/>
  <c r="C8" i="6"/>
  <c r="C7" i="6"/>
  <c r="C6" i="6"/>
  <c r="C5" i="6"/>
  <c r="C4" i="6"/>
  <c r="C3" i="6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29" i="1"/>
  <c r="AP6" i="5" l="1"/>
  <c r="AK6" i="5"/>
  <c r="AG6" i="5"/>
  <c r="R6" i="5"/>
  <c r="AZ6" i="5"/>
  <c r="D6" i="8"/>
  <c r="P6" i="8"/>
  <c r="T6" i="8"/>
  <c r="X6" i="8"/>
  <c r="AB6" i="8"/>
  <c r="AF6" i="8"/>
  <c r="AN6" i="8"/>
  <c r="AR6" i="8"/>
  <c r="AV6" i="8"/>
  <c r="R6" i="8"/>
  <c r="V6" i="8"/>
  <c r="Z6" i="8"/>
  <c r="AD6" i="8"/>
  <c r="AH6" i="8"/>
  <c r="AL6" i="8"/>
  <c r="AP6" i="8"/>
  <c r="AT6" i="8"/>
  <c r="AX6" i="8"/>
  <c r="U6" i="8"/>
  <c r="AC6" i="8"/>
  <c r="AK6" i="8"/>
  <c r="AS6" i="8"/>
  <c r="W6" i="8"/>
  <c r="AE6" i="8"/>
  <c r="AM6" i="8"/>
  <c r="AU6" i="8"/>
  <c r="Y6" i="8"/>
  <c r="AO6" i="8"/>
  <c r="S6" i="8"/>
  <c r="AI6" i="8"/>
  <c r="AY6" i="8"/>
  <c r="AQ6" i="8"/>
  <c r="Q6" i="8"/>
  <c r="AW6" i="8"/>
  <c r="AA6" i="8"/>
  <c r="AG6" i="8"/>
  <c r="A7" i="8" a="1"/>
  <c r="A7" i="8" s="1"/>
  <c r="AC6" i="5"/>
  <c r="Y6" i="5"/>
  <c r="U6" i="5"/>
  <c r="AU6" i="5"/>
  <c r="AQ6" i="5"/>
  <c r="AO6" i="5"/>
  <c r="AS6" i="5"/>
  <c r="AY6" i="5"/>
  <c r="AN6" i="5"/>
  <c r="AJ6" i="5"/>
  <c r="AF6" i="5"/>
  <c r="AB6" i="5"/>
  <c r="X6" i="5"/>
  <c r="T6" i="5"/>
  <c r="AX6" i="5"/>
  <c r="AT6" i="5"/>
  <c r="AM6" i="5"/>
  <c r="AI6" i="5"/>
  <c r="AE6" i="5"/>
  <c r="AA6" i="5"/>
  <c r="W6" i="5"/>
  <c r="S6" i="5"/>
  <c r="BA6" i="5"/>
  <c r="AW6" i="5"/>
  <c r="L25" i="1"/>
  <c r="A7" i="5" a="1"/>
  <c r="A7" i="5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6" i="1"/>
  <c r="F24" i="1"/>
  <c r="F23" i="1"/>
  <c r="K23" i="1" s="1"/>
  <c r="L23" i="1" s="1"/>
  <c r="E23" i="1"/>
  <c r="AM20" i="1"/>
  <c r="L19" i="1"/>
  <c r="Q18" i="1"/>
  <c r="L18" i="1"/>
  <c r="J18" i="1"/>
  <c r="Z18" i="1" s="1"/>
  <c r="L17" i="1"/>
  <c r="L16" i="1" s="1"/>
  <c r="J16" i="1"/>
  <c r="Q16" i="1" s="1"/>
  <c r="F15" i="1"/>
  <c r="F14" i="1" s="1"/>
  <c r="E14" i="1"/>
  <c r="F13" i="1"/>
  <c r="F12" i="1" s="1"/>
  <c r="K12" i="1"/>
  <c r="L12" i="1" s="1"/>
  <c r="E12" i="1"/>
  <c r="H12" i="1" s="1"/>
  <c r="S12" i="1" s="1"/>
  <c r="N11" i="1"/>
  <c r="F11" i="1"/>
  <c r="F10" i="1" s="1"/>
  <c r="E10" i="1"/>
  <c r="Q10" i="1" s="1"/>
  <c r="F9" i="1"/>
  <c r="F8" i="1" s="1"/>
  <c r="H8" i="1"/>
  <c r="J8" i="1" s="1"/>
  <c r="E8" i="1"/>
  <c r="Q8" i="1" s="1"/>
  <c r="F7" i="1"/>
  <c r="R6" i="1"/>
  <c r="O6" i="8" s="1"/>
  <c r="H6" i="1"/>
  <c r="Q6" i="1" s="1"/>
  <c r="P6" i="5" s="1"/>
  <c r="F6" i="1"/>
  <c r="C6" i="8" s="1"/>
  <c r="E6" i="1"/>
  <c r="G6" i="5" s="1"/>
  <c r="N6" i="8" l="1"/>
  <c r="I8" i="1"/>
  <c r="M8" i="1" s="1"/>
  <c r="P8" i="1"/>
  <c r="AM8" i="1" s="1"/>
  <c r="B6" i="8"/>
  <c r="E6" i="8"/>
  <c r="AA18" i="1"/>
  <c r="Q6" i="5"/>
  <c r="I6" i="1"/>
  <c r="P6" i="1"/>
  <c r="P18" i="1"/>
  <c r="AM18" i="1" s="1"/>
  <c r="D6" i="5"/>
  <c r="E6" i="5"/>
  <c r="C7" i="8"/>
  <c r="G7" i="8"/>
  <c r="O7" i="8"/>
  <c r="S7" i="8"/>
  <c r="W7" i="8"/>
  <c r="AA7" i="8"/>
  <c r="AE7" i="8"/>
  <c r="AI7" i="8"/>
  <c r="AM7" i="8"/>
  <c r="AQ7" i="8"/>
  <c r="AU7" i="8"/>
  <c r="AY7" i="8"/>
  <c r="E7" i="8"/>
  <c r="M7" i="8"/>
  <c r="Q7" i="8"/>
  <c r="U7" i="8"/>
  <c r="Y7" i="8"/>
  <c r="AC7" i="8"/>
  <c r="AG7" i="8"/>
  <c r="AK7" i="8"/>
  <c r="AO7" i="8"/>
  <c r="AS7" i="8"/>
  <c r="AW7" i="8"/>
  <c r="D7" i="8"/>
  <c r="T7" i="8"/>
  <c r="AB7" i="8"/>
  <c r="AR7" i="8"/>
  <c r="F7" i="8"/>
  <c r="N7" i="8"/>
  <c r="V7" i="8"/>
  <c r="AD7" i="8"/>
  <c r="AL7" i="8"/>
  <c r="AT7" i="8"/>
  <c r="X7" i="8"/>
  <c r="AN7" i="8"/>
  <c r="R7" i="8"/>
  <c r="AH7" i="8"/>
  <c r="AX7" i="8"/>
  <c r="Z7" i="8"/>
  <c r="AF7" i="8"/>
  <c r="AP7" i="8"/>
  <c r="AV7" i="8"/>
  <c r="P7" i="8"/>
  <c r="J7" i="8"/>
  <c r="B7" i="8"/>
  <c r="A8" i="8" a="1"/>
  <c r="A8" i="8" s="1"/>
  <c r="A8" i="5" a="1"/>
  <c r="A8" i="5" s="1"/>
  <c r="AQ7" i="5"/>
  <c r="AU7" i="5"/>
  <c r="AY7" i="5"/>
  <c r="AR7" i="5"/>
  <c r="AV7" i="5"/>
  <c r="AZ7" i="5"/>
  <c r="AS7" i="5"/>
  <c r="AW7" i="5"/>
  <c r="BA7" i="5"/>
  <c r="S7" i="5"/>
  <c r="W7" i="5"/>
  <c r="AA7" i="5"/>
  <c r="AE7" i="5"/>
  <c r="AI7" i="5"/>
  <c r="AM7" i="5"/>
  <c r="AX7" i="5"/>
  <c r="O7" i="5"/>
  <c r="V7" i="5"/>
  <c r="AB7" i="5"/>
  <c r="AG7" i="5"/>
  <c r="D7" i="5"/>
  <c r="H7" i="5"/>
  <c r="P7" i="5"/>
  <c r="X7" i="5"/>
  <c r="AC7" i="5"/>
  <c r="AH7" i="5"/>
  <c r="T7" i="5"/>
  <c r="Y7" i="5"/>
  <c r="AD7" i="5"/>
  <c r="AJ7" i="5"/>
  <c r="AO7" i="5"/>
  <c r="F7" i="5"/>
  <c r="J7" i="5"/>
  <c r="AF7" i="5"/>
  <c r="G7" i="5"/>
  <c r="K7" i="5"/>
  <c r="U7" i="5"/>
  <c r="L7" i="5"/>
  <c r="AT7" i="5"/>
  <c r="Z7" i="5"/>
  <c r="M7" i="5"/>
  <c r="AK7" i="5"/>
  <c r="I7" i="5"/>
  <c r="AP7" i="5"/>
  <c r="E7" i="5"/>
  <c r="Q7" i="5"/>
  <c r="R7" i="5"/>
  <c r="AM6" i="1"/>
  <c r="O8" i="1"/>
  <c r="K8" i="1" s="1"/>
  <c r="L8" i="1" s="1"/>
  <c r="I7" i="8" s="1"/>
  <c r="N8" i="1"/>
  <c r="K7" i="8" s="1"/>
  <c r="I12" i="1"/>
  <c r="M12" i="1" s="1"/>
  <c r="N12" i="1" s="1"/>
  <c r="P14" i="1"/>
  <c r="AM14" i="1" s="1"/>
  <c r="Z16" i="1"/>
  <c r="Z23" i="1"/>
  <c r="AN24" i="1"/>
  <c r="J6" i="1"/>
  <c r="J12" i="1"/>
  <c r="P12" i="1"/>
  <c r="AM12" i="1" s="1"/>
  <c r="Q14" i="1"/>
  <c r="H10" i="1"/>
  <c r="P10" i="1"/>
  <c r="AM10" i="1" s="1"/>
  <c r="Q12" i="1"/>
  <c r="H14" i="1"/>
  <c r="P16" i="1"/>
  <c r="AM16" i="1" s="1"/>
  <c r="P23" i="1"/>
  <c r="Q23" i="1"/>
  <c r="AJ7" i="8" l="1"/>
  <c r="AL7" i="5"/>
  <c r="M6" i="1"/>
  <c r="F6" i="8"/>
  <c r="J6" i="8"/>
  <c r="L6" i="5"/>
  <c r="H6" i="5"/>
  <c r="G6" i="8"/>
  <c r="I6" i="5"/>
  <c r="L7" i="8"/>
  <c r="AL6" i="5"/>
  <c r="AJ6" i="8"/>
  <c r="AM24" i="1"/>
  <c r="N7" i="5"/>
  <c r="H7" i="8"/>
  <c r="M6" i="8"/>
  <c r="O6" i="5"/>
  <c r="D8" i="8"/>
  <c r="P8" i="8"/>
  <c r="T8" i="8"/>
  <c r="X8" i="8"/>
  <c r="AB8" i="8"/>
  <c r="AF8" i="8"/>
  <c r="AJ8" i="8"/>
  <c r="AN8" i="8"/>
  <c r="AR8" i="8"/>
  <c r="AV8" i="8"/>
  <c r="C8" i="8"/>
  <c r="N8" i="8"/>
  <c r="S8" i="8"/>
  <c r="Y8" i="8"/>
  <c r="AD8" i="8"/>
  <c r="AI8" i="8"/>
  <c r="AO8" i="8"/>
  <c r="AT8" i="8"/>
  <c r="AY8" i="8"/>
  <c r="E8" i="8"/>
  <c r="J8" i="8"/>
  <c r="O8" i="8"/>
  <c r="U8" i="8"/>
  <c r="Z8" i="8"/>
  <c r="AE8" i="8"/>
  <c r="AK8" i="8"/>
  <c r="AP8" i="8"/>
  <c r="AU8" i="8"/>
  <c r="F8" i="8"/>
  <c r="Q8" i="8"/>
  <c r="AA8" i="8"/>
  <c r="AL8" i="8"/>
  <c r="AW8" i="8"/>
  <c r="M8" i="8"/>
  <c r="W8" i="8"/>
  <c r="AH8" i="8"/>
  <c r="AS8" i="8"/>
  <c r="G8" i="8"/>
  <c r="AC8" i="8"/>
  <c r="AX8" i="8"/>
  <c r="K8" i="8"/>
  <c r="AG8" i="8"/>
  <c r="AM8" i="8"/>
  <c r="AQ8" i="8"/>
  <c r="V8" i="8"/>
  <c r="R8" i="8"/>
  <c r="B8" i="8"/>
  <c r="A9" i="8" a="1"/>
  <c r="A9" i="8" s="1"/>
  <c r="A9" i="5" a="1"/>
  <c r="A9" i="5" s="1"/>
  <c r="AR8" i="5"/>
  <c r="AV8" i="5"/>
  <c r="AZ8" i="5"/>
  <c r="AS8" i="5"/>
  <c r="AW8" i="5"/>
  <c r="BA8" i="5"/>
  <c r="AT8" i="5"/>
  <c r="AX8" i="5"/>
  <c r="O8" i="5"/>
  <c r="U8" i="5"/>
  <c r="Y8" i="5"/>
  <c r="AC8" i="5"/>
  <c r="AG8" i="5"/>
  <c r="AK8" i="5"/>
  <c r="AO8" i="5"/>
  <c r="P8" i="5"/>
  <c r="W8" i="5"/>
  <c r="AB8" i="5"/>
  <c r="AH8" i="5"/>
  <c r="AM8" i="5"/>
  <c r="E8" i="5"/>
  <c r="I8" i="5"/>
  <c r="AQ8" i="5"/>
  <c r="S8" i="5"/>
  <c r="X8" i="5"/>
  <c r="AD8" i="5"/>
  <c r="AI8" i="5"/>
  <c r="AU8" i="5"/>
  <c r="T8" i="5"/>
  <c r="Z8" i="5"/>
  <c r="AE8" i="5"/>
  <c r="AJ8" i="5"/>
  <c r="AP8" i="5"/>
  <c r="G8" i="5"/>
  <c r="AY8" i="5"/>
  <c r="AA8" i="5"/>
  <c r="H8" i="5"/>
  <c r="D8" i="5"/>
  <c r="F8" i="5"/>
  <c r="N8" i="5"/>
  <c r="AF8" i="5"/>
  <c r="J8" i="5"/>
  <c r="L8" i="5"/>
  <c r="K8" i="5"/>
  <c r="AL8" i="5"/>
  <c r="V8" i="5"/>
  <c r="R8" i="5"/>
  <c r="Q8" i="5"/>
  <c r="O10" i="1"/>
  <c r="K10" i="1" s="1"/>
  <c r="L10" i="1" s="1"/>
  <c r="I8" i="8" s="1"/>
  <c r="N10" i="1"/>
  <c r="M8" i="5" s="1"/>
  <c r="I14" i="1"/>
  <c r="M14" i="1" s="1"/>
  <c r="J14" i="1"/>
  <c r="L8" i="8" l="1"/>
  <c r="O6" i="1"/>
  <c r="N6" i="1"/>
  <c r="H8" i="8"/>
  <c r="C9" i="8"/>
  <c r="G9" i="8"/>
  <c r="K9" i="8"/>
  <c r="O9" i="8"/>
  <c r="S9" i="8"/>
  <c r="W9" i="8"/>
  <c r="AA9" i="8"/>
  <c r="AE9" i="8"/>
  <c r="AI9" i="8"/>
  <c r="AM9" i="8"/>
  <c r="AQ9" i="8"/>
  <c r="AU9" i="8"/>
  <c r="AY9" i="8"/>
  <c r="H9" i="8"/>
  <c r="M9" i="8"/>
  <c r="R9" i="8"/>
  <c r="X9" i="8"/>
  <c r="AC9" i="8"/>
  <c r="AH9" i="8"/>
  <c r="AN9" i="8"/>
  <c r="AS9" i="8"/>
  <c r="AX9" i="8"/>
  <c r="D9" i="8"/>
  <c r="I9" i="8"/>
  <c r="N9" i="8"/>
  <c r="T9" i="8"/>
  <c r="Y9" i="8"/>
  <c r="AD9" i="8"/>
  <c r="AJ9" i="8"/>
  <c r="AO9" i="8"/>
  <c r="AT9" i="8"/>
  <c r="J9" i="8"/>
  <c r="U9" i="8"/>
  <c r="AF9" i="8"/>
  <c r="AP9" i="8"/>
  <c r="F9" i="8"/>
  <c r="Q9" i="8"/>
  <c r="AB9" i="8"/>
  <c r="AL9" i="8"/>
  <c r="AW9" i="8"/>
  <c r="V9" i="8"/>
  <c r="AR9" i="8"/>
  <c r="E9" i="8"/>
  <c r="Z9" i="8"/>
  <c r="AV9" i="8"/>
  <c r="AG9" i="8"/>
  <c r="AK9" i="8"/>
  <c r="P9" i="8"/>
  <c r="B9" i="8"/>
  <c r="L9" i="8"/>
  <c r="A10" i="8" a="1"/>
  <c r="A10" i="8" s="1"/>
  <c r="A10" i="5" a="1"/>
  <c r="A10" i="5" s="1"/>
  <c r="AS9" i="5"/>
  <c r="AW9" i="5"/>
  <c r="BA9" i="5"/>
  <c r="AT9" i="5"/>
  <c r="AX9" i="5"/>
  <c r="AQ9" i="5"/>
  <c r="AU9" i="5"/>
  <c r="AY9" i="5"/>
  <c r="S9" i="5"/>
  <c r="W9" i="5"/>
  <c r="AA9" i="5"/>
  <c r="AE9" i="5"/>
  <c r="AI9" i="5"/>
  <c r="AM9" i="5"/>
  <c r="AR9" i="5"/>
  <c r="P9" i="5"/>
  <c r="X9" i="5"/>
  <c r="AC9" i="5"/>
  <c r="AH9" i="5"/>
  <c r="F9" i="5"/>
  <c r="J9" i="5"/>
  <c r="AV9" i="5"/>
  <c r="T9" i="5"/>
  <c r="Y9" i="5"/>
  <c r="AD9" i="5"/>
  <c r="AJ9" i="5"/>
  <c r="AO9" i="5"/>
  <c r="AZ9" i="5"/>
  <c r="U9" i="5"/>
  <c r="Z9" i="5"/>
  <c r="AF9" i="5"/>
  <c r="AK9" i="5"/>
  <c r="AP9" i="5"/>
  <c r="D9" i="5"/>
  <c r="H9" i="5"/>
  <c r="V9" i="5"/>
  <c r="I9" i="5"/>
  <c r="L9" i="5"/>
  <c r="M9" i="5"/>
  <c r="AG9" i="5"/>
  <c r="E9" i="5"/>
  <c r="K9" i="5"/>
  <c r="AL9" i="5"/>
  <c r="AB9" i="5"/>
  <c r="N9" i="5"/>
  <c r="O9" i="5"/>
  <c r="G9" i="5"/>
  <c r="Q9" i="5"/>
  <c r="R9" i="5"/>
  <c r="N14" i="1"/>
  <c r="K14" i="1" s="1"/>
  <c r="T14" i="1"/>
  <c r="A11" i="5" l="1" a="1"/>
  <c r="A11" i="5" s="1"/>
  <c r="AN14" i="1"/>
  <c r="L14" i="1"/>
  <c r="M6" i="5"/>
  <c r="K6" i="8"/>
  <c r="K6" i="1"/>
  <c r="N6" i="5"/>
  <c r="L6" i="8"/>
  <c r="F10" i="8"/>
  <c r="J10" i="8"/>
  <c r="N10" i="8"/>
  <c r="R10" i="8"/>
  <c r="V10" i="8"/>
  <c r="Z10" i="8"/>
  <c r="AD10" i="8"/>
  <c r="AH10" i="8"/>
  <c r="AL10" i="8"/>
  <c r="AP10" i="8"/>
  <c r="AT10" i="8"/>
  <c r="AX10" i="8"/>
  <c r="G10" i="8"/>
  <c r="L10" i="8"/>
  <c r="Q10" i="8"/>
  <c r="W10" i="8"/>
  <c r="AB10" i="8"/>
  <c r="AG10" i="8"/>
  <c r="AM10" i="8"/>
  <c r="AR10" i="8"/>
  <c r="AW10" i="8"/>
  <c r="C10" i="8"/>
  <c r="H10" i="8"/>
  <c r="M10" i="8"/>
  <c r="S10" i="8"/>
  <c r="X10" i="8"/>
  <c r="AC10" i="8"/>
  <c r="AI10" i="8"/>
  <c r="AN10" i="8"/>
  <c r="AS10" i="8"/>
  <c r="AY10" i="8"/>
  <c r="D10" i="8"/>
  <c r="O10" i="8"/>
  <c r="Y10" i="8"/>
  <c r="AJ10" i="8"/>
  <c r="AU10" i="8"/>
  <c r="K10" i="8"/>
  <c r="U10" i="8"/>
  <c r="AF10" i="8"/>
  <c r="AQ10" i="8"/>
  <c r="P10" i="8"/>
  <c r="AK10" i="8"/>
  <c r="T10" i="8"/>
  <c r="AO10" i="8"/>
  <c r="AA10" i="8"/>
  <c r="AE10" i="8"/>
  <c r="I10" i="8"/>
  <c r="AV10" i="8"/>
  <c r="E10" i="8"/>
  <c r="B10" i="8"/>
  <c r="A11" i="8" a="1"/>
  <c r="A11" i="8" s="1"/>
  <c r="AT10" i="5"/>
  <c r="AX10" i="5"/>
  <c r="AQ10" i="5"/>
  <c r="AU10" i="5"/>
  <c r="AY10" i="5"/>
  <c r="AR10" i="5"/>
  <c r="AV10" i="5"/>
  <c r="AZ10" i="5"/>
  <c r="O10" i="5"/>
  <c r="T10" i="5"/>
  <c r="X10" i="5"/>
  <c r="AB10" i="5"/>
  <c r="AF10" i="5"/>
  <c r="AJ10" i="5"/>
  <c r="AW10" i="5"/>
  <c r="R10" i="5"/>
  <c r="W10" i="5"/>
  <c r="AC10" i="5"/>
  <c r="AH10" i="5"/>
  <c r="AM10" i="5"/>
  <c r="G10" i="5"/>
  <c r="BA10" i="5"/>
  <c r="S10" i="5"/>
  <c r="Y10" i="5"/>
  <c r="AD10" i="5"/>
  <c r="AI10" i="5"/>
  <c r="AO10" i="5"/>
  <c r="U10" i="5"/>
  <c r="Z10" i="5"/>
  <c r="AE10" i="5"/>
  <c r="AK10" i="5"/>
  <c r="AP10" i="5"/>
  <c r="E10" i="5"/>
  <c r="I10" i="5"/>
  <c r="P10" i="5"/>
  <c r="AL10" i="5"/>
  <c r="J10" i="5"/>
  <c r="M10" i="5"/>
  <c r="F10" i="5"/>
  <c r="AG10" i="5"/>
  <c r="H10" i="5"/>
  <c r="L10" i="5"/>
  <c r="AS10" i="5"/>
  <c r="V10" i="5"/>
  <c r="D10" i="5"/>
  <c r="N10" i="5"/>
  <c r="AA10" i="5"/>
  <c r="K10" i="5"/>
  <c r="Q10" i="5"/>
  <c r="A12" i="5" a="1"/>
  <c r="A12" i="5" s="1"/>
  <c r="AQ11" i="5"/>
  <c r="AU11" i="5"/>
  <c r="AY11" i="5"/>
  <c r="AR11" i="5"/>
  <c r="AV11" i="5"/>
  <c r="AZ11" i="5"/>
  <c r="AS11" i="5"/>
  <c r="AW11" i="5"/>
  <c r="BA11" i="5"/>
  <c r="P11" i="5"/>
  <c r="V11" i="5"/>
  <c r="Z11" i="5"/>
  <c r="AD11" i="5"/>
  <c r="AH11" i="5"/>
  <c r="AL11" i="5"/>
  <c r="AP11" i="5"/>
  <c r="S11" i="5"/>
  <c r="X11" i="5"/>
  <c r="AC11" i="5"/>
  <c r="AI11" i="5"/>
  <c r="D11" i="5"/>
  <c r="H11" i="5"/>
  <c r="T11" i="5"/>
  <c r="Y11" i="5"/>
  <c r="AE11" i="5"/>
  <c r="AJ11" i="5"/>
  <c r="AO11" i="5"/>
  <c r="AT11" i="5"/>
  <c r="U11" i="5"/>
  <c r="AA11" i="5"/>
  <c r="AF11" i="5"/>
  <c r="AK11" i="5"/>
  <c r="F11" i="5"/>
  <c r="J11" i="5"/>
  <c r="AG11" i="5"/>
  <c r="N11" i="5"/>
  <c r="K11" i="5"/>
  <c r="AX11" i="5"/>
  <c r="W11" i="5"/>
  <c r="G11" i="5"/>
  <c r="M11" i="5"/>
  <c r="O11" i="5"/>
  <c r="AM11" i="5"/>
  <c r="E11" i="5"/>
  <c r="L11" i="5"/>
  <c r="AB11" i="5"/>
  <c r="I11" i="5"/>
  <c r="R11" i="5"/>
  <c r="Q11" i="5"/>
  <c r="AN7" i="5"/>
  <c r="B7" i="5" s="1"/>
  <c r="AN8" i="5"/>
  <c r="B8" i="5" s="1"/>
  <c r="AN9" i="5"/>
  <c r="B9" i="5" s="1"/>
  <c r="AN10" i="5"/>
  <c r="AN11" i="5"/>
  <c r="L6" i="1" l="1"/>
  <c r="H6" i="8"/>
  <c r="J6" i="5"/>
  <c r="A12" i="8" a="1"/>
  <c r="A12" i="8" s="1"/>
  <c r="A13" i="8" s="1" a="1"/>
  <c r="A13" i="8" s="1"/>
  <c r="E11" i="8"/>
  <c r="I11" i="8"/>
  <c r="M11" i="8"/>
  <c r="Q11" i="8"/>
  <c r="U11" i="8"/>
  <c r="Y11" i="8"/>
  <c r="AC11" i="8"/>
  <c r="AG11" i="8"/>
  <c r="AK11" i="8"/>
  <c r="AO11" i="8"/>
  <c r="AS11" i="8"/>
  <c r="AW11" i="8"/>
  <c r="F11" i="8"/>
  <c r="K11" i="8"/>
  <c r="P11" i="8"/>
  <c r="V11" i="8"/>
  <c r="AA11" i="8"/>
  <c r="AF11" i="8"/>
  <c r="AL11" i="8"/>
  <c r="AQ11" i="8"/>
  <c r="AV11" i="8"/>
  <c r="G11" i="8"/>
  <c r="L11" i="8"/>
  <c r="R11" i="8"/>
  <c r="W11" i="8"/>
  <c r="AB11" i="8"/>
  <c r="AH11" i="8"/>
  <c r="AM11" i="8"/>
  <c r="AR11" i="8"/>
  <c r="AX11" i="8"/>
  <c r="H11" i="8"/>
  <c r="S11" i="8"/>
  <c r="AD11" i="8"/>
  <c r="AN11" i="8"/>
  <c r="AY11" i="8"/>
  <c r="D11" i="8"/>
  <c r="O11" i="8"/>
  <c r="Z11" i="8"/>
  <c r="AJ11" i="8"/>
  <c r="AU11" i="8"/>
  <c r="J11" i="8"/>
  <c r="AE11" i="8"/>
  <c r="N11" i="8"/>
  <c r="AI11" i="8"/>
  <c r="T11" i="8"/>
  <c r="X11" i="8"/>
  <c r="C11" i="8"/>
  <c r="AT11" i="8"/>
  <c r="AP11" i="8"/>
  <c r="B11" i="8"/>
  <c r="B10" i="5"/>
  <c r="B11" i="5"/>
  <c r="A13" i="5" a="1"/>
  <c r="A13" i="5" s="1"/>
  <c r="AR12" i="5"/>
  <c r="AV12" i="5"/>
  <c r="AZ12" i="5"/>
  <c r="AS12" i="5"/>
  <c r="AW12" i="5"/>
  <c r="BA12" i="5"/>
  <c r="AT12" i="5"/>
  <c r="AX12" i="5"/>
  <c r="T12" i="5"/>
  <c r="X12" i="5"/>
  <c r="AB12" i="5"/>
  <c r="AF12" i="5"/>
  <c r="AJ12" i="5"/>
  <c r="AN12" i="5"/>
  <c r="AQ12" i="5"/>
  <c r="S12" i="5"/>
  <c r="Y12" i="5"/>
  <c r="AD12" i="5"/>
  <c r="AI12" i="5"/>
  <c r="AO12" i="5"/>
  <c r="E12" i="5"/>
  <c r="I12" i="5"/>
  <c r="AU12" i="5"/>
  <c r="U12" i="5"/>
  <c r="Z12" i="5"/>
  <c r="AE12" i="5"/>
  <c r="AK12" i="5"/>
  <c r="AP12" i="5"/>
  <c r="AY12" i="5"/>
  <c r="O12" i="5"/>
  <c r="V12" i="5"/>
  <c r="AA12" i="5"/>
  <c r="AG12" i="5"/>
  <c r="AL12" i="5"/>
  <c r="G12" i="5"/>
  <c r="AC12" i="5"/>
  <c r="D12" i="5"/>
  <c r="K12" i="5"/>
  <c r="AM12" i="5"/>
  <c r="H12" i="5"/>
  <c r="M12" i="5"/>
  <c r="W12" i="5"/>
  <c r="J12" i="5"/>
  <c r="N12" i="5"/>
  <c r="AH12" i="5"/>
  <c r="F12" i="5"/>
  <c r="L12" i="5"/>
  <c r="P12" i="5"/>
  <c r="Q12" i="5"/>
  <c r="R12" i="5"/>
  <c r="K6" i="5" l="1"/>
  <c r="B6" i="5" s="1"/>
  <c r="I6" i="8"/>
  <c r="C13" i="8"/>
  <c r="G13" i="8"/>
  <c r="D13" i="8"/>
  <c r="H13" i="8"/>
  <c r="L13" i="8"/>
  <c r="P13" i="8"/>
  <c r="T13" i="8"/>
  <c r="X13" i="8"/>
  <c r="AB13" i="8"/>
  <c r="AF13" i="8"/>
  <c r="AJ13" i="8"/>
  <c r="AN13" i="8"/>
  <c r="AR13" i="8"/>
  <c r="AV13" i="8"/>
  <c r="E13" i="8"/>
  <c r="K13" i="8"/>
  <c r="Q13" i="8"/>
  <c r="V13" i="8"/>
  <c r="AA13" i="8"/>
  <c r="AG13" i="8"/>
  <c r="AL13" i="8"/>
  <c r="AQ13" i="8"/>
  <c r="AW13" i="8"/>
  <c r="J13" i="8"/>
  <c r="O13" i="8"/>
  <c r="U13" i="8"/>
  <c r="Z13" i="8"/>
  <c r="AE13" i="8"/>
  <c r="AK13" i="8"/>
  <c r="AP13" i="8"/>
  <c r="AU13" i="8"/>
  <c r="M13" i="8"/>
  <c r="W13" i="8"/>
  <c r="AH13" i="8"/>
  <c r="AS13" i="8"/>
  <c r="N13" i="8"/>
  <c r="Y13" i="8"/>
  <c r="AI13" i="8"/>
  <c r="AT13" i="8"/>
  <c r="F13" i="8"/>
  <c r="AC13" i="8"/>
  <c r="AX13" i="8"/>
  <c r="I13" i="8"/>
  <c r="AD13" i="8"/>
  <c r="AY13" i="8"/>
  <c r="S13" i="8"/>
  <c r="AO13" i="8"/>
  <c r="AM13" i="8"/>
  <c r="B13" i="8"/>
  <c r="R13" i="8"/>
  <c r="D12" i="8"/>
  <c r="H12" i="8"/>
  <c r="L12" i="8"/>
  <c r="P12" i="8"/>
  <c r="T12" i="8"/>
  <c r="X12" i="8"/>
  <c r="AB12" i="8"/>
  <c r="AF12" i="8"/>
  <c r="AJ12" i="8"/>
  <c r="AN12" i="8"/>
  <c r="AR12" i="8"/>
  <c r="AV12" i="8"/>
  <c r="E12" i="8"/>
  <c r="J12" i="8"/>
  <c r="O12" i="8"/>
  <c r="U12" i="8"/>
  <c r="Z12" i="8"/>
  <c r="AE12" i="8"/>
  <c r="AK12" i="8"/>
  <c r="AP12" i="8"/>
  <c r="AU12" i="8"/>
  <c r="F12" i="8"/>
  <c r="K12" i="8"/>
  <c r="Q12" i="8"/>
  <c r="V12" i="8"/>
  <c r="AA12" i="8"/>
  <c r="AG12" i="8"/>
  <c r="AL12" i="8"/>
  <c r="AQ12" i="8"/>
  <c r="AW12" i="8"/>
  <c r="M12" i="8"/>
  <c r="W12" i="8"/>
  <c r="AH12" i="8"/>
  <c r="AS12" i="8"/>
  <c r="I12" i="8"/>
  <c r="S12" i="8"/>
  <c r="AD12" i="8"/>
  <c r="AO12" i="8"/>
  <c r="AY12" i="8"/>
  <c r="C12" i="8"/>
  <c r="Y12" i="8"/>
  <c r="AT12" i="8"/>
  <c r="G12" i="8"/>
  <c r="AC12" i="8"/>
  <c r="AX12" i="8"/>
  <c r="N12" i="8"/>
  <c r="R12" i="8"/>
  <c r="AM12" i="8"/>
  <c r="AI12" i="8"/>
  <c r="B12" i="8"/>
  <c r="A14" i="8" a="1"/>
  <c r="A14" i="8" s="1"/>
  <c r="B12" i="5"/>
  <c r="A14" i="5" a="1"/>
  <c r="A14" i="5" s="1"/>
  <c r="AS13" i="5"/>
  <c r="AW13" i="5"/>
  <c r="BA13" i="5"/>
  <c r="AT13" i="5"/>
  <c r="AX13" i="5"/>
  <c r="AQ13" i="5"/>
  <c r="AU13" i="5"/>
  <c r="AY13" i="5"/>
  <c r="P13" i="5"/>
  <c r="V13" i="5"/>
  <c r="Z13" i="5"/>
  <c r="AD13" i="5"/>
  <c r="AH13" i="5"/>
  <c r="AL13" i="5"/>
  <c r="AP13" i="5"/>
  <c r="AV13" i="5"/>
  <c r="T13" i="5"/>
  <c r="Y13" i="5"/>
  <c r="AE13" i="5"/>
  <c r="AJ13" i="5"/>
  <c r="AO13" i="5"/>
  <c r="F13" i="5"/>
  <c r="J13" i="5"/>
  <c r="AZ13" i="5"/>
  <c r="U13" i="5"/>
  <c r="AA13" i="5"/>
  <c r="AF13" i="5"/>
  <c r="AK13" i="5"/>
  <c r="O13" i="5"/>
  <c r="W13" i="5"/>
  <c r="AB13" i="5"/>
  <c r="AG13" i="5"/>
  <c r="AM13" i="5"/>
  <c r="D13" i="5"/>
  <c r="H13" i="5"/>
  <c r="X13" i="5"/>
  <c r="E13" i="5"/>
  <c r="L13" i="5"/>
  <c r="I13" i="5"/>
  <c r="AN13" i="5"/>
  <c r="AC13" i="5"/>
  <c r="G13" i="5"/>
  <c r="M13" i="5"/>
  <c r="AI13" i="5"/>
  <c r="N13" i="5"/>
  <c r="K13" i="5"/>
  <c r="AR13" i="5"/>
  <c r="S13" i="5"/>
  <c r="Q13" i="5"/>
  <c r="R13" i="5"/>
  <c r="C14" i="8" l="1"/>
  <c r="G14" i="8"/>
  <c r="K14" i="8"/>
  <c r="O14" i="8"/>
  <c r="S14" i="8"/>
  <c r="W14" i="8"/>
  <c r="AA14" i="8"/>
  <c r="AE14" i="8"/>
  <c r="AI14" i="8"/>
  <c r="AM14" i="8"/>
  <c r="AQ14" i="8"/>
  <c r="AU14" i="8"/>
  <c r="AY14" i="8"/>
  <c r="E14" i="8"/>
  <c r="J14" i="8"/>
  <c r="P14" i="8"/>
  <c r="U14" i="8"/>
  <c r="Z14" i="8"/>
  <c r="AF14" i="8"/>
  <c r="AK14" i="8"/>
  <c r="AP14" i="8"/>
  <c r="AV14" i="8"/>
  <c r="D14" i="8"/>
  <c r="I14" i="8"/>
  <c r="N14" i="8"/>
  <c r="T14" i="8"/>
  <c r="Y14" i="8"/>
  <c r="AD14" i="8"/>
  <c r="AJ14" i="8"/>
  <c r="AO14" i="8"/>
  <c r="AT14" i="8"/>
  <c r="F14" i="8"/>
  <c r="Q14" i="8"/>
  <c r="AB14" i="8"/>
  <c r="AL14" i="8"/>
  <c r="AW14" i="8"/>
  <c r="H14" i="8"/>
  <c r="R14" i="8"/>
  <c r="AC14" i="8"/>
  <c r="AN14" i="8"/>
  <c r="AX14" i="8"/>
  <c r="V14" i="8"/>
  <c r="AR14" i="8"/>
  <c r="X14" i="8"/>
  <c r="AS14" i="8"/>
  <c r="M14" i="8"/>
  <c r="AH14" i="8"/>
  <c r="L14" i="8"/>
  <c r="AG14" i="8"/>
  <c r="B14" i="8"/>
  <c r="A15" i="8" a="1"/>
  <c r="A15" i="8" s="1"/>
  <c r="B13" i="5"/>
  <c r="AT14" i="5"/>
  <c r="AX14" i="5"/>
  <c r="AQ14" i="5"/>
  <c r="AU14" i="5"/>
  <c r="AY14" i="5"/>
  <c r="AR14" i="5"/>
  <c r="AV14" i="5"/>
  <c r="AZ14" i="5"/>
  <c r="S14" i="5"/>
  <c r="W14" i="5"/>
  <c r="AA14" i="5"/>
  <c r="AE14" i="5"/>
  <c r="AI14" i="5"/>
  <c r="AM14" i="5"/>
  <c r="BA14" i="5"/>
  <c r="T14" i="5"/>
  <c r="Y14" i="5"/>
  <c r="AD14" i="5"/>
  <c r="AJ14" i="5"/>
  <c r="AO14" i="5"/>
  <c r="G14" i="5"/>
  <c r="O14" i="5"/>
  <c r="U14" i="5"/>
  <c r="Z14" i="5"/>
  <c r="AF14" i="5"/>
  <c r="AK14" i="5"/>
  <c r="AP14" i="5"/>
  <c r="AS14" i="5"/>
  <c r="P14" i="5"/>
  <c r="V14" i="5"/>
  <c r="AB14" i="5"/>
  <c r="AG14" i="5"/>
  <c r="AL14" i="5"/>
  <c r="E14" i="5"/>
  <c r="I14" i="5"/>
  <c r="AW14" i="5"/>
  <c r="R14" i="5"/>
  <c r="AN14" i="5"/>
  <c r="F14" i="5"/>
  <c r="M14" i="5"/>
  <c r="N14" i="5"/>
  <c r="AC14" i="5"/>
  <c r="J14" i="5"/>
  <c r="L14" i="5"/>
  <c r="K14" i="5"/>
  <c r="X14" i="5"/>
  <c r="H14" i="5"/>
  <c r="AH14" i="5"/>
  <c r="D14" i="5"/>
  <c r="Q14" i="5"/>
  <c r="A15" i="5" a="1"/>
  <c r="A15" i="5" s="1"/>
  <c r="F15" i="8" l="1"/>
  <c r="J15" i="8"/>
  <c r="D15" i="8"/>
  <c r="I15" i="8"/>
  <c r="N15" i="8"/>
  <c r="R15" i="8"/>
  <c r="V15" i="8"/>
  <c r="Z15" i="8"/>
  <c r="AD15" i="8"/>
  <c r="AH15" i="8"/>
  <c r="AL15" i="8"/>
  <c r="AP15" i="8"/>
  <c r="AT15" i="8"/>
  <c r="AX15" i="8"/>
  <c r="C15" i="8"/>
  <c r="H15" i="8"/>
  <c r="M15" i="8"/>
  <c r="Q15" i="8"/>
  <c r="U15" i="8"/>
  <c r="Y15" i="8"/>
  <c r="AC15" i="8"/>
  <c r="AG15" i="8"/>
  <c r="AK15" i="8"/>
  <c r="AO15" i="8"/>
  <c r="AS15" i="8"/>
  <c r="AW15" i="8"/>
  <c r="K15" i="8"/>
  <c r="S15" i="8"/>
  <c r="AA15" i="8"/>
  <c r="AI15" i="8"/>
  <c r="AQ15" i="8"/>
  <c r="AY15" i="8"/>
  <c r="L15" i="8"/>
  <c r="T15" i="8"/>
  <c r="AB15" i="8"/>
  <c r="AJ15" i="8"/>
  <c r="AR15" i="8"/>
  <c r="O15" i="8"/>
  <c r="AE15" i="8"/>
  <c r="AU15" i="8"/>
  <c r="P15" i="8"/>
  <c r="AF15" i="8"/>
  <c r="AV15" i="8"/>
  <c r="G15" i="8"/>
  <c r="X15" i="8"/>
  <c r="AN15" i="8"/>
  <c r="W15" i="8"/>
  <c r="B15" i="8"/>
  <c r="AM15" i="8"/>
  <c r="E15" i="8"/>
  <c r="A16" i="8" a="1"/>
  <c r="A16" i="8" s="1"/>
  <c r="B14" i="5"/>
  <c r="A16" i="5" a="1"/>
  <c r="A16" i="5" s="1"/>
  <c r="AQ15" i="5"/>
  <c r="AU15" i="5"/>
  <c r="AY15" i="5"/>
  <c r="AR15" i="5"/>
  <c r="AV15" i="5"/>
  <c r="AZ15" i="5"/>
  <c r="AS15" i="5"/>
  <c r="AW15" i="5"/>
  <c r="BA15" i="5"/>
  <c r="O15" i="5"/>
  <c r="U15" i="5"/>
  <c r="Y15" i="5"/>
  <c r="T15" i="5"/>
  <c r="Z15" i="5"/>
  <c r="AD15" i="5"/>
  <c r="AH15" i="5"/>
  <c r="AL15" i="5"/>
  <c r="AP15" i="5"/>
  <c r="D15" i="5"/>
  <c r="H15" i="5"/>
  <c r="AT15" i="5"/>
  <c r="V15" i="5"/>
  <c r="AA15" i="5"/>
  <c r="AE15" i="5"/>
  <c r="AI15" i="5"/>
  <c r="AM15" i="5"/>
  <c r="AX15" i="5"/>
  <c r="P15" i="5"/>
  <c r="W15" i="5"/>
  <c r="AB15" i="5"/>
  <c r="AF15" i="5"/>
  <c r="AJ15" i="5"/>
  <c r="AN15" i="5"/>
  <c r="F15" i="5"/>
  <c r="J15" i="5"/>
  <c r="AG15" i="5"/>
  <c r="G15" i="5"/>
  <c r="N15" i="5"/>
  <c r="K15" i="5"/>
  <c r="AO15" i="5"/>
  <c r="AC15" i="5"/>
  <c r="E15" i="5"/>
  <c r="M15" i="5"/>
  <c r="S15" i="5"/>
  <c r="AK15" i="5"/>
  <c r="I15" i="5"/>
  <c r="X15" i="5"/>
  <c r="L15" i="5"/>
  <c r="Q15" i="5"/>
  <c r="R15" i="5"/>
  <c r="E16" i="8" l="1"/>
  <c r="I16" i="8"/>
  <c r="M16" i="8"/>
  <c r="Q16" i="8"/>
  <c r="U16" i="8"/>
  <c r="Y16" i="8"/>
  <c r="AC16" i="8"/>
  <c r="AG16" i="8"/>
  <c r="AK16" i="8"/>
  <c r="AO16" i="8"/>
  <c r="AS16" i="8"/>
  <c r="AW16" i="8"/>
  <c r="D16" i="8"/>
  <c r="H16" i="8"/>
  <c r="L16" i="8"/>
  <c r="P16" i="8"/>
  <c r="T16" i="8"/>
  <c r="X16" i="8"/>
  <c r="AB16" i="8"/>
  <c r="AF16" i="8"/>
  <c r="AJ16" i="8"/>
  <c r="AN16" i="8"/>
  <c r="AR16" i="8"/>
  <c r="AV16" i="8"/>
  <c r="J16" i="8"/>
  <c r="R16" i="8"/>
  <c r="Z16" i="8"/>
  <c r="AH16" i="8"/>
  <c r="AP16" i="8"/>
  <c r="AX16" i="8"/>
  <c r="C16" i="8"/>
  <c r="K16" i="8"/>
  <c r="S16" i="8"/>
  <c r="AA16" i="8"/>
  <c r="AI16" i="8"/>
  <c r="AQ16" i="8"/>
  <c r="AY16" i="8"/>
  <c r="N16" i="8"/>
  <c r="AD16" i="8"/>
  <c r="AT16" i="8"/>
  <c r="O16" i="8"/>
  <c r="AE16" i="8"/>
  <c r="AU16" i="8"/>
  <c r="G16" i="8"/>
  <c r="W16" i="8"/>
  <c r="AM16" i="8"/>
  <c r="AL16" i="8"/>
  <c r="B16" i="8"/>
  <c r="V16" i="8"/>
  <c r="F16" i="8"/>
  <c r="A17" i="8" a="1"/>
  <c r="A17" i="8" s="1"/>
  <c r="B15" i="5"/>
  <c r="A17" i="5" a="1"/>
  <c r="A17" i="5" s="1"/>
  <c r="AR16" i="5"/>
  <c r="AV16" i="5"/>
  <c r="AZ16" i="5"/>
  <c r="AS16" i="5"/>
  <c r="AW16" i="5"/>
  <c r="BA16" i="5"/>
  <c r="AT16" i="5"/>
  <c r="AX16" i="5"/>
  <c r="AU16" i="5"/>
  <c r="T16" i="5"/>
  <c r="X16" i="5"/>
  <c r="AB16" i="5"/>
  <c r="AF16" i="5"/>
  <c r="AJ16" i="5"/>
  <c r="AN16" i="5"/>
  <c r="E16" i="5"/>
  <c r="I16" i="5"/>
  <c r="AY16" i="5"/>
  <c r="O16" i="5"/>
  <c r="U16" i="5"/>
  <c r="Y16" i="5"/>
  <c r="AC16" i="5"/>
  <c r="AG16" i="5"/>
  <c r="AK16" i="5"/>
  <c r="AO16" i="5"/>
  <c r="P16" i="5"/>
  <c r="V16" i="5"/>
  <c r="Z16" i="5"/>
  <c r="AD16" i="5"/>
  <c r="AH16" i="5"/>
  <c r="AL16" i="5"/>
  <c r="AP16" i="5"/>
  <c r="G16" i="5"/>
  <c r="W16" i="5"/>
  <c r="AM16" i="5"/>
  <c r="H16" i="5"/>
  <c r="D16" i="5"/>
  <c r="M16" i="5"/>
  <c r="AI16" i="5"/>
  <c r="N16" i="5"/>
  <c r="AQ16" i="5"/>
  <c r="AA16" i="5"/>
  <c r="J16" i="5"/>
  <c r="L16" i="5"/>
  <c r="K16" i="5"/>
  <c r="AE16" i="5"/>
  <c r="S16" i="5"/>
  <c r="F16" i="5"/>
  <c r="Q16" i="5"/>
  <c r="R16" i="5"/>
  <c r="B17" i="8" l="1"/>
  <c r="P17" i="8"/>
  <c r="AF17" i="8"/>
  <c r="AV17" i="8"/>
  <c r="AT17" i="8"/>
  <c r="Q17" i="8"/>
  <c r="AG17" i="8"/>
  <c r="AW17" i="8"/>
  <c r="AP17" i="8"/>
  <c r="K17" i="8"/>
  <c r="AA17" i="8"/>
  <c r="AQ17" i="8"/>
  <c r="Z17" i="8"/>
  <c r="D17" i="8"/>
  <c r="J17" i="8"/>
  <c r="U17" i="8"/>
  <c r="F17" i="8"/>
  <c r="O17" i="8"/>
  <c r="AU17" i="8"/>
  <c r="X17" i="8"/>
  <c r="I17" i="8"/>
  <c r="AO17" i="8"/>
  <c r="C17" i="8"/>
  <c r="AI17" i="8"/>
  <c r="L17" i="8"/>
  <c r="AB17" i="8"/>
  <c r="AR17" i="8"/>
  <c r="AH17" i="8"/>
  <c r="M17" i="8"/>
  <c r="AC17" i="8"/>
  <c r="AS17" i="8"/>
  <c r="AD17" i="8"/>
  <c r="G17" i="8"/>
  <c r="W17" i="8"/>
  <c r="AM17" i="8"/>
  <c r="N17" i="8"/>
  <c r="T17" i="8"/>
  <c r="AJ17" i="8"/>
  <c r="E17" i="8"/>
  <c r="AK17" i="8"/>
  <c r="AX17" i="8"/>
  <c r="AE17" i="8"/>
  <c r="AL17" i="8"/>
  <c r="H17" i="8"/>
  <c r="AN17" i="8"/>
  <c r="V17" i="8"/>
  <c r="Y17" i="8"/>
  <c r="R17" i="8"/>
  <c r="S17" i="8"/>
  <c r="AY17" i="8"/>
  <c r="A18" i="8" a="1"/>
  <c r="A18" i="8" s="1"/>
  <c r="B16" i="5"/>
  <c r="AS17" i="5"/>
  <c r="AW17" i="5"/>
  <c r="BA17" i="5"/>
  <c r="AT17" i="5"/>
  <c r="AX17" i="5"/>
  <c r="AQ17" i="5"/>
  <c r="AU17" i="5"/>
  <c r="AY17" i="5"/>
  <c r="AZ17" i="5"/>
  <c r="P17" i="5"/>
  <c r="V17" i="5"/>
  <c r="Z17" i="5"/>
  <c r="AD17" i="5"/>
  <c r="AH17" i="5"/>
  <c r="AL17" i="5"/>
  <c r="AP17" i="5"/>
  <c r="S17" i="5"/>
  <c r="W17" i="5"/>
  <c r="AA17" i="5"/>
  <c r="AE17" i="5"/>
  <c r="AI17" i="5"/>
  <c r="AM17" i="5"/>
  <c r="AR17" i="5"/>
  <c r="T17" i="5"/>
  <c r="X17" i="5"/>
  <c r="AB17" i="5"/>
  <c r="AF17" i="5"/>
  <c r="AJ17" i="5"/>
  <c r="AN17" i="5"/>
  <c r="D17" i="5"/>
  <c r="H17" i="5"/>
  <c r="AC17" i="5"/>
  <c r="G17" i="5"/>
  <c r="L17" i="5"/>
  <c r="M17" i="5"/>
  <c r="U17" i="5"/>
  <c r="AK17" i="5"/>
  <c r="E17" i="5"/>
  <c r="K17" i="5"/>
  <c r="AO17" i="5"/>
  <c r="F17" i="5"/>
  <c r="O17" i="5"/>
  <c r="AG17" i="5"/>
  <c r="I17" i="5"/>
  <c r="AV17" i="5"/>
  <c r="J17" i="5"/>
  <c r="N17" i="5"/>
  <c r="Y17" i="5"/>
  <c r="Q17" i="5"/>
  <c r="R17" i="5"/>
  <c r="A18" i="5" a="1"/>
  <c r="A18" i="5" s="1"/>
  <c r="D18" i="8" l="1"/>
  <c r="H18" i="8"/>
  <c r="L18" i="8"/>
  <c r="P18" i="8"/>
  <c r="T18" i="8"/>
  <c r="X18" i="8"/>
  <c r="AB18" i="8"/>
  <c r="AF18" i="8"/>
  <c r="AJ18" i="8"/>
  <c r="AN18" i="8"/>
  <c r="AR18" i="8"/>
  <c r="AV18" i="8"/>
  <c r="C18" i="8"/>
  <c r="G18" i="8"/>
  <c r="K18" i="8"/>
  <c r="O18" i="8"/>
  <c r="S18" i="8"/>
  <c r="W18" i="8"/>
  <c r="AA18" i="8"/>
  <c r="AE18" i="8"/>
  <c r="AI18" i="8"/>
  <c r="AM18" i="8"/>
  <c r="AQ18" i="8"/>
  <c r="AU18" i="8"/>
  <c r="AY18" i="8"/>
  <c r="I18" i="8"/>
  <c r="Q18" i="8"/>
  <c r="Y18" i="8"/>
  <c r="AG18" i="8"/>
  <c r="AO18" i="8"/>
  <c r="AW18" i="8"/>
  <c r="J18" i="8"/>
  <c r="R18" i="8"/>
  <c r="Z18" i="8"/>
  <c r="AH18" i="8"/>
  <c r="AP18" i="8"/>
  <c r="AX18" i="8"/>
  <c r="M18" i="8"/>
  <c r="AC18" i="8"/>
  <c r="AS18" i="8"/>
  <c r="N18" i="8"/>
  <c r="AD18" i="8"/>
  <c r="AT18" i="8"/>
  <c r="F18" i="8"/>
  <c r="V18" i="8"/>
  <c r="AL18" i="8"/>
  <c r="E18" i="8"/>
  <c r="AK18" i="8"/>
  <c r="U18" i="8"/>
  <c r="B18" i="8"/>
  <c r="A19" i="8" a="1"/>
  <c r="A19" i="8" s="1"/>
  <c r="B17" i="5"/>
  <c r="E18" i="5"/>
  <c r="U18" i="5"/>
  <c r="AK18" i="5"/>
  <c r="BA18" i="5"/>
  <c r="R18" i="5"/>
  <c r="AH18" i="5"/>
  <c r="AX18" i="5"/>
  <c r="K18" i="5"/>
  <c r="AA18" i="5"/>
  <c r="AQ18" i="5"/>
  <c r="L18" i="5"/>
  <c r="AB18" i="5"/>
  <c r="AR18" i="5"/>
  <c r="I18" i="5"/>
  <c r="Y18" i="5"/>
  <c r="AO18" i="5"/>
  <c r="F18" i="5"/>
  <c r="V18" i="5"/>
  <c r="AL18" i="5"/>
  <c r="O18" i="5"/>
  <c r="AE18" i="5"/>
  <c r="AU18" i="5"/>
  <c r="P18" i="5"/>
  <c r="AF18" i="5"/>
  <c r="AV18" i="5"/>
  <c r="M18" i="5"/>
  <c r="AC18" i="5"/>
  <c r="AS18" i="5"/>
  <c r="J18" i="5"/>
  <c r="Z18" i="5"/>
  <c r="AP18" i="5"/>
  <c r="H18" i="5"/>
  <c r="S18" i="5"/>
  <c r="AI18" i="5"/>
  <c r="AY18" i="5"/>
  <c r="T18" i="5"/>
  <c r="AJ18" i="5"/>
  <c r="AZ18" i="5"/>
  <c r="Q18" i="5"/>
  <c r="AG18" i="5"/>
  <c r="AW18" i="5"/>
  <c r="N18" i="5"/>
  <c r="AD18" i="5"/>
  <c r="AT18" i="5"/>
  <c r="G18" i="5"/>
  <c r="W18" i="5"/>
  <c r="AM18" i="5"/>
  <c r="D18" i="5"/>
  <c r="X18" i="5"/>
  <c r="AN18" i="5"/>
  <c r="A19" i="5" a="1"/>
  <c r="A19" i="5" s="1"/>
  <c r="C19" i="8" l="1"/>
  <c r="G19" i="8"/>
  <c r="F19" i="8"/>
  <c r="J19" i="8"/>
  <c r="N19" i="8"/>
  <c r="R19" i="8"/>
  <c r="V19" i="8"/>
  <c r="Z19" i="8"/>
  <c r="AD19" i="8"/>
  <c r="AH19" i="8"/>
  <c r="AL19" i="8"/>
  <c r="AP19" i="8"/>
  <c r="AT19" i="8"/>
  <c r="AX19" i="8"/>
  <c r="H19" i="8"/>
  <c r="M19" i="8"/>
  <c r="S19" i="8"/>
  <c r="X19" i="8"/>
  <c r="AC19" i="8"/>
  <c r="AI19" i="8"/>
  <c r="AN19" i="8"/>
  <c r="AS19" i="8"/>
  <c r="AY19" i="8"/>
  <c r="I19" i="8"/>
  <c r="O19" i="8"/>
  <c r="T19" i="8"/>
  <c r="Y19" i="8"/>
  <c r="AE19" i="8"/>
  <c r="AJ19" i="8"/>
  <c r="AO19" i="8"/>
  <c r="AU19" i="8"/>
  <c r="K19" i="8"/>
  <c r="U19" i="8"/>
  <c r="AF19" i="8"/>
  <c r="AQ19" i="8"/>
  <c r="L19" i="8"/>
  <c r="W19" i="8"/>
  <c r="AG19" i="8"/>
  <c r="AR19" i="8"/>
  <c r="E19" i="8"/>
  <c r="Q19" i="8"/>
  <c r="AB19" i="8"/>
  <c r="AM19" i="8"/>
  <c r="AW19" i="8"/>
  <c r="D19" i="8"/>
  <c r="AV19" i="8"/>
  <c r="P19" i="8"/>
  <c r="AK19" i="8"/>
  <c r="B19" i="8"/>
  <c r="AA19" i="8"/>
  <c r="A20" i="8" a="1"/>
  <c r="A20" i="8" s="1"/>
  <c r="B18" i="5"/>
  <c r="P19" i="5"/>
  <c r="AF19" i="5"/>
  <c r="AV19" i="5"/>
  <c r="M19" i="5"/>
  <c r="AC19" i="5"/>
  <c r="AS19" i="5"/>
  <c r="J19" i="5"/>
  <c r="Z19" i="5"/>
  <c r="AP19" i="5"/>
  <c r="K19" i="5"/>
  <c r="AA19" i="5"/>
  <c r="AQ19" i="5"/>
  <c r="L19" i="5"/>
  <c r="AB19" i="5"/>
  <c r="I19" i="5"/>
  <c r="Y19" i="5"/>
  <c r="F19" i="5"/>
  <c r="G19" i="5"/>
  <c r="D19" i="5"/>
  <c r="T19" i="5"/>
  <c r="AJ19" i="5"/>
  <c r="AZ19" i="5"/>
  <c r="Q19" i="5"/>
  <c r="AG19" i="5"/>
  <c r="AW19" i="5"/>
  <c r="N19" i="5"/>
  <c r="AD19" i="5"/>
  <c r="AT19" i="5"/>
  <c r="O19" i="5"/>
  <c r="AE19" i="5"/>
  <c r="AU19" i="5"/>
  <c r="H19" i="5"/>
  <c r="X19" i="5"/>
  <c r="AN19" i="5"/>
  <c r="E19" i="5"/>
  <c r="AK19" i="5"/>
  <c r="BA19" i="5"/>
  <c r="R19" i="5"/>
  <c r="AX19" i="5"/>
  <c r="S19" i="5"/>
  <c r="AY19" i="5"/>
  <c r="AR19" i="5"/>
  <c r="AO19" i="5"/>
  <c r="V19" i="5"/>
  <c r="AL19" i="5"/>
  <c r="W19" i="5"/>
  <c r="AM19" i="5"/>
  <c r="U19" i="5"/>
  <c r="AH19" i="5"/>
  <c r="AI19" i="5"/>
  <c r="A20" i="5" a="1"/>
  <c r="A20" i="5" s="1"/>
  <c r="A21" i="8" l="1" a="1"/>
  <c r="A21" i="8" s="1"/>
  <c r="A22" i="8" s="1" a="1"/>
  <c r="A22" i="8" s="1"/>
  <c r="E20" i="8"/>
  <c r="I20" i="8"/>
  <c r="M20" i="8"/>
  <c r="Q20" i="8"/>
  <c r="U20" i="8"/>
  <c r="Y20" i="8"/>
  <c r="AC20" i="8"/>
  <c r="AG20" i="8"/>
  <c r="AK20" i="8"/>
  <c r="AO20" i="8"/>
  <c r="AS20" i="8"/>
  <c r="AW20" i="8"/>
  <c r="G20" i="8"/>
  <c r="L20" i="8"/>
  <c r="R20" i="8"/>
  <c r="W20" i="8"/>
  <c r="AB20" i="8"/>
  <c r="AH20" i="8"/>
  <c r="AM20" i="8"/>
  <c r="AR20" i="8"/>
  <c r="AX20" i="8"/>
  <c r="C20" i="8"/>
  <c r="H20" i="8"/>
  <c r="N20" i="8"/>
  <c r="S20" i="8"/>
  <c r="X20" i="8"/>
  <c r="AD20" i="8"/>
  <c r="AI20" i="8"/>
  <c r="AN20" i="8"/>
  <c r="AT20" i="8"/>
  <c r="AY20" i="8"/>
  <c r="D20" i="8"/>
  <c r="O20" i="8"/>
  <c r="Z20" i="8"/>
  <c r="AJ20" i="8"/>
  <c r="AU20" i="8"/>
  <c r="F20" i="8"/>
  <c r="P20" i="8"/>
  <c r="AA20" i="8"/>
  <c r="AL20" i="8"/>
  <c r="AV20" i="8"/>
  <c r="K20" i="8"/>
  <c r="V20" i="8"/>
  <c r="AF20" i="8"/>
  <c r="AQ20" i="8"/>
  <c r="AP20" i="8"/>
  <c r="J20" i="8"/>
  <c r="AE20" i="8"/>
  <c r="B20" i="8"/>
  <c r="T20" i="8"/>
  <c r="B19" i="5"/>
  <c r="G20" i="5"/>
  <c r="W20" i="5"/>
  <c r="AM20" i="5"/>
  <c r="D20" i="5"/>
  <c r="T20" i="5"/>
  <c r="AJ20" i="5"/>
  <c r="AZ20" i="5"/>
  <c r="Q20" i="5"/>
  <c r="AG20" i="5"/>
  <c r="AW20" i="5"/>
  <c r="N20" i="5"/>
  <c r="AD20" i="5"/>
  <c r="AT20" i="5"/>
  <c r="K20" i="5"/>
  <c r="AA20" i="5"/>
  <c r="AQ20" i="5"/>
  <c r="H20" i="5"/>
  <c r="X20" i="5"/>
  <c r="AN20" i="5"/>
  <c r="E20" i="5"/>
  <c r="U20" i="5"/>
  <c r="AK20" i="5"/>
  <c r="BA20" i="5"/>
  <c r="R20" i="5"/>
  <c r="AH20" i="5"/>
  <c r="AX20" i="5"/>
  <c r="S20" i="5"/>
  <c r="AI20" i="5"/>
  <c r="AY20" i="5"/>
  <c r="P20" i="5"/>
  <c r="AF20" i="5"/>
  <c r="AV20" i="5"/>
  <c r="M20" i="5"/>
  <c r="AC20" i="5"/>
  <c r="AS20" i="5"/>
  <c r="J20" i="5"/>
  <c r="Z20" i="5"/>
  <c r="AP20" i="5"/>
  <c r="O20" i="5"/>
  <c r="AE20" i="5"/>
  <c r="AU20" i="5"/>
  <c r="L20" i="5"/>
  <c r="AB20" i="5"/>
  <c r="AR20" i="5"/>
  <c r="I20" i="5"/>
  <c r="Y20" i="5"/>
  <c r="AO20" i="5"/>
  <c r="F20" i="5"/>
  <c r="V20" i="5"/>
  <c r="AL20" i="5"/>
  <c r="A21" i="5" a="1"/>
  <c r="A21" i="5" s="1"/>
  <c r="F22" i="8" l="1"/>
  <c r="J22" i="8"/>
  <c r="N22" i="8"/>
  <c r="R22" i="8"/>
  <c r="V22" i="8"/>
  <c r="Z22" i="8"/>
  <c r="AD22" i="8"/>
  <c r="AH22" i="8"/>
  <c r="AL22" i="8"/>
  <c r="AP22" i="8"/>
  <c r="AT22" i="8"/>
  <c r="AX22" i="8"/>
  <c r="C22" i="8"/>
  <c r="G22" i="8"/>
  <c r="K22" i="8"/>
  <c r="O22" i="8"/>
  <c r="S22" i="8"/>
  <c r="W22" i="8"/>
  <c r="AA22" i="8"/>
  <c r="AE22" i="8"/>
  <c r="AI22" i="8"/>
  <c r="AM22" i="8"/>
  <c r="AQ22" i="8"/>
  <c r="AU22" i="8"/>
  <c r="AY22" i="8"/>
  <c r="H22" i="8"/>
  <c r="P22" i="8"/>
  <c r="X22" i="8"/>
  <c r="AF22" i="8"/>
  <c r="AN22" i="8"/>
  <c r="AV22" i="8"/>
  <c r="I22" i="8"/>
  <c r="Q22" i="8"/>
  <c r="Y22" i="8"/>
  <c r="AG22" i="8"/>
  <c r="AO22" i="8"/>
  <c r="AW22" i="8"/>
  <c r="E22" i="8"/>
  <c r="M22" i="8"/>
  <c r="U22" i="8"/>
  <c r="AC22" i="8"/>
  <c r="AK22" i="8"/>
  <c r="AS22" i="8"/>
  <c r="T22" i="8"/>
  <c r="D22" i="8"/>
  <c r="AB22" i="8"/>
  <c r="AJ22" i="8"/>
  <c r="L22" i="8"/>
  <c r="AR22" i="8"/>
  <c r="B22" i="8"/>
  <c r="D21" i="8"/>
  <c r="H21" i="8"/>
  <c r="L21" i="8"/>
  <c r="P21" i="8"/>
  <c r="T21" i="8"/>
  <c r="X21" i="8"/>
  <c r="AB21" i="8"/>
  <c r="AF21" i="8"/>
  <c r="AJ21" i="8"/>
  <c r="AN21" i="8"/>
  <c r="F21" i="8"/>
  <c r="K21" i="8"/>
  <c r="Q21" i="8"/>
  <c r="V21" i="8"/>
  <c r="AA21" i="8"/>
  <c r="AG21" i="8"/>
  <c r="AL21" i="8"/>
  <c r="AQ21" i="8"/>
  <c r="AU21" i="8"/>
  <c r="AY21" i="8"/>
  <c r="G21" i="8"/>
  <c r="M21" i="8"/>
  <c r="R21" i="8"/>
  <c r="W21" i="8"/>
  <c r="AC21" i="8"/>
  <c r="AH21" i="8"/>
  <c r="AM21" i="8"/>
  <c r="AR21" i="8"/>
  <c r="AV21" i="8"/>
  <c r="I21" i="8"/>
  <c r="S21" i="8"/>
  <c r="AD21" i="8"/>
  <c r="AO21" i="8"/>
  <c r="AW21" i="8"/>
  <c r="J21" i="8"/>
  <c r="U21" i="8"/>
  <c r="AE21" i="8"/>
  <c r="AP21" i="8"/>
  <c r="AX21" i="8"/>
  <c r="E21" i="8"/>
  <c r="O21" i="8"/>
  <c r="Z21" i="8"/>
  <c r="AK21" i="8"/>
  <c r="AT21" i="8"/>
  <c r="AI21" i="8"/>
  <c r="C21" i="8"/>
  <c r="AS21" i="8"/>
  <c r="B21" i="8"/>
  <c r="Y21" i="8"/>
  <c r="N21" i="8"/>
  <c r="A23" i="8" a="1"/>
  <c r="A23" i="8" s="1"/>
  <c r="B20" i="5"/>
  <c r="AQ21" i="5"/>
  <c r="AT21" i="5"/>
  <c r="AA21" i="5"/>
  <c r="F21" i="5"/>
  <c r="BA21" i="5"/>
  <c r="AC21" i="5"/>
  <c r="D21" i="5"/>
  <c r="AZ21" i="5"/>
  <c r="AF21" i="5"/>
  <c r="K21" i="5"/>
  <c r="Z21" i="5"/>
  <c r="AL21" i="5"/>
  <c r="Q21" i="5"/>
  <c r="AR21" i="5"/>
  <c r="AY21" i="5"/>
  <c r="AE21" i="5"/>
  <c r="J21" i="5"/>
  <c r="O21" i="5"/>
  <c r="AG21" i="5"/>
  <c r="H21" i="5"/>
  <c r="T21" i="5"/>
  <c r="AJ21" i="5"/>
  <c r="AX21" i="5"/>
  <c r="P21" i="5"/>
  <c r="E21" i="5"/>
  <c r="R21" i="5"/>
  <c r="AW21" i="5"/>
  <c r="W21" i="5"/>
  <c r="AM21" i="5"/>
  <c r="AV21" i="5"/>
  <c r="Y21" i="5"/>
  <c r="AO21" i="5"/>
  <c r="AU21" i="5"/>
  <c r="AB21" i="5"/>
  <c r="G21" i="5"/>
  <c r="M21" i="5"/>
  <c r="V21" i="5"/>
  <c r="I21" i="5"/>
  <c r="AS21" i="5"/>
  <c r="S21" i="5"/>
  <c r="AI21" i="5"/>
  <c r="N21" i="5"/>
  <c r="U21" i="5"/>
  <c r="AK21" i="5"/>
  <c r="L21" i="5"/>
  <c r="X21" i="5"/>
  <c r="AN21" i="5"/>
  <c r="AD21" i="5"/>
  <c r="AH21" i="5"/>
  <c r="AP21" i="5"/>
  <c r="A22" i="5" a="1"/>
  <c r="A22" i="5" s="1"/>
  <c r="E23" i="8" l="1"/>
  <c r="I23" i="8"/>
  <c r="M23" i="8"/>
  <c r="Q23" i="8"/>
  <c r="U23" i="8"/>
  <c r="Y23" i="8"/>
  <c r="AC23" i="8"/>
  <c r="AG23" i="8"/>
  <c r="AK23" i="8"/>
  <c r="AO23" i="8"/>
  <c r="AS23" i="8"/>
  <c r="AW23" i="8"/>
  <c r="F23" i="8"/>
  <c r="J23" i="8"/>
  <c r="N23" i="8"/>
  <c r="R23" i="8"/>
  <c r="V23" i="8"/>
  <c r="Z23" i="8"/>
  <c r="AD23" i="8"/>
  <c r="AH23" i="8"/>
  <c r="AL23" i="8"/>
  <c r="AP23" i="8"/>
  <c r="AT23" i="8"/>
  <c r="AX23" i="8"/>
  <c r="G23" i="8"/>
  <c r="O23" i="8"/>
  <c r="W23" i="8"/>
  <c r="AE23" i="8"/>
  <c r="AM23" i="8"/>
  <c r="AU23" i="8"/>
  <c r="H23" i="8"/>
  <c r="P23" i="8"/>
  <c r="X23" i="8"/>
  <c r="AF23" i="8"/>
  <c r="AN23" i="8"/>
  <c r="AV23" i="8"/>
  <c r="D23" i="8"/>
  <c r="L23" i="8"/>
  <c r="T23" i="8"/>
  <c r="AB23" i="8"/>
  <c r="AJ23" i="8"/>
  <c r="AR23" i="8"/>
  <c r="C23" i="8"/>
  <c r="AI23" i="8"/>
  <c r="AY23" i="8"/>
  <c r="K23" i="8"/>
  <c r="AQ23" i="8"/>
  <c r="AA23" i="8"/>
  <c r="B23" i="8"/>
  <c r="S23" i="8"/>
  <c r="A24" i="8" a="1"/>
  <c r="A24" i="8" s="1"/>
  <c r="B21" i="5"/>
  <c r="O22" i="5"/>
  <c r="AF22" i="5"/>
  <c r="K22" i="5"/>
  <c r="V22" i="5"/>
  <c r="AL22" i="5"/>
  <c r="M22" i="5"/>
  <c r="BA22" i="5"/>
  <c r="AC22" i="5"/>
  <c r="D22" i="5"/>
  <c r="AY22" i="5"/>
  <c r="W22" i="5"/>
  <c r="AA22" i="5"/>
  <c r="AR22" i="5"/>
  <c r="T22" i="5"/>
  <c r="AJ22" i="5"/>
  <c r="AT22" i="5"/>
  <c r="Z22" i="5"/>
  <c r="AP22" i="5"/>
  <c r="AU22" i="5"/>
  <c r="P22" i="5"/>
  <c r="AG22" i="5"/>
  <c r="H22" i="5"/>
  <c r="S22" i="5"/>
  <c r="AM22" i="5"/>
  <c r="J22" i="5"/>
  <c r="AV22" i="5"/>
  <c r="X22" i="5"/>
  <c r="AN22" i="5"/>
  <c r="AX22" i="5"/>
  <c r="AD22" i="5"/>
  <c r="E22" i="5"/>
  <c r="AS22" i="5"/>
  <c r="U22" i="5"/>
  <c r="AK22" i="5"/>
  <c r="L22" i="5"/>
  <c r="AI22" i="5"/>
  <c r="F22" i="5"/>
  <c r="Q22" i="5"/>
  <c r="AZ22" i="5"/>
  <c r="AB22" i="5"/>
  <c r="G22" i="5"/>
  <c r="R22" i="5"/>
  <c r="AH22" i="5"/>
  <c r="I22" i="5"/>
  <c r="AW22" i="5"/>
  <c r="Y22" i="5"/>
  <c r="AO22" i="5"/>
  <c r="AQ22" i="5"/>
  <c r="N22" i="5"/>
  <c r="AE22" i="5"/>
  <c r="A23" i="5" a="1"/>
  <c r="A23" i="5" s="1"/>
  <c r="D24" i="8" l="1"/>
  <c r="H24" i="8"/>
  <c r="L24" i="8"/>
  <c r="P24" i="8"/>
  <c r="T24" i="8"/>
  <c r="X24" i="8"/>
  <c r="AB24" i="8"/>
  <c r="AF24" i="8"/>
  <c r="AJ24" i="8"/>
  <c r="AN24" i="8"/>
  <c r="AR24" i="8"/>
  <c r="AV24" i="8"/>
  <c r="E24" i="8"/>
  <c r="I24" i="8"/>
  <c r="M24" i="8"/>
  <c r="Q24" i="8"/>
  <c r="U24" i="8"/>
  <c r="Y24" i="8"/>
  <c r="AC24" i="8"/>
  <c r="AG24" i="8"/>
  <c r="AK24" i="8"/>
  <c r="AO24" i="8"/>
  <c r="AS24" i="8"/>
  <c r="AW24" i="8"/>
  <c r="F24" i="8"/>
  <c r="N24" i="8"/>
  <c r="V24" i="8"/>
  <c r="AD24" i="8"/>
  <c r="AL24" i="8"/>
  <c r="AT24" i="8"/>
  <c r="G24" i="8"/>
  <c r="O24" i="8"/>
  <c r="W24" i="8"/>
  <c r="AE24" i="8"/>
  <c r="AM24" i="8"/>
  <c r="AU24" i="8"/>
  <c r="C24" i="8"/>
  <c r="K24" i="8"/>
  <c r="S24" i="8"/>
  <c r="AA24" i="8"/>
  <c r="AI24" i="8"/>
  <c r="AQ24" i="8"/>
  <c r="AY24" i="8"/>
  <c r="R24" i="8"/>
  <c r="AX24" i="8"/>
  <c r="B24" i="8"/>
  <c r="Z24" i="8"/>
  <c r="AH24" i="8"/>
  <c r="J24" i="8"/>
  <c r="AP24" i="8"/>
  <c r="A25" i="8" a="1"/>
  <c r="A25" i="8" s="1"/>
  <c r="B22" i="5"/>
  <c r="BA23" i="5"/>
  <c r="AD23" i="5"/>
  <c r="D23" i="5"/>
  <c r="AU23" i="5"/>
  <c r="AB23" i="5"/>
  <c r="F23" i="5"/>
  <c r="AT23" i="5"/>
  <c r="AA23" i="5"/>
  <c r="E23" i="5"/>
  <c r="AZ23" i="5"/>
  <c r="U23" i="5"/>
  <c r="AG23" i="5"/>
  <c r="P23" i="5"/>
  <c r="AH23" i="5"/>
  <c r="H23" i="5"/>
  <c r="AY23" i="5"/>
  <c r="AF23" i="5"/>
  <c r="J23" i="5"/>
  <c r="AX23" i="5"/>
  <c r="AE23" i="5"/>
  <c r="I23" i="5"/>
  <c r="Y23" i="5"/>
  <c r="AC23" i="5"/>
  <c r="AK23" i="5"/>
  <c r="AS23" i="5"/>
  <c r="V23" i="5"/>
  <c r="AL23" i="5"/>
  <c r="L23" i="5"/>
  <c r="T23" i="5"/>
  <c r="AJ23" i="5"/>
  <c r="N23" i="5"/>
  <c r="S23" i="5"/>
  <c r="AI23" i="5"/>
  <c r="M23" i="5"/>
  <c r="AO23" i="5"/>
  <c r="K23" i="5"/>
  <c r="R23" i="5"/>
  <c r="AW23" i="5"/>
  <c r="Z23" i="5"/>
  <c r="AP23" i="5"/>
  <c r="AQ23" i="5"/>
  <c r="X23" i="5"/>
  <c r="AN23" i="5"/>
  <c r="AV23" i="5"/>
  <c r="W23" i="5"/>
  <c r="AM23" i="5"/>
  <c r="AR23" i="5"/>
  <c r="G23" i="5"/>
  <c r="O23" i="5"/>
  <c r="Q23" i="5"/>
  <c r="A24" i="5" a="1"/>
  <c r="A24" i="5" s="1"/>
  <c r="C25" i="8" l="1"/>
  <c r="G25" i="8"/>
  <c r="K25" i="8"/>
  <c r="O25" i="8"/>
  <c r="S25" i="8"/>
  <c r="W25" i="8"/>
  <c r="AA25" i="8"/>
  <c r="AE25" i="8"/>
  <c r="AI25" i="8"/>
  <c r="AM25" i="8"/>
  <c r="AQ25" i="8"/>
  <c r="AU25" i="8"/>
  <c r="AY25" i="8"/>
  <c r="D25" i="8"/>
  <c r="H25" i="8"/>
  <c r="L25" i="8"/>
  <c r="P25" i="8"/>
  <c r="T25" i="8"/>
  <c r="X25" i="8"/>
  <c r="AB25" i="8"/>
  <c r="AF25" i="8"/>
  <c r="AJ25" i="8"/>
  <c r="AN25" i="8"/>
  <c r="AR25" i="8"/>
  <c r="AV25" i="8"/>
  <c r="E25" i="8"/>
  <c r="M25" i="8"/>
  <c r="U25" i="8"/>
  <c r="AC25" i="8"/>
  <c r="AK25" i="8"/>
  <c r="AS25" i="8"/>
  <c r="F25" i="8"/>
  <c r="N25" i="8"/>
  <c r="V25" i="8"/>
  <c r="AD25" i="8"/>
  <c r="AL25" i="8"/>
  <c r="AT25" i="8"/>
  <c r="J25" i="8"/>
  <c r="R25" i="8"/>
  <c r="Z25" i="8"/>
  <c r="AH25" i="8"/>
  <c r="AP25" i="8"/>
  <c r="AX25" i="8"/>
  <c r="AG25" i="8"/>
  <c r="AW25" i="8"/>
  <c r="I25" i="8"/>
  <c r="AO25" i="8"/>
  <c r="Y25" i="8"/>
  <c r="B25" i="8"/>
  <c r="Q25" i="8"/>
  <c r="A26" i="8" a="1"/>
  <c r="A26" i="8" s="1"/>
  <c r="B23" i="5"/>
  <c r="S24" i="5"/>
  <c r="AI24" i="5"/>
  <c r="M24" i="5"/>
  <c r="P24" i="5"/>
  <c r="AG24" i="5"/>
  <c r="K24" i="5"/>
  <c r="AY24" i="5"/>
  <c r="AB24" i="5"/>
  <c r="F24" i="5"/>
  <c r="BA24" i="5"/>
  <c r="R24" i="5"/>
  <c r="D24" i="5"/>
  <c r="W24" i="5"/>
  <c r="AM24" i="5"/>
  <c r="AR24" i="5"/>
  <c r="U24" i="5"/>
  <c r="AK24" i="5"/>
  <c r="AW24" i="5"/>
  <c r="O24" i="5"/>
  <c r="AF24" i="5"/>
  <c r="J24" i="5"/>
  <c r="AD24" i="5"/>
  <c r="AH24" i="5"/>
  <c r="AP24" i="5"/>
  <c r="AT24" i="5"/>
  <c r="AA24" i="5"/>
  <c r="E24" i="5"/>
  <c r="AV24" i="5"/>
  <c r="Y24" i="5"/>
  <c r="AO24" i="5"/>
  <c r="AQ24" i="5"/>
  <c r="T24" i="5"/>
  <c r="AJ24" i="5"/>
  <c r="N24" i="5"/>
  <c r="L24" i="5"/>
  <c r="V24" i="5"/>
  <c r="H24" i="5"/>
  <c r="AX24" i="5"/>
  <c r="AE24" i="5"/>
  <c r="I24" i="5"/>
  <c r="AZ24" i="5"/>
  <c r="AC24" i="5"/>
  <c r="G24" i="5"/>
  <c r="AU24" i="5"/>
  <c r="X24" i="5"/>
  <c r="AN24" i="5"/>
  <c r="AS24" i="5"/>
  <c r="Z24" i="5"/>
  <c r="AL24" i="5"/>
  <c r="Q24" i="5"/>
  <c r="A25" i="5" a="1"/>
  <c r="A25" i="5" s="1"/>
  <c r="F26" i="8" l="1"/>
  <c r="J26" i="8"/>
  <c r="N26" i="8"/>
  <c r="R26" i="8"/>
  <c r="V26" i="8"/>
  <c r="Z26" i="8"/>
  <c r="AD26" i="8"/>
  <c r="AH26" i="8"/>
  <c r="AL26" i="8"/>
  <c r="AP26" i="8"/>
  <c r="AT26" i="8"/>
  <c r="AX26" i="8"/>
  <c r="C26" i="8"/>
  <c r="G26" i="8"/>
  <c r="K26" i="8"/>
  <c r="O26" i="8"/>
  <c r="S26" i="8"/>
  <c r="W26" i="8"/>
  <c r="AA26" i="8"/>
  <c r="AE26" i="8"/>
  <c r="AI26" i="8"/>
  <c r="AM26" i="8"/>
  <c r="AQ26" i="8"/>
  <c r="AU26" i="8"/>
  <c r="AY26" i="8"/>
  <c r="D26" i="8"/>
  <c r="L26" i="8"/>
  <c r="T26" i="8"/>
  <c r="AB26" i="8"/>
  <c r="AJ26" i="8"/>
  <c r="AR26" i="8"/>
  <c r="E26" i="8"/>
  <c r="M26" i="8"/>
  <c r="U26" i="8"/>
  <c r="AC26" i="8"/>
  <c r="AK26" i="8"/>
  <c r="AS26" i="8"/>
  <c r="I26" i="8"/>
  <c r="Q26" i="8"/>
  <c r="Y26" i="8"/>
  <c r="AG26" i="8"/>
  <c r="AO26" i="8"/>
  <c r="AW26" i="8"/>
  <c r="P26" i="8"/>
  <c r="AV26" i="8"/>
  <c r="X26" i="8"/>
  <c r="B26" i="8"/>
  <c r="H26" i="8"/>
  <c r="AN26" i="8"/>
  <c r="AF26" i="8"/>
  <c r="A27" i="8" a="1"/>
  <c r="A27" i="8" s="1"/>
  <c r="B24" i="5"/>
  <c r="O25" i="5"/>
  <c r="AG25" i="5"/>
  <c r="J25" i="5"/>
  <c r="BA25" i="5"/>
  <c r="AE25" i="5"/>
  <c r="H25" i="5"/>
  <c r="AZ25" i="5"/>
  <c r="AD25" i="5"/>
  <c r="G25" i="5"/>
  <c r="AJ25" i="5"/>
  <c r="X25" i="5"/>
  <c r="I25" i="5"/>
  <c r="AQ25" i="5"/>
  <c r="U25" i="5"/>
  <c r="AK25" i="5"/>
  <c r="N25" i="5"/>
  <c r="S25" i="5"/>
  <c r="AI25" i="5"/>
  <c r="L25" i="5"/>
  <c r="P25" i="5"/>
  <c r="AH25" i="5"/>
  <c r="K25" i="5"/>
  <c r="AF25" i="5"/>
  <c r="AN25" i="5"/>
  <c r="R25" i="5"/>
  <c r="AU25" i="5"/>
  <c r="Y25" i="5"/>
  <c r="AO25" i="5"/>
  <c r="AS25" i="5"/>
  <c r="W25" i="5"/>
  <c r="AM25" i="5"/>
  <c r="AR25" i="5"/>
  <c r="V25" i="5"/>
  <c r="AL25" i="5"/>
  <c r="AT25" i="5"/>
  <c r="M25" i="5"/>
  <c r="E25" i="5"/>
  <c r="Q25" i="5"/>
  <c r="AY25" i="5"/>
  <c r="AC25" i="5"/>
  <c r="F25" i="5"/>
  <c r="AW25" i="5"/>
  <c r="AA25" i="5"/>
  <c r="D25" i="5"/>
  <c r="AV25" i="5"/>
  <c r="Z25" i="5"/>
  <c r="AP25" i="5"/>
  <c r="T25" i="5"/>
  <c r="AX25" i="5"/>
  <c r="AB25" i="5"/>
  <c r="A26" i="5" a="1"/>
  <c r="A26" i="5" s="1"/>
  <c r="E27" i="8" l="1"/>
  <c r="I27" i="8"/>
  <c r="M27" i="8"/>
  <c r="Q27" i="8"/>
  <c r="U27" i="8"/>
  <c r="Y27" i="8"/>
  <c r="AC27" i="8"/>
  <c r="AG27" i="8"/>
  <c r="AK27" i="8"/>
  <c r="AO27" i="8"/>
  <c r="F27" i="8"/>
  <c r="J27" i="8"/>
  <c r="N27" i="8"/>
  <c r="R27" i="8"/>
  <c r="V27" i="8"/>
  <c r="Z27" i="8"/>
  <c r="AD27" i="8"/>
  <c r="AH27" i="8"/>
  <c r="AL27" i="8"/>
  <c r="AP27" i="8"/>
  <c r="AT27" i="8"/>
  <c r="AX27" i="8"/>
  <c r="C27" i="8"/>
  <c r="K27" i="8"/>
  <c r="S27" i="8"/>
  <c r="AA27" i="8"/>
  <c r="AI27" i="8"/>
  <c r="AQ27" i="8"/>
  <c r="AV27" i="8"/>
  <c r="D27" i="8"/>
  <c r="L27" i="8"/>
  <c r="T27" i="8"/>
  <c r="AB27" i="8"/>
  <c r="AJ27" i="8"/>
  <c r="AR27" i="8"/>
  <c r="AW27" i="8"/>
  <c r="H27" i="8"/>
  <c r="P27" i="8"/>
  <c r="X27" i="8"/>
  <c r="AF27" i="8"/>
  <c r="AN27" i="8"/>
  <c r="AU27" i="8"/>
  <c r="AE27" i="8"/>
  <c r="AS27" i="8"/>
  <c r="G27" i="8"/>
  <c r="AM27" i="8"/>
  <c r="O27" i="8"/>
  <c r="W27" i="8"/>
  <c r="AY27" i="8"/>
  <c r="B27" i="8"/>
  <c r="A28" i="8" a="1"/>
  <c r="A28" i="8" s="1"/>
  <c r="B25" i="5"/>
  <c r="F26" i="5"/>
  <c r="X26" i="5"/>
  <c r="AN26" i="5"/>
  <c r="D26" i="5"/>
  <c r="AA26" i="5"/>
  <c r="AW26" i="5"/>
  <c r="W26" i="5"/>
  <c r="AS26" i="5"/>
  <c r="S26" i="5"/>
  <c r="AO26" i="5"/>
  <c r="AE26" i="5"/>
  <c r="U26" i="5"/>
  <c r="Q26" i="5"/>
  <c r="N26" i="5"/>
  <c r="AF26" i="5"/>
  <c r="AV26" i="5"/>
  <c r="O26" i="5"/>
  <c r="AL26" i="5"/>
  <c r="K26" i="5"/>
  <c r="AH26" i="5"/>
  <c r="G26" i="5"/>
  <c r="AD26" i="5"/>
  <c r="AY26" i="5"/>
  <c r="M26" i="5"/>
  <c r="Z26" i="5"/>
  <c r="T26" i="5"/>
  <c r="AJ26" i="5"/>
  <c r="AZ26" i="5"/>
  <c r="V26" i="5"/>
  <c r="AQ26" i="5"/>
  <c r="P26" i="5"/>
  <c r="AM26" i="5"/>
  <c r="L26" i="5"/>
  <c r="AI26" i="5"/>
  <c r="H26" i="5"/>
  <c r="AK26" i="5"/>
  <c r="AU26" i="5"/>
  <c r="J26" i="5"/>
  <c r="AB26" i="5"/>
  <c r="AR26" i="5"/>
  <c r="I26" i="5"/>
  <c r="AG26" i="5"/>
  <c r="E26" i="5"/>
  <c r="AC26" i="5"/>
  <c r="AX26" i="5"/>
  <c r="Y26" i="5"/>
  <c r="AT26" i="5"/>
  <c r="BA26" i="5"/>
  <c r="AP26" i="5"/>
  <c r="R26" i="5"/>
  <c r="A27" i="5" a="1"/>
  <c r="A27" i="5" s="1"/>
  <c r="E28" i="8" l="1"/>
  <c r="I28" i="8"/>
  <c r="M28" i="8"/>
  <c r="Q28" i="8"/>
  <c r="U28" i="8"/>
  <c r="Y28" i="8"/>
  <c r="AC28" i="8"/>
  <c r="AG28" i="8"/>
  <c r="AK28" i="8"/>
  <c r="AO28" i="8"/>
  <c r="AS28" i="8"/>
  <c r="AW28" i="8"/>
  <c r="D28" i="8"/>
  <c r="J28" i="8"/>
  <c r="O28" i="8"/>
  <c r="T28" i="8"/>
  <c r="Z28" i="8"/>
  <c r="AE28" i="8"/>
  <c r="AJ28" i="8"/>
  <c r="AP28" i="8"/>
  <c r="AU28" i="8"/>
  <c r="F28" i="8"/>
  <c r="K28" i="8"/>
  <c r="P28" i="8"/>
  <c r="V28" i="8"/>
  <c r="AA28" i="8"/>
  <c r="AF28" i="8"/>
  <c r="AL28" i="8"/>
  <c r="AQ28" i="8"/>
  <c r="AV28" i="8"/>
  <c r="C28" i="8"/>
  <c r="H28" i="8"/>
  <c r="N28" i="8"/>
  <c r="S28" i="8"/>
  <c r="X28" i="8"/>
  <c r="AD28" i="8"/>
  <c r="AI28" i="8"/>
  <c r="AN28" i="8"/>
  <c r="AT28" i="8"/>
  <c r="AY28" i="8"/>
  <c r="G28" i="8"/>
  <c r="AB28" i="8"/>
  <c r="AX28" i="8"/>
  <c r="L28" i="8"/>
  <c r="AH28" i="8"/>
  <c r="AM28" i="8"/>
  <c r="W28" i="8"/>
  <c r="AR28" i="8"/>
  <c r="B28" i="8"/>
  <c r="R28" i="8"/>
  <c r="A29" i="8" a="1"/>
  <c r="A29" i="8" s="1"/>
  <c r="B26" i="5"/>
  <c r="F27" i="5"/>
  <c r="X27" i="5"/>
  <c r="AN27" i="5"/>
  <c r="D27" i="5"/>
  <c r="AA27" i="5"/>
  <c r="AW27" i="5"/>
  <c r="W27" i="5"/>
  <c r="AS27" i="5"/>
  <c r="S27" i="5"/>
  <c r="AO27" i="5"/>
  <c r="AU27" i="5"/>
  <c r="M27" i="5"/>
  <c r="R27" i="5"/>
  <c r="K27" i="5"/>
  <c r="AH27" i="5"/>
  <c r="AD27" i="5"/>
  <c r="AE27" i="5"/>
  <c r="J27" i="5"/>
  <c r="AB27" i="5"/>
  <c r="AR27" i="5"/>
  <c r="I27" i="5"/>
  <c r="AG27" i="5"/>
  <c r="E27" i="5"/>
  <c r="AC27" i="5"/>
  <c r="AX27" i="5"/>
  <c r="Y27" i="5"/>
  <c r="AT27" i="5"/>
  <c r="H27" i="5"/>
  <c r="AK27" i="5"/>
  <c r="Q27" i="5"/>
  <c r="N27" i="5"/>
  <c r="AF27" i="5"/>
  <c r="AV27" i="5"/>
  <c r="O27" i="5"/>
  <c r="AL27" i="5"/>
  <c r="G27" i="5"/>
  <c r="AY27" i="5"/>
  <c r="AP27" i="5"/>
  <c r="T27" i="5"/>
  <c r="AJ27" i="5"/>
  <c r="AZ27" i="5"/>
  <c r="V27" i="5"/>
  <c r="AQ27" i="5"/>
  <c r="P27" i="5"/>
  <c r="AM27" i="5"/>
  <c r="L27" i="5"/>
  <c r="AI27" i="5"/>
  <c r="Z27" i="5"/>
  <c r="BA27" i="5"/>
  <c r="U27" i="5"/>
  <c r="A28" i="5" a="1"/>
  <c r="A28" i="5" s="1"/>
  <c r="D29" i="8" l="1"/>
  <c r="H29" i="8"/>
  <c r="L29" i="8"/>
  <c r="P29" i="8"/>
  <c r="T29" i="8"/>
  <c r="X29" i="8"/>
  <c r="AB29" i="8"/>
  <c r="AF29" i="8"/>
  <c r="AJ29" i="8"/>
  <c r="AN29" i="8"/>
  <c r="AR29" i="8"/>
  <c r="AV29" i="8"/>
  <c r="C29" i="8"/>
  <c r="I29" i="8"/>
  <c r="N29" i="8"/>
  <c r="S29" i="8"/>
  <c r="Y29" i="8"/>
  <c r="AD29" i="8"/>
  <c r="AI29" i="8"/>
  <c r="AO29" i="8"/>
  <c r="AT29" i="8"/>
  <c r="AY29" i="8"/>
  <c r="E29" i="8"/>
  <c r="J29" i="8"/>
  <c r="O29" i="8"/>
  <c r="U29" i="8"/>
  <c r="Z29" i="8"/>
  <c r="AE29" i="8"/>
  <c r="AK29" i="8"/>
  <c r="AP29" i="8"/>
  <c r="AU29" i="8"/>
  <c r="G29" i="8"/>
  <c r="M29" i="8"/>
  <c r="R29" i="8"/>
  <c r="W29" i="8"/>
  <c r="AC29" i="8"/>
  <c r="AH29" i="8"/>
  <c r="AM29" i="8"/>
  <c r="AS29" i="8"/>
  <c r="AX29" i="8"/>
  <c r="V29" i="8"/>
  <c r="AQ29" i="8"/>
  <c r="B29" i="8"/>
  <c r="K29" i="8"/>
  <c r="F29" i="8"/>
  <c r="AA29" i="8"/>
  <c r="AW29" i="8"/>
  <c r="Q29" i="8"/>
  <c r="AL29" i="8"/>
  <c r="AG29" i="8"/>
  <c r="A30" i="8" a="1"/>
  <c r="A30" i="8" s="1"/>
  <c r="B27" i="5"/>
  <c r="J28" i="5"/>
  <c r="AB28" i="5"/>
  <c r="AR28" i="5"/>
  <c r="I28" i="5"/>
  <c r="AG28" i="5"/>
  <c r="E28" i="5"/>
  <c r="AC28" i="5"/>
  <c r="AX28" i="5"/>
  <c r="Y28" i="5"/>
  <c r="AT28" i="5"/>
  <c r="Z28" i="5"/>
  <c r="BA28" i="5"/>
  <c r="Q28" i="5"/>
  <c r="N28" i="5"/>
  <c r="AF28" i="5"/>
  <c r="AV28" i="5"/>
  <c r="O28" i="5"/>
  <c r="AL28" i="5"/>
  <c r="K28" i="5"/>
  <c r="AH28" i="5"/>
  <c r="G28" i="5"/>
  <c r="AD28" i="5"/>
  <c r="AY28" i="5"/>
  <c r="AU28" i="5"/>
  <c r="M28" i="5"/>
  <c r="T28" i="5"/>
  <c r="AJ28" i="5"/>
  <c r="AZ28" i="5"/>
  <c r="V28" i="5"/>
  <c r="AQ28" i="5"/>
  <c r="P28" i="5"/>
  <c r="AM28" i="5"/>
  <c r="L28" i="5"/>
  <c r="AI28" i="5"/>
  <c r="U28" i="5"/>
  <c r="H28" i="5"/>
  <c r="AK28" i="5"/>
  <c r="F28" i="5"/>
  <c r="X28" i="5"/>
  <c r="AN28" i="5"/>
  <c r="D28" i="5"/>
  <c r="AA28" i="5"/>
  <c r="AW28" i="5"/>
  <c r="W28" i="5"/>
  <c r="AS28" i="5"/>
  <c r="S28" i="5"/>
  <c r="AO28" i="5"/>
  <c r="AP28" i="5"/>
  <c r="AE28" i="5"/>
  <c r="R28" i="5"/>
  <c r="A29" i="5" a="1"/>
  <c r="A29" i="5" s="1"/>
  <c r="C30" i="8" l="1"/>
  <c r="G30" i="8"/>
  <c r="K30" i="8"/>
  <c r="H30" i="8"/>
  <c r="M30" i="8"/>
  <c r="Q30" i="8"/>
  <c r="U30" i="8"/>
  <c r="Y30" i="8"/>
  <c r="AC30" i="8"/>
  <c r="AG30" i="8"/>
  <c r="AK30" i="8"/>
  <c r="AO30" i="8"/>
  <c r="AS30" i="8"/>
  <c r="AW30" i="8"/>
  <c r="D30" i="8"/>
  <c r="I30" i="8"/>
  <c r="N30" i="8"/>
  <c r="R30" i="8"/>
  <c r="V30" i="8"/>
  <c r="Z30" i="8"/>
  <c r="AD30" i="8"/>
  <c r="AH30" i="8"/>
  <c r="AL30" i="8"/>
  <c r="AP30" i="8"/>
  <c r="AT30" i="8"/>
  <c r="AX30" i="8"/>
  <c r="F30" i="8"/>
  <c r="L30" i="8"/>
  <c r="P30" i="8"/>
  <c r="T30" i="8"/>
  <c r="X30" i="8"/>
  <c r="AB30" i="8"/>
  <c r="AF30" i="8"/>
  <c r="AJ30" i="8"/>
  <c r="AN30" i="8"/>
  <c r="AR30" i="8"/>
  <c r="AV30" i="8"/>
  <c r="O30" i="8"/>
  <c r="AE30" i="8"/>
  <c r="AU30" i="8"/>
  <c r="W30" i="8"/>
  <c r="B30" i="8"/>
  <c r="S30" i="8"/>
  <c r="AI30" i="8"/>
  <c r="AY30" i="8"/>
  <c r="E30" i="8"/>
  <c r="J30" i="8"/>
  <c r="AA30" i="8"/>
  <c r="AQ30" i="8"/>
  <c r="AM30" i="8"/>
  <c r="A31" i="8" a="1"/>
  <c r="A31" i="8" s="1"/>
  <c r="B28" i="5"/>
  <c r="A30" i="5" a="1"/>
  <c r="A30" i="5" s="1"/>
  <c r="N29" i="5"/>
  <c r="AF29" i="5"/>
  <c r="AV29" i="5"/>
  <c r="O29" i="5"/>
  <c r="AL29" i="5"/>
  <c r="K29" i="5"/>
  <c r="AH29" i="5"/>
  <c r="G29" i="5"/>
  <c r="AD29" i="5"/>
  <c r="AY29" i="5"/>
  <c r="AP29" i="5"/>
  <c r="H29" i="5"/>
  <c r="T29" i="5"/>
  <c r="AJ29" i="5"/>
  <c r="AZ29" i="5"/>
  <c r="V29" i="5"/>
  <c r="AQ29" i="5"/>
  <c r="P29" i="5"/>
  <c r="AM29" i="5"/>
  <c r="L29" i="5"/>
  <c r="AI29" i="5"/>
  <c r="M29" i="5"/>
  <c r="Z29" i="5"/>
  <c r="AE29" i="5"/>
  <c r="F29" i="5"/>
  <c r="X29" i="5"/>
  <c r="AN29" i="5"/>
  <c r="D29" i="5"/>
  <c r="AA29" i="5"/>
  <c r="AW29" i="5"/>
  <c r="W29" i="5"/>
  <c r="AS29" i="5"/>
  <c r="S29" i="5"/>
  <c r="AO29" i="5"/>
  <c r="AK29" i="5"/>
  <c r="AU29" i="5"/>
  <c r="R29" i="5"/>
  <c r="J29" i="5"/>
  <c r="AB29" i="5"/>
  <c r="AR29" i="5"/>
  <c r="I29" i="5"/>
  <c r="AG29" i="5"/>
  <c r="E29" i="5"/>
  <c r="AC29" i="5"/>
  <c r="AX29" i="5"/>
  <c r="Y29" i="5"/>
  <c r="AT29" i="5"/>
  <c r="U29" i="5"/>
  <c r="BA29" i="5"/>
  <c r="Q29" i="5"/>
  <c r="D31" i="8" l="1"/>
  <c r="H31" i="8"/>
  <c r="L31" i="8"/>
  <c r="P31" i="8"/>
  <c r="T31" i="8"/>
  <c r="X31" i="8"/>
  <c r="AB31" i="8"/>
  <c r="AF31" i="8"/>
  <c r="AJ31" i="8"/>
  <c r="AN31" i="8"/>
  <c r="AR31" i="8"/>
  <c r="AV31" i="8"/>
  <c r="E31" i="8"/>
  <c r="I31" i="8"/>
  <c r="M31" i="8"/>
  <c r="Q31" i="8"/>
  <c r="U31" i="8"/>
  <c r="Y31" i="8"/>
  <c r="AC31" i="8"/>
  <c r="AG31" i="8"/>
  <c r="AK31" i="8"/>
  <c r="AO31" i="8"/>
  <c r="AS31" i="8"/>
  <c r="AW31" i="8"/>
  <c r="C31" i="8"/>
  <c r="G31" i="8"/>
  <c r="K31" i="8"/>
  <c r="O31" i="8"/>
  <c r="S31" i="8"/>
  <c r="W31" i="8"/>
  <c r="AA31" i="8"/>
  <c r="AE31" i="8"/>
  <c r="AI31" i="8"/>
  <c r="AM31" i="8"/>
  <c r="AQ31" i="8"/>
  <c r="AU31" i="8"/>
  <c r="AY31" i="8"/>
  <c r="N31" i="8"/>
  <c r="AD31" i="8"/>
  <c r="AT31" i="8"/>
  <c r="V31" i="8"/>
  <c r="R31" i="8"/>
  <c r="AH31" i="8"/>
  <c r="AX31" i="8"/>
  <c r="F31" i="8"/>
  <c r="J31" i="8"/>
  <c r="Z31" i="8"/>
  <c r="AP31" i="8"/>
  <c r="B31" i="8"/>
  <c r="AL31" i="8"/>
  <c r="A32" i="8" a="1"/>
  <c r="A32" i="8" s="1"/>
  <c r="B29" i="5"/>
  <c r="F30" i="5"/>
  <c r="X30" i="5"/>
  <c r="AN30" i="5"/>
  <c r="D30" i="5"/>
  <c r="AA30" i="5"/>
  <c r="AW30" i="5"/>
  <c r="W30" i="5"/>
  <c r="AS30" i="5"/>
  <c r="S30" i="5"/>
  <c r="AO30" i="5"/>
  <c r="AE30" i="5"/>
  <c r="U30" i="5"/>
  <c r="R30" i="5"/>
  <c r="J30" i="5"/>
  <c r="AB30" i="5"/>
  <c r="AR30" i="5"/>
  <c r="I30" i="5"/>
  <c r="AG30" i="5"/>
  <c r="E30" i="5"/>
  <c r="AC30" i="5"/>
  <c r="AX30" i="5"/>
  <c r="Y30" i="5"/>
  <c r="AT30" i="5"/>
  <c r="BA30" i="5"/>
  <c r="AP30" i="5"/>
  <c r="Q30" i="5"/>
  <c r="N30" i="5"/>
  <c r="AF30" i="5"/>
  <c r="AV30" i="5"/>
  <c r="O30" i="5"/>
  <c r="AL30" i="5"/>
  <c r="K30" i="5"/>
  <c r="AH30" i="5"/>
  <c r="G30" i="5"/>
  <c r="AD30" i="5"/>
  <c r="AY30" i="5"/>
  <c r="M30" i="5"/>
  <c r="AU30" i="5"/>
  <c r="T30" i="5"/>
  <c r="AJ30" i="5"/>
  <c r="AZ30" i="5"/>
  <c r="V30" i="5"/>
  <c r="AQ30" i="5"/>
  <c r="P30" i="5"/>
  <c r="AM30" i="5"/>
  <c r="L30" i="5"/>
  <c r="AI30" i="5"/>
  <c r="H30" i="5"/>
  <c r="AK30" i="5"/>
  <c r="Z30" i="5"/>
  <c r="A31" i="5" a="1"/>
  <c r="A31" i="5" s="1"/>
  <c r="F32" i="8" l="1"/>
  <c r="J32" i="8"/>
  <c r="N32" i="8"/>
  <c r="R32" i="8"/>
  <c r="V32" i="8"/>
  <c r="Z32" i="8"/>
  <c r="AD32" i="8"/>
  <c r="AH32" i="8"/>
  <c r="AL32" i="8"/>
  <c r="AP32" i="8"/>
  <c r="AT32" i="8"/>
  <c r="AX32" i="8"/>
  <c r="E32" i="8"/>
  <c r="K32" i="8"/>
  <c r="P32" i="8"/>
  <c r="U32" i="8"/>
  <c r="AA32" i="8"/>
  <c r="AF32" i="8"/>
  <c r="AK32" i="8"/>
  <c r="AQ32" i="8"/>
  <c r="AV32" i="8"/>
  <c r="B32" i="8"/>
  <c r="H32" i="8"/>
  <c r="X32" i="8"/>
  <c r="AN32" i="8"/>
  <c r="G32" i="8"/>
  <c r="L32" i="8"/>
  <c r="Q32" i="8"/>
  <c r="W32" i="8"/>
  <c r="AB32" i="8"/>
  <c r="AG32" i="8"/>
  <c r="AM32" i="8"/>
  <c r="AR32" i="8"/>
  <c r="AW32" i="8"/>
  <c r="C32" i="8"/>
  <c r="S32" i="8"/>
  <c r="AI32" i="8"/>
  <c r="AY32" i="8"/>
  <c r="D32" i="8"/>
  <c r="I32" i="8"/>
  <c r="O32" i="8"/>
  <c r="T32" i="8"/>
  <c r="Y32" i="8"/>
  <c r="AE32" i="8"/>
  <c r="AJ32" i="8"/>
  <c r="AO32" i="8"/>
  <c r="AU32" i="8"/>
  <c r="M32" i="8"/>
  <c r="AC32" i="8"/>
  <c r="AS32" i="8"/>
  <c r="A33" i="8" a="1"/>
  <c r="A33" i="8" s="1"/>
  <c r="F31" i="5"/>
  <c r="X31" i="5"/>
  <c r="AN31" i="5"/>
  <c r="D31" i="5"/>
  <c r="AA31" i="5"/>
  <c r="AW31" i="5"/>
  <c r="W31" i="5"/>
  <c r="AS31" i="5"/>
  <c r="S31" i="5"/>
  <c r="AO31" i="5"/>
  <c r="AU31" i="5"/>
  <c r="M31" i="5"/>
  <c r="Q31" i="5"/>
  <c r="J31" i="5"/>
  <c r="AB31" i="5"/>
  <c r="AR31" i="5"/>
  <c r="I31" i="5"/>
  <c r="AG31" i="5"/>
  <c r="E31" i="5"/>
  <c r="AC31" i="5"/>
  <c r="AX31" i="5"/>
  <c r="Y31" i="5"/>
  <c r="AT31" i="5"/>
  <c r="H31" i="5"/>
  <c r="AK31" i="5"/>
  <c r="R31" i="5"/>
  <c r="N31" i="5"/>
  <c r="AF31" i="5"/>
  <c r="AV31" i="5"/>
  <c r="O31" i="5"/>
  <c r="AL31" i="5"/>
  <c r="K31" i="5"/>
  <c r="AH31" i="5"/>
  <c r="G31" i="5"/>
  <c r="AD31" i="5"/>
  <c r="AY31" i="5"/>
  <c r="AE31" i="5"/>
  <c r="AP31" i="5"/>
  <c r="T31" i="5"/>
  <c r="AJ31" i="5"/>
  <c r="AZ31" i="5"/>
  <c r="V31" i="5"/>
  <c r="AQ31" i="5"/>
  <c r="P31" i="5"/>
  <c r="AM31" i="5"/>
  <c r="L31" i="5"/>
  <c r="AI31" i="5"/>
  <c r="Z31" i="5"/>
  <c r="BA31" i="5"/>
  <c r="U31" i="5"/>
  <c r="A32" i="5" a="1"/>
  <c r="A32" i="5" s="1"/>
  <c r="E33" i="8" l="1"/>
  <c r="I33" i="8"/>
  <c r="M33" i="8"/>
  <c r="Q33" i="8"/>
  <c r="U33" i="8"/>
  <c r="Y33" i="8"/>
  <c r="AC33" i="8"/>
  <c r="AG33" i="8"/>
  <c r="AK33" i="8"/>
  <c r="AO33" i="8"/>
  <c r="AS33" i="8"/>
  <c r="AW33" i="8"/>
  <c r="D33" i="8"/>
  <c r="J33" i="8"/>
  <c r="O33" i="8"/>
  <c r="T33" i="8"/>
  <c r="Z33" i="8"/>
  <c r="AE33" i="8"/>
  <c r="AJ33" i="8"/>
  <c r="AP33" i="8"/>
  <c r="AU33" i="8"/>
  <c r="G33" i="8"/>
  <c r="W33" i="8"/>
  <c r="AM33" i="8"/>
  <c r="F33" i="8"/>
  <c r="K33" i="8"/>
  <c r="P33" i="8"/>
  <c r="V33" i="8"/>
  <c r="AA33" i="8"/>
  <c r="AF33" i="8"/>
  <c r="AL33" i="8"/>
  <c r="AQ33" i="8"/>
  <c r="AV33" i="8"/>
  <c r="R33" i="8"/>
  <c r="AR33" i="8"/>
  <c r="C33" i="8"/>
  <c r="H33" i="8"/>
  <c r="N33" i="8"/>
  <c r="S33" i="8"/>
  <c r="X33" i="8"/>
  <c r="AD33" i="8"/>
  <c r="AI33" i="8"/>
  <c r="AN33" i="8"/>
  <c r="AT33" i="8"/>
  <c r="AY33" i="8"/>
  <c r="B33" i="8"/>
  <c r="L33" i="8"/>
  <c r="AB33" i="8"/>
  <c r="AH33" i="8"/>
  <c r="AX33" i="8"/>
  <c r="A34" i="8" a="1"/>
  <c r="A34" i="8" s="1"/>
  <c r="J32" i="5"/>
  <c r="AB32" i="5"/>
  <c r="AR32" i="5"/>
  <c r="I32" i="5"/>
  <c r="AG32" i="5"/>
  <c r="E32" i="5"/>
  <c r="AC32" i="5"/>
  <c r="AX32" i="5"/>
  <c r="Y32" i="5"/>
  <c r="AT32" i="5"/>
  <c r="Z32" i="5"/>
  <c r="BA32" i="5"/>
  <c r="R32" i="5"/>
  <c r="N32" i="5"/>
  <c r="AF32" i="5"/>
  <c r="AV32" i="5"/>
  <c r="O32" i="5"/>
  <c r="AL32" i="5"/>
  <c r="K32" i="5"/>
  <c r="AH32" i="5"/>
  <c r="G32" i="5"/>
  <c r="AD32" i="5"/>
  <c r="AY32" i="5"/>
  <c r="AU32" i="5"/>
  <c r="AK32" i="5"/>
  <c r="T32" i="5"/>
  <c r="AJ32" i="5"/>
  <c r="AZ32" i="5"/>
  <c r="V32" i="5"/>
  <c r="AQ32" i="5"/>
  <c r="P32" i="5"/>
  <c r="AM32" i="5"/>
  <c r="L32" i="5"/>
  <c r="AI32" i="5"/>
  <c r="U32" i="5"/>
  <c r="H32" i="5"/>
  <c r="M32" i="5"/>
  <c r="F32" i="5"/>
  <c r="X32" i="5"/>
  <c r="AN32" i="5"/>
  <c r="D32" i="5"/>
  <c r="AA32" i="5"/>
  <c r="AW32" i="5"/>
  <c r="W32" i="5"/>
  <c r="AS32" i="5"/>
  <c r="S32" i="5"/>
  <c r="AO32" i="5"/>
  <c r="AP32" i="5"/>
  <c r="AE32" i="5"/>
  <c r="Q32" i="5"/>
  <c r="A33" i="5" a="1"/>
  <c r="A33" i="5" s="1"/>
  <c r="D34" i="8" l="1"/>
  <c r="H34" i="8"/>
  <c r="L34" i="8"/>
  <c r="P34" i="8"/>
  <c r="T34" i="8"/>
  <c r="X34" i="8"/>
  <c r="AB34" i="8"/>
  <c r="AF34" i="8"/>
  <c r="AJ34" i="8"/>
  <c r="AN34" i="8"/>
  <c r="AR34" i="8"/>
  <c r="AV34" i="8"/>
  <c r="C34" i="8"/>
  <c r="I34" i="8"/>
  <c r="N34" i="8"/>
  <c r="Y34" i="8"/>
  <c r="AD34" i="8"/>
  <c r="AI34" i="8"/>
  <c r="AO34" i="8"/>
  <c r="AT34" i="8"/>
  <c r="K34" i="8"/>
  <c r="AA34" i="8"/>
  <c r="AQ34" i="8"/>
  <c r="E34" i="8"/>
  <c r="J34" i="8"/>
  <c r="O34" i="8"/>
  <c r="U34" i="8"/>
  <c r="Z34" i="8"/>
  <c r="AE34" i="8"/>
  <c r="AK34" i="8"/>
  <c r="AP34" i="8"/>
  <c r="AU34" i="8"/>
  <c r="F34" i="8"/>
  <c r="V34" i="8"/>
  <c r="AL34" i="8"/>
  <c r="G34" i="8"/>
  <c r="M34" i="8"/>
  <c r="R34" i="8"/>
  <c r="W34" i="8"/>
  <c r="AC34" i="8"/>
  <c r="AH34" i="8"/>
  <c r="AM34" i="8"/>
  <c r="AS34" i="8"/>
  <c r="AX34" i="8"/>
  <c r="S34" i="8"/>
  <c r="AY34" i="8"/>
  <c r="Q34" i="8"/>
  <c r="AG34" i="8"/>
  <c r="AW34" i="8"/>
  <c r="B34" i="8"/>
  <c r="A35" i="8" a="1"/>
  <c r="A35" i="8" s="1"/>
  <c r="M33" i="5"/>
  <c r="AD33" i="5"/>
  <c r="AT33" i="5"/>
  <c r="N33" i="5"/>
  <c r="AE33" i="5"/>
  <c r="AU33" i="5"/>
  <c r="O33" i="5"/>
  <c r="AF33" i="5"/>
  <c r="AV33" i="5"/>
  <c r="AS33" i="5"/>
  <c r="U33" i="5"/>
  <c r="AO33" i="5"/>
  <c r="F33" i="5"/>
  <c r="R33" i="5"/>
  <c r="AH33" i="5"/>
  <c r="AX33" i="5"/>
  <c r="S33" i="5"/>
  <c r="AI33" i="5"/>
  <c r="AY33" i="5"/>
  <c r="T33" i="5"/>
  <c r="AJ33" i="5"/>
  <c r="AZ33" i="5"/>
  <c r="P33" i="5"/>
  <c r="AK33" i="5"/>
  <c r="H33" i="5"/>
  <c r="D33" i="5"/>
  <c r="V33" i="5"/>
  <c r="AL33" i="5"/>
  <c r="E33" i="5"/>
  <c r="W33" i="5"/>
  <c r="AM33" i="5"/>
  <c r="G33" i="5"/>
  <c r="X33" i="5"/>
  <c r="AN33" i="5"/>
  <c r="L33" i="5"/>
  <c r="AG33" i="5"/>
  <c r="BA33" i="5"/>
  <c r="Q33" i="5"/>
  <c r="I33" i="5"/>
  <c r="Z33" i="5"/>
  <c r="AP33" i="5"/>
  <c r="J33" i="5"/>
  <c r="AA33" i="5"/>
  <c r="AQ33" i="5"/>
  <c r="K33" i="5"/>
  <c r="AB33" i="5"/>
  <c r="AR33" i="5"/>
  <c r="AC33" i="5"/>
  <c r="AW33" i="5"/>
  <c r="Y33" i="5"/>
  <c r="A34" i="5" a="1"/>
  <c r="A34" i="5" s="1"/>
  <c r="C35" i="8" l="1"/>
  <c r="G35" i="8"/>
  <c r="K35" i="8"/>
  <c r="O35" i="8"/>
  <c r="S35" i="8"/>
  <c r="W35" i="8"/>
  <c r="AA35" i="8"/>
  <c r="AE35" i="8"/>
  <c r="AI35" i="8"/>
  <c r="AM35" i="8"/>
  <c r="AQ35" i="8"/>
  <c r="AU35" i="8"/>
  <c r="AY35" i="8"/>
  <c r="H35" i="8"/>
  <c r="X35" i="8"/>
  <c r="AN35" i="8"/>
  <c r="P35" i="8"/>
  <c r="AF35" i="8"/>
  <c r="AV35" i="8"/>
  <c r="D35" i="8"/>
  <c r="I35" i="8"/>
  <c r="N35" i="8"/>
  <c r="T35" i="8"/>
  <c r="Y35" i="8"/>
  <c r="AD35" i="8"/>
  <c r="AJ35" i="8"/>
  <c r="AO35" i="8"/>
  <c r="AT35" i="8"/>
  <c r="E35" i="8"/>
  <c r="U35" i="8"/>
  <c r="AP35" i="8"/>
  <c r="F35" i="8"/>
  <c r="L35" i="8"/>
  <c r="Q35" i="8"/>
  <c r="V35" i="8"/>
  <c r="AB35" i="8"/>
  <c r="AG35" i="8"/>
  <c r="AL35" i="8"/>
  <c r="AR35" i="8"/>
  <c r="AW35" i="8"/>
  <c r="B35" i="8"/>
  <c r="M35" i="8"/>
  <c r="R35" i="8"/>
  <c r="AC35" i="8"/>
  <c r="AH35" i="8"/>
  <c r="AS35" i="8"/>
  <c r="AX35" i="8"/>
  <c r="J35" i="8"/>
  <c r="Z35" i="8"/>
  <c r="AK35" i="8"/>
  <c r="A36" i="8" a="1"/>
  <c r="A36" i="8" s="1"/>
  <c r="L34" i="5"/>
  <c r="AD34" i="5"/>
  <c r="E34" i="5"/>
  <c r="W34" i="5"/>
  <c r="F34" i="5"/>
  <c r="X34" i="5"/>
  <c r="AN34" i="5"/>
  <c r="AO34" i="5"/>
  <c r="AG34" i="5"/>
  <c r="U34" i="5"/>
  <c r="BA34" i="5"/>
  <c r="AT34" i="5"/>
  <c r="P34" i="5"/>
  <c r="AH34" i="5"/>
  <c r="I34" i="5"/>
  <c r="AA34" i="5"/>
  <c r="J34" i="5"/>
  <c r="AB34" i="5"/>
  <c r="AR34" i="5"/>
  <c r="AU34" i="5"/>
  <c r="AQ34" i="5"/>
  <c r="AK34" i="5"/>
  <c r="AM34" i="5"/>
  <c r="Y34" i="5"/>
  <c r="D34" i="5"/>
  <c r="V34" i="5"/>
  <c r="AL34" i="5"/>
  <c r="M34" i="5"/>
  <c r="AE34" i="5"/>
  <c r="N34" i="5"/>
  <c r="AF34" i="5"/>
  <c r="K34" i="5"/>
  <c r="AY34" i="5"/>
  <c r="AV34" i="5"/>
  <c r="AS34" i="5"/>
  <c r="G34" i="5"/>
  <c r="Q34" i="5"/>
  <c r="H34" i="5"/>
  <c r="Z34" i="5"/>
  <c r="AP34" i="5"/>
  <c r="S34" i="5"/>
  <c r="AI34" i="5"/>
  <c r="T34" i="5"/>
  <c r="AJ34" i="5"/>
  <c r="AC34" i="5"/>
  <c r="O34" i="5"/>
  <c r="AZ34" i="5"/>
  <c r="AW34" i="5"/>
  <c r="AX34" i="5"/>
  <c r="R34" i="5"/>
  <c r="A35" i="5" a="1"/>
  <c r="A35" i="5" s="1"/>
  <c r="F36" i="8" l="1"/>
  <c r="J36" i="8"/>
  <c r="N36" i="8"/>
  <c r="R36" i="8"/>
  <c r="V36" i="8"/>
  <c r="Z36" i="8"/>
  <c r="AD36" i="8"/>
  <c r="G36" i="8"/>
  <c r="AB36" i="8"/>
  <c r="AK36" i="8"/>
  <c r="AW36" i="8"/>
  <c r="O36" i="8"/>
  <c r="AE36" i="8"/>
  <c r="AQ36" i="8"/>
  <c r="C36" i="8"/>
  <c r="H36" i="8"/>
  <c r="M36" i="8"/>
  <c r="S36" i="8"/>
  <c r="X36" i="8"/>
  <c r="AC36" i="8"/>
  <c r="AH36" i="8"/>
  <c r="AL36" i="8"/>
  <c r="AP36" i="8"/>
  <c r="AT36" i="8"/>
  <c r="AX36" i="8"/>
  <c r="I36" i="8"/>
  <c r="Y36" i="8"/>
  <c r="AM36" i="8"/>
  <c r="AY36" i="8"/>
  <c r="E36" i="8"/>
  <c r="K36" i="8"/>
  <c r="P36" i="8"/>
  <c r="U36" i="8"/>
  <c r="AA36" i="8"/>
  <c r="AF36" i="8"/>
  <c r="AJ36" i="8"/>
  <c r="AN36" i="8"/>
  <c r="AR36" i="8"/>
  <c r="AV36" i="8"/>
  <c r="L36" i="8"/>
  <c r="Q36" i="8"/>
  <c r="W36" i="8"/>
  <c r="AG36" i="8"/>
  <c r="AO36" i="8"/>
  <c r="AS36" i="8"/>
  <c r="B36" i="8"/>
  <c r="D36" i="8"/>
  <c r="T36" i="8"/>
  <c r="AI36" i="8"/>
  <c r="AU36" i="8"/>
  <c r="A37" i="8" a="1"/>
  <c r="A37" i="8" s="1"/>
  <c r="E35" i="5"/>
  <c r="W35" i="5"/>
  <c r="AM35" i="5"/>
  <c r="F35" i="5"/>
  <c r="X35" i="5"/>
  <c r="AN35" i="5"/>
  <c r="G35" i="5"/>
  <c r="Y35" i="5"/>
  <c r="AO35" i="5"/>
  <c r="H35" i="5"/>
  <c r="AH35" i="5"/>
  <c r="AT35" i="5"/>
  <c r="R35" i="5"/>
  <c r="I35" i="5"/>
  <c r="AA35" i="5"/>
  <c r="AQ35" i="5"/>
  <c r="J35" i="5"/>
  <c r="AB35" i="5"/>
  <c r="AR35" i="5"/>
  <c r="K35" i="5"/>
  <c r="AC35" i="5"/>
  <c r="AS35" i="5"/>
  <c r="Z35" i="5"/>
  <c r="AX35" i="5"/>
  <c r="D35" i="5"/>
  <c r="Q35" i="5"/>
  <c r="M35" i="5"/>
  <c r="AE35" i="5"/>
  <c r="AU35" i="5"/>
  <c r="N35" i="5"/>
  <c r="AF35" i="5"/>
  <c r="AV35" i="5"/>
  <c r="O35" i="5"/>
  <c r="AG35" i="5"/>
  <c r="AW35" i="5"/>
  <c r="AP35" i="5"/>
  <c r="L35" i="5"/>
  <c r="AL35" i="5"/>
  <c r="S35" i="5"/>
  <c r="AI35" i="5"/>
  <c r="AY35" i="5"/>
  <c r="T35" i="5"/>
  <c r="AJ35" i="5"/>
  <c r="AZ35" i="5"/>
  <c r="U35" i="5"/>
  <c r="AK35" i="5"/>
  <c r="BA35" i="5"/>
  <c r="P35" i="5"/>
  <c r="AD35" i="5"/>
  <c r="V35" i="5"/>
  <c r="A36" i="5" a="1"/>
  <c r="A36" i="5" s="1"/>
  <c r="H37" i="8" l="1"/>
  <c r="P37" i="8"/>
  <c r="AB37" i="8"/>
  <c r="AJ37" i="8"/>
  <c r="AV37" i="8"/>
  <c r="B37" i="8"/>
  <c r="J37" i="8"/>
  <c r="V37" i="8"/>
  <c r="AH37" i="8"/>
  <c r="AT37" i="8"/>
  <c r="E37" i="8"/>
  <c r="I37" i="8"/>
  <c r="M37" i="8"/>
  <c r="Q37" i="8"/>
  <c r="U37" i="8"/>
  <c r="Y37" i="8"/>
  <c r="AC37" i="8"/>
  <c r="AG37" i="8"/>
  <c r="AK37" i="8"/>
  <c r="AO37" i="8"/>
  <c r="AS37" i="8"/>
  <c r="AW37" i="8"/>
  <c r="N37" i="8"/>
  <c r="Z37" i="8"/>
  <c r="AL37" i="8"/>
  <c r="C37" i="8"/>
  <c r="G37" i="8"/>
  <c r="K37" i="8"/>
  <c r="O37" i="8"/>
  <c r="S37" i="8"/>
  <c r="W37" i="8"/>
  <c r="AA37" i="8"/>
  <c r="AE37" i="8"/>
  <c r="AI37" i="8"/>
  <c r="AM37" i="8"/>
  <c r="AQ37" i="8"/>
  <c r="AU37" i="8"/>
  <c r="AY37" i="8"/>
  <c r="D37" i="8"/>
  <c r="L37" i="8"/>
  <c r="T37" i="8"/>
  <c r="X37" i="8"/>
  <c r="AF37" i="8"/>
  <c r="AN37" i="8"/>
  <c r="AR37" i="8"/>
  <c r="F37" i="8"/>
  <c r="R37" i="8"/>
  <c r="AD37" i="8"/>
  <c r="AP37" i="8"/>
  <c r="AX37" i="8"/>
  <c r="A38" i="8" a="1"/>
  <c r="A38" i="8" s="1"/>
  <c r="S36" i="5"/>
  <c r="AI36" i="5"/>
  <c r="AY36" i="5"/>
  <c r="T36" i="5"/>
  <c r="AJ36" i="5"/>
  <c r="AZ36" i="5"/>
  <c r="U36" i="5"/>
  <c r="AK36" i="5"/>
  <c r="BA36" i="5"/>
  <c r="P36" i="5"/>
  <c r="AD36" i="5"/>
  <c r="AL36" i="5"/>
  <c r="E36" i="5"/>
  <c r="W36" i="5"/>
  <c r="AM36" i="5"/>
  <c r="F36" i="5"/>
  <c r="X36" i="5"/>
  <c r="AN36" i="5"/>
  <c r="G36" i="5"/>
  <c r="Y36" i="5"/>
  <c r="AO36" i="5"/>
  <c r="H36" i="5"/>
  <c r="AH36" i="5"/>
  <c r="AT36" i="5"/>
  <c r="R36" i="5"/>
  <c r="I36" i="5"/>
  <c r="AA36" i="5"/>
  <c r="AQ36" i="5"/>
  <c r="J36" i="5"/>
  <c r="AB36" i="5"/>
  <c r="AR36" i="5"/>
  <c r="K36" i="5"/>
  <c r="AC36" i="5"/>
  <c r="AS36" i="5"/>
  <c r="Z36" i="5"/>
  <c r="AX36" i="5"/>
  <c r="D36" i="5"/>
  <c r="Q36" i="5"/>
  <c r="M36" i="5"/>
  <c r="AE36" i="5"/>
  <c r="AU36" i="5"/>
  <c r="N36" i="5"/>
  <c r="AF36" i="5"/>
  <c r="AV36" i="5"/>
  <c r="O36" i="5"/>
  <c r="AG36" i="5"/>
  <c r="AW36" i="5"/>
  <c r="AP36" i="5"/>
  <c r="L36" i="5"/>
  <c r="V36" i="5"/>
  <c r="A37" i="5" a="1"/>
  <c r="A37" i="5" s="1"/>
  <c r="G38" i="8" l="1"/>
  <c r="S38" i="8"/>
  <c r="AA38" i="8"/>
  <c r="AE38" i="8"/>
  <c r="AM38" i="8"/>
  <c r="AY38" i="8"/>
  <c r="I38" i="8"/>
  <c r="U38" i="8"/>
  <c r="AK38" i="8"/>
  <c r="AW38" i="8"/>
  <c r="B38" i="8"/>
  <c r="D38" i="8"/>
  <c r="H38" i="8"/>
  <c r="L38" i="8"/>
  <c r="P38" i="8"/>
  <c r="T38" i="8"/>
  <c r="X38" i="8"/>
  <c r="AB38" i="8"/>
  <c r="AF38" i="8"/>
  <c r="AJ38" i="8"/>
  <c r="AN38" i="8"/>
  <c r="AR38" i="8"/>
  <c r="AV38" i="8"/>
  <c r="E38" i="8"/>
  <c r="Q38" i="8"/>
  <c r="AC38" i="8"/>
  <c r="AO38" i="8"/>
  <c r="F38" i="8"/>
  <c r="J38" i="8"/>
  <c r="N38" i="8"/>
  <c r="R38" i="8"/>
  <c r="V38" i="8"/>
  <c r="Z38" i="8"/>
  <c r="AD38" i="8"/>
  <c r="AH38" i="8"/>
  <c r="AL38" i="8"/>
  <c r="AP38" i="8"/>
  <c r="AT38" i="8"/>
  <c r="AX38" i="8"/>
  <c r="C38" i="8"/>
  <c r="K38" i="8"/>
  <c r="O38" i="8"/>
  <c r="W38" i="8"/>
  <c r="AI38" i="8"/>
  <c r="AQ38" i="8"/>
  <c r="AU38" i="8"/>
  <c r="M38" i="8"/>
  <c r="Y38" i="8"/>
  <c r="AG38" i="8"/>
  <c r="AS38" i="8"/>
  <c r="A39" i="8" a="1"/>
  <c r="A39" i="8" s="1"/>
  <c r="A40" i="8" s="1" a="1"/>
  <c r="A40" i="8" s="1"/>
  <c r="R37" i="5"/>
  <c r="AH37" i="5"/>
  <c r="AX37" i="5"/>
  <c r="S37" i="5"/>
  <c r="AI37" i="5"/>
  <c r="AY37" i="5"/>
  <c r="T37" i="5"/>
  <c r="AJ37" i="5"/>
  <c r="AZ37" i="5"/>
  <c r="P37" i="5"/>
  <c r="AC37" i="5"/>
  <c r="U37" i="5"/>
  <c r="E37" i="5"/>
  <c r="V37" i="5"/>
  <c r="AL37" i="5"/>
  <c r="F37" i="5"/>
  <c r="W37" i="5"/>
  <c r="AM37" i="5"/>
  <c r="G37" i="5"/>
  <c r="X37" i="5"/>
  <c r="AN37" i="5"/>
  <c r="H37" i="5"/>
  <c r="AG37" i="5"/>
  <c r="AS37" i="5"/>
  <c r="BA37" i="5"/>
  <c r="I37" i="5"/>
  <c r="Z37" i="5"/>
  <c r="AP37" i="5"/>
  <c r="J37" i="5"/>
  <c r="AA37" i="5"/>
  <c r="AQ37" i="5"/>
  <c r="K37" i="5"/>
  <c r="AB37" i="5"/>
  <c r="AR37" i="5"/>
  <c r="Y37" i="5"/>
  <c r="AW37" i="5"/>
  <c r="D37" i="5"/>
  <c r="Q37" i="5"/>
  <c r="M37" i="5"/>
  <c r="AD37" i="5"/>
  <c r="AT37" i="5"/>
  <c r="N37" i="5"/>
  <c r="AE37" i="5"/>
  <c r="AU37" i="5"/>
  <c r="O37" i="5"/>
  <c r="AF37" i="5"/>
  <c r="AV37" i="5"/>
  <c r="AO37" i="5"/>
  <c r="L37" i="5"/>
  <c r="AK37" i="5"/>
  <c r="A38" i="5" a="1"/>
  <c r="A38" i="5" s="1"/>
  <c r="D40" i="8" l="1"/>
  <c r="E40" i="8"/>
  <c r="B40" i="8"/>
  <c r="C40" i="8"/>
  <c r="P40" i="8"/>
  <c r="N40" i="8"/>
  <c r="O40" i="8"/>
  <c r="H40" i="8"/>
  <c r="I40" i="8"/>
  <c r="F40" i="8"/>
  <c r="G40" i="8"/>
  <c r="L40" i="8"/>
  <c r="M40" i="8"/>
  <c r="J40" i="8"/>
  <c r="K40" i="8"/>
  <c r="A41" i="8" a="1"/>
  <c r="A41" i="8" s="1"/>
  <c r="J39" i="8"/>
  <c r="V39" i="8"/>
  <c r="AD39" i="8"/>
  <c r="AL39" i="8"/>
  <c r="AX39" i="8"/>
  <c r="AU39" i="8"/>
  <c r="L39" i="8"/>
  <c r="AB39" i="8"/>
  <c r="AN39" i="8"/>
  <c r="C39" i="8"/>
  <c r="G39" i="8"/>
  <c r="K39" i="8"/>
  <c r="O39" i="8"/>
  <c r="S39" i="8"/>
  <c r="W39" i="8"/>
  <c r="AA39" i="8"/>
  <c r="AE39" i="8"/>
  <c r="AI39" i="8"/>
  <c r="AM39" i="8"/>
  <c r="AQ39" i="8"/>
  <c r="H39" i="8"/>
  <c r="T39" i="8"/>
  <c r="AJ39" i="8"/>
  <c r="AV39" i="8"/>
  <c r="E39" i="8"/>
  <c r="I39" i="8"/>
  <c r="M39" i="8"/>
  <c r="Q39" i="8"/>
  <c r="U39" i="8"/>
  <c r="Y39" i="8"/>
  <c r="AC39" i="8"/>
  <c r="AG39" i="8"/>
  <c r="AK39" i="8"/>
  <c r="AO39" i="8"/>
  <c r="AS39" i="8"/>
  <c r="AW39" i="8"/>
  <c r="B39" i="8"/>
  <c r="F39" i="8"/>
  <c r="N39" i="8"/>
  <c r="R39" i="8"/>
  <c r="Z39" i="8"/>
  <c r="AH39" i="8"/>
  <c r="AP39" i="8"/>
  <c r="AT39" i="8"/>
  <c r="AY39" i="8"/>
  <c r="D39" i="8"/>
  <c r="P39" i="8"/>
  <c r="X39" i="8"/>
  <c r="AF39" i="8"/>
  <c r="AR39" i="8"/>
  <c r="L38" i="5"/>
  <c r="AD38" i="5"/>
  <c r="AT38" i="5"/>
  <c r="M38" i="5"/>
  <c r="AE38" i="5"/>
  <c r="AU38" i="5"/>
  <c r="N38" i="5"/>
  <c r="AF38" i="5"/>
  <c r="AV38" i="5"/>
  <c r="AO38" i="5"/>
  <c r="U38" i="5"/>
  <c r="AC38" i="5"/>
  <c r="P38" i="5"/>
  <c r="AH38" i="5"/>
  <c r="AX38" i="5"/>
  <c r="S38" i="5"/>
  <c r="AI38" i="5"/>
  <c r="AY38" i="5"/>
  <c r="T38" i="5"/>
  <c r="AJ38" i="5"/>
  <c r="AZ38" i="5"/>
  <c r="O38" i="5"/>
  <c r="AK38" i="5"/>
  <c r="AS38" i="5"/>
  <c r="D38" i="5"/>
  <c r="V38" i="5"/>
  <c r="AL38" i="5"/>
  <c r="E38" i="5"/>
  <c r="W38" i="5"/>
  <c r="AM38" i="5"/>
  <c r="F38" i="5"/>
  <c r="X38" i="5"/>
  <c r="AN38" i="5"/>
  <c r="G38" i="5"/>
  <c r="AG38" i="5"/>
  <c r="BA38" i="5"/>
  <c r="R38" i="5"/>
  <c r="H38" i="5"/>
  <c r="Z38" i="5"/>
  <c r="AP38" i="5"/>
  <c r="I38" i="5"/>
  <c r="AA38" i="5"/>
  <c r="AQ38" i="5"/>
  <c r="J38" i="5"/>
  <c r="AB38" i="5"/>
  <c r="AR38" i="5"/>
  <c r="Y38" i="5"/>
  <c r="AW38" i="5"/>
  <c r="K38" i="5"/>
  <c r="Q38" i="5"/>
  <c r="A39" i="5" a="1"/>
  <c r="A39" i="5" s="1"/>
  <c r="A42" i="8" l="1" a="1"/>
  <c r="A42" i="8" s="1"/>
  <c r="A43" i="8" s="1" a="1"/>
  <c r="A43" i="8" s="1"/>
  <c r="A44" i="8" s="1" a="1"/>
  <c r="A44" i="8" s="1"/>
  <c r="A45" i="8" s="1" a="1"/>
  <c r="A45" i="8" s="1"/>
  <c r="A46" i="8" s="1" a="1"/>
  <c r="A46" i="8" s="1"/>
  <c r="A47" i="8" s="1" a="1"/>
  <c r="A47" i="8" s="1"/>
  <c r="A48" i="8" s="1" a="1"/>
  <c r="A48" i="8" s="1"/>
  <c r="A49" i="8" s="1" a="1"/>
  <c r="A49" i="8" s="1"/>
  <c r="A50" i="8" s="1" a="1"/>
  <c r="A50" i="8" s="1"/>
  <c r="G41" i="8"/>
  <c r="H41" i="8"/>
  <c r="I41" i="8"/>
  <c r="J41" i="8"/>
  <c r="K41" i="8"/>
  <c r="L41" i="8"/>
  <c r="M41" i="8"/>
  <c r="N41" i="8"/>
  <c r="C41" i="8"/>
  <c r="E41" i="8"/>
  <c r="O41" i="8"/>
  <c r="P41" i="8"/>
  <c r="B41" i="8"/>
  <c r="D41" i="8"/>
  <c r="F41" i="8"/>
  <c r="Q40" i="8"/>
  <c r="Y40" i="8"/>
  <c r="AG40" i="8"/>
  <c r="AS40" i="8"/>
  <c r="R40" i="8"/>
  <c r="AD40" i="8"/>
  <c r="AP40" i="8"/>
  <c r="AX40" i="8"/>
  <c r="AA40" i="8"/>
  <c r="AM40" i="8"/>
  <c r="V40" i="8"/>
  <c r="AL40" i="8"/>
  <c r="W40" i="8"/>
  <c r="AI40" i="8"/>
  <c r="AY40" i="8"/>
  <c r="T40" i="8"/>
  <c r="X40" i="8"/>
  <c r="AB40" i="8"/>
  <c r="AF40" i="8"/>
  <c r="AJ40" i="8"/>
  <c r="AN40" i="8"/>
  <c r="AR40" i="8"/>
  <c r="AV40" i="8"/>
  <c r="U40" i="8"/>
  <c r="AC40" i="8"/>
  <c r="AK40" i="8"/>
  <c r="AO40" i="8"/>
  <c r="AW40" i="8"/>
  <c r="Z40" i="8"/>
  <c r="AH40" i="8"/>
  <c r="AT40" i="8"/>
  <c r="S40" i="8"/>
  <c r="AE40" i="8"/>
  <c r="AQ40" i="8"/>
  <c r="AU40" i="8"/>
  <c r="P39" i="5"/>
  <c r="AH39" i="5"/>
  <c r="AX39" i="5"/>
  <c r="S39" i="5"/>
  <c r="AI39" i="5"/>
  <c r="AJ39" i="5"/>
  <c r="K39" i="5"/>
  <c r="D39" i="5"/>
  <c r="V39" i="5"/>
  <c r="AL39" i="5"/>
  <c r="E39" i="5"/>
  <c r="W39" i="5"/>
  <c r="AM39" i="5"/>
  <c r="F39" i="5"/>
  <c r="X39" i="5"/>
  <c r="AN39" i="5"/>
  <c r="G39" i="5"/>
  <c r="AG39" i="5"/>
  <c r="AC39" i="5"/>
  <c r="R39" i="5"/>
  <c r="H39" i="5"/>
  <c r="Z39" i="5"/>
  <c r="AP39" i="5"/>
  <c r="I39" i="5"/>
  <c r="AA39" i="5"/>
  <c r="AQ39" i="5"/>
  <c r="J39" i="5"/>
  <c r="AB39" i="5"/>
  <c r="AR39" i="5"/>
  <c r="Y39" i="5"/>
  <c r="AW39" i="5"/>
  <c r="AS39" i="5"/>
  <c r="Q39" i="5"/>
  <c r="AU39" i="5"/>
  <c r="AV39" i="5"/>
  <c r="BA39" i="5"/>
  <c r="U39" i="5"/>
  <c r="T39" i="5"/>
  <c r="O39" i="5"/>
  <c r="L39" i="5"/>
  <c r="AD39" i="5"/>
  <c r="AT39" i="5"/>
  <c r="M39" i="5"/>
  <c r="AE39" i="5"/>
  <c r="N39" i="5"/>
  <c r="AF39" i="5"/>
  <c r="AO39" i="5"/>
  <c r="AY39" i="5"/>
  <c r="AZ39" i="5"/>
  <c r="AK39" i="5"/>
  <c r="A40" i="5" a="1"/>
  <c r="A40" i="5" s="1"/>
  <c r="A41" i="5" s="1" a="1"/>
  <c r="A41" i="5" s="1"/>
  <c r="A42" i="5" s="1" a="1"/>
  <c r="A42" i="5" s="1"/>
  <c r="A43" i="5" s="1" a="1"/>
  <c r="A43" i="5" s="1"/>
  <c r="A44" i="5" s="1" a="1"/>
  <c r="A44" i="5" s="1"/>
  <c r="A45" i="5" s="1" a="1"/>
  <c r="A45" i="5" s="1"/>
  <c r="A46" i="5" s="1" a="1"/>
  <c r="A46" i="5" s="1"/>
  <c r="A47" i="5" s="1" a="1"/>
  <c r="A47" i="5" s="1"/>
  <c r="A48" i="5" s="1" a="1"/>
  <c r="A48" i="5" s="1"/>
  <c r="A49" i="5" s="1" a="1"/>
  <c r="A49" i="5" s="1"/>
  <c r="A50" i="5" s="1" a="1"/>
  <c r="A50" i="5" s="1"/>
  <c r="T41" i="8" l="1"/>
  <c r="AF41" i="8"/>
  <c r="AN41" i="8"/>
  <c r="AV41" i="8"/>
  <c r="Y41" i="8"/>
  <c r="AK41" i="8"/>
  <c r="AW41" i="8"/>
  <c r="R41" i="8"/>
  <c r="AH41" i="8"/>
  <c r="AT41" i="8"/>
  <c r="U41" i="8"/>
  <c r="AG41" i="8"/>
  <c r="Z41" i="8"/>
  <c r="AP41" i="8"/>
  <c r="S41" i="8"/>
  <c r="W41" i="8"/>
  <c r="AA41" i="8"/>
  <c r="AE41" i="8"/>
  <c r="AI41" i="8"/>
  <c r="AM41" i="8"/>
  <c r="AQ41" i="8"/>
  <c r="AU41" i="8"/>
  <c r="AY41" i="8"/>
  <c r="X41" i="8"/>
  <c r="AB41" i="8"/>
  <c r="AJ41" i="8"/>
  <c r="AR41" i="8"/>
  <c r="Q41" i="8"/>
  <c r="AC41" i="8"/>
  <c r="AO41" i="8"/>
  <c r="AS41" i="8"/>
  <c r="V41" i="8"/>
  <c r="AD41" i="8"/>
  <c r="AL41" i="8"/>
  <c r="AX41" i="8"/>
</calcChain>
</file>

<file path=xl/sharedStrings.xml><?xml version="1.0" encoding="utf-8"?>
<sst xmlns="http://schemas.openxmlformats.org/spreadsheetml/2006/main" count="145" uniqueCount="72">
  <si>
    <t>Produkt</t>
  </si>
  <si>
    <t>Einheit</t>
  </si>
  <si>
    <t>Gewicht</t>
  </si>
  <si>
    <t>Gesamtmehl</t>
  </si>
  <si>
    <t>Gesamtwasser</t>
  </si>
  <si>
    <t>Mehlmischung</t>
  </si>
  <si>
    <t>Roggenanteil</t>
  </si>
  <si>
    <t>Wasseranteil im Sauerteig</t>
  </si>
  <si>
    <t>Roggenmehl</t>
  </si>
  <si>
    <t>Roggenvollkornmehl</t>
  </si>
  <si>
    <t>Salz</t>
  </si>
  <si>
    <t>Hefe</t>
  </si>
  <si>
    <t>Bruttoteiggewicht</t>
  </si>
  <si>
    <t>g</t>
  </si>
  <si>
    <t>%</t>
  </si>
  <si>
    <t>Zwiebelbrot</t>
  </si>
  <si>
    <t>Mischbrot</t>
  </si>
  <si>
    <t>Roggenbrot</t>
  </si>
  <si>
    <t>Speckbrot</t>
  </si>
  <si>
    <t>Roggen-Vollkornbrot</t>
  </si>
  <si>
    <t>Roggenbackschrot</t>
  </si>
  <si>
    <t>Koriander</t>
  </si>
  <si>
    <t>Kerbel</t>
  </si>
  <si>
    <t>Kardamom</t>
  </si>
  <si>
    <t>Liebstöckel</t>
  </si>
  <si>
    <t>Kümmel</t>
  </si>
  <si>
    <t>Quellstück</t>
  </si>
  <si>
    <t>Dinkelbrötchen</t>
  </si>
  <si>
    <t>Wasser</t>
  </si>
  <si>
    <t>Fett</t>
  </si>
  <si>
    <t>Rosmarin</t>
  </si>
  <si>
    <t>Milchbrötchen</t>
  </si>
  <si>
    <t>Zucker</t>
  </si>
  <si>
    <t>Milch</t>
  </si>
  <si>
    <t>Butter</t>
  </si>
  <si>
    <t>Vanillezucker</t>
  </si>
  <si>
    <t>Eier</t>
  </si>
  <si>
    <t>Quark</t>
  </si>
  <si>
    <t>Pudding</t>
  </si>
  <si>
    <t>Quarktasche (Teig)</t>
  </si>
  <si>
    <t>Quarktasche (Quarkmasse)</t>
  </si>
  <si>
    <t>Nr.</t>
  </si>
  <si>
    <t>Roggenbrötchen</t>
  </si>
  <si>
    <t>Amerikaner</t>
  </si>
  <si>
    <t>Hirschhornsalz</t>
  </si>
  <si>
    <t>Aroma</t>
  </si>
  <si>
    <t>Magarine</t>
  </si>
  <si>
    <t>Name</t>
  </si>
  <si>
    <t>Caro Dreier</t>
  </si>
  <si>
    <t>Cornelia Kuschke</t>
  </si>
  <si>
    <t>Rosmarinfladen</t>
  </si>
  <si>
    <t>Kümmelstange</t>
  </si>
  <si>
    <t>Quarktasche</t>
  </si>
  <si>
    <t>EK-Preise Bio-Qualität</t>
  </si>
  <si>
    <t>Preis je kg</t>
  </si>
  <si>
    <t>Preis je gr</t>
  </si>
  <si>
    <t>Weizenmehl</t>
  </si>
  <si>
    <t>Dinkelmehl</t>
  </si>
  <si>
    <t>Dinkelvollkornmehl</t>
  </si>
  <si>
    <t>Öl bzw. Fett</t>
  </si>
  <si>
    <t>Zwiebel getrocknet</t>
  </si>
  <si>
    <t>Speck geräuchert</t>
  </si>
  <si>
    <t>Zimt</t>
  </si>
  <si>
    <t>Makesblüte</t>
  </si>
  <si>
    <t>Margarine</t>
  </si>
  <si>
    <t>Gesamtkosten</t>
  </si>
  <si>
    <t>Gesamtbetrag</t>
  </si>
  <si>
    <t>Produktionskosten</t>
  </si>
  <si>
    <t>Gezahlt</t>
  </si>
  <si>
    <t>Differenz</t>
  </si>
  <si>
    <t>25,00 €</t>
  </si>
  <si>
    <t>Telefonnummer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</si>
</sst>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#,##0.0000&quot; €&quot;"/>
    <numFmt numFmtId="166" formatCode="#,##0.00&quot; €&quot;"/>
    <numFmt numFmtId="167" formatCode="#,##0.00000\ _€"/>
    <numFmt numFmtId="168" formatCode="_-* #,##0.00\ [$€-407]_-;\-* #,##0.00\ [$€-407]_-;_-* &quot;-&quot;??\ [$€-407]_-;_-@_-"/>
    <numFmt numFmtId="169" formatCode="#,##0.00\ &quot;€&quot;"/>
  </numFmts>
  <fonts count="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charset val="1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10"/>
      <name val="Calibri"/>
      <family val="2"/>
      <charset val="1"/>
    </font>
    <font>
      <b/>
      <sz val="11"/>
      <color indexed="62"/>
      <name val="Calibri"/>
      <family val="2"/>
      <charset val="1"/>
    </font>
    <font>
      <sz val="8"/>
      <color indexed="8"/>
      <name val="Lucida Sans Unicode"/>
      <family val="2"/>
      <charset val="1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</borders>
  <cellStyleXfs count="2">
    <xf numFmtId="0" fontId="0" fillId="0" borderId="0"/>
    <xf numFmtId="0" fontId="1" fillId="0" borderId="0"/>
  </cellStyleXfs>
  <cellXfs count="27">
    <xf numFmtId="0" fontId="0" fillId="0" borderId="0" xfId="0"/>
    <xf numFmtId="1" fontId="4" fillId="0" borderId="0" xfId="1" applyNumberFormat="1" applyFont="1" applyBorder="1" applyAlignment="1">
      <alignment horizontal="center" vertical="center"/>
    </xf>
    <xf numFmtId="1" fontId="4" fillId="0" borderId="0" xfId="1" applyNumberFormat="1" applyFont="1" applyFill="1" applyBorder="1" applyAlignment="1">
      <alignment horizontal="center" vertical="center"/>
    </xf>
    <xf numFmtId="164" fontId="4" fillId="0" borderId="0" xfId="1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/>
    </xf>
    <xf numFmtId="2" fontId="4" fillId="0" borderId="0" xfId="1" applyNumberFormat="1" applyFont="1" applyFill="1" applyBorder="1" applyAlignment="1">
      <alignment horizontal="center" vertical="center"/>
    </xf>
    <xf numFmtId="1" fontId="3" fillId="0" borderId="0" xfId="1" applyNumberFormat="1" applyFont="1" applyFill="1" applyBorder="1" applyAlignment="1">
      <alignment horizontal="center" vertical="center"/>
    </xf>
    <xf numFmtId="0" fontId="2" fillId="0" borderId="0" xfId="0" applyFont="1" applyFill="1" applyBorder="1"/>
    <xf numFmtId="0" fontId="5" fillId="0" borderId="1" xfId="1" applyFont="1" applyBorder="1"/>
    <xf numFmtId="165" fontId="1" fillId="0" borderId="2" xfId="1" applyNumberFormat="1" applyBorder="1"/>
    <xf numFmtId="165" fontId="1" fillId="0" borderId="3" xfId="1" applyNumberFormat="1" applyBorder="1"/>
    <xf numFmtId="0" fontId="1" fillId="0" borderId="4" xfId="1" applyBorder="1"/>
    <xf numFmtId="165" fontId="1" fillId="0" borderId="0" xfId="1" applyNumberFormat="1" applyFont="1"/>
    <xf numFmtId="165" fontId="1" fillId="0" borderId="5" xfId="1" applyNumberFormat="1" applyFont="1" applyBorder="1"/>
    <xf numFmtId="166" fontId="6" fillId="0" borderId="0" xfId="1" applyNumberFormat="1" applyFont="1"/>
    <xf numFmtId="167" fontId="1" fillId="0" borderId="5" xfId="1" applyNumberFormat="1" applyBorder="1"/>
    <xf numFmtId="1" fontId="7" fillId="0" borderId="4" xfId="1" applyNumberFormat="1" applyFont="1" applyBorder="1" applyAlignment="1">
      <alignment horizontal="left" vertical="center"/>
    </xf>
    <xf numFmtId="166" fontId="6" fillId="0" borderId="0" xfId="1" applyNumberFormat="1" applyFont="1" applyFill="1"/>
    <xf numFmtId="1" fontId="7" fillId="0" borderId="4" xfId="1" applyNumberFormat="1" applyFont="1" applyFill="1" applyBorder="1" applyAlignment="1">
      <alignment horizontal="left" vertical="center"/>
    </xf>
    <xf numFmtId="1" fontId="7" fillId="0" borderId="6" xfId="1" applyNumberFormat="1" applyFont="1" applyFill="1" applyBorder="1" applyAlignment="1">
      <alignment horizontal="left" vertical="center"/>
    </xf>
    <xf numFmtId="166" fontId="6" fillId="0" borderId="7" xfId="1" applyNumberFormat="1" applyFont="1" applyBorder="1"/>
    <xf numFmtId="167" fontId="1" fillId="0" borderId="8" xfId="1" applyNumberFormat="1" applyBorder="1"/>
    <xf numFmtId="0" fontId="2" fillId="0" borderId="0" xfId="0" applyFont="1"/>
    <xf numFmtId="168" fontId="0" fillId="0" borderId="0" xfId="0" applyNumberFormat="1"/>
    <xf numFmtId="0" fontId="0" fillId="0" borderId="0" xfId="0" applyNumberFormat="1"/>
    <xf numFmtId="0" fontId="2" fillId="0" borderId="0" xfId="0" applyFont="1" applyFill="1" applyBorder="1" applyAlignment="1">
      <alignment horizontal="center"/>
    </xf>
    <xf numFmtId="169" fontId="0" fillId="0" borderId="0" xfId="0" applyNumberFormat="1"/>
  </cellXfs>
  <cellStyles count="2">
    <cellStyle name="Excel Built-in Normal" xfId="1"/>
    <cellStyle name="Standard" xfId="0" builtinId="0"/>
  </cellStyles>
  <dxfs count="8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523875</xdr:colOff>
          <xdr:row>0</xdr:row>
          <xdr:rowOff>171450</xdr:rowOff>
        </xdr:from>
        <xdr:to>
          <xdr:col>5</xdr:col>
          <xdr:colOff>19050</xdr:colOff>
          <xdr:row>2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F1299B75-CDBD-44A9-9A79-A2F3A23A7F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Neues Rezept anlegen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171450</xdr:rowOff>
        </xdr:from>
        <xdr:to>
          <xdr:col>3</xdr:col>
          <xdr:colOff>762000</xdr:colOff>
          <xdr:row>3</xdr:row>
          <xdr:rowOff>19050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xmlns="" id="{7218C4A9-9117-4E5D-9AE9-8259A94F7F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Bestellformular öffnen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180975</xdr:rowOff>
        </xdr:from>
        <xdr:to>
          <xdr:col>3</xdr:col>
          <xdr:colOff>752475</xdr:colOff>
          <xdr:row>3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3D688E41-8FC3-41C5-AD91-6AD3296832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Bezahlformular öffnen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3:AP51"/>
  <sheetViews>
    <sheetView tabSelected="1" workbookViewId="0">
      <pane xSplit="1" topLeftCell="B1" activePane="topRight" state="frozen"/>
      <selection pane="topRight" activeCell="G2" sqref="G2"/>
    </sheetView>
  </sheetViews>
  <sheetFormatPr baseColWidth="10" defaultRowHeight="15" x14ac:dyDescent="0.25"/>
  <cols>
    <col min="1" max="1" width="26.5703125" bestFit="1" customWidth="1"/>
    <col min="2" max="2" width="7.85546875" customWidth="1"/>
    <col min="3" max="4" width="7.5703125" customWidth="1"/>
    <col min="5" max="5" width="15.42578125" bestFit="1" customWidth="1"/>
    <col min="6" max="6" width="9.28515625" bestFit="1" customWidth="1"/>
    <col min="7" max="7" width="12.42578125" customWidth="1"/>
    <col min="8" max="8" width="14.85546875" customWidth="1"/>
    <col min="9" max="9" width="13.28515625" customWidth="1"/>
    <col min="10" max="10" width="12.42578125" customWidth="1"/>
    <col min="11" max="11" width="12.7109375" customWidth="1"/>
    <col min="13" max="13" width="23.7109375" customWidth="1"/>
    <col min="14" max="14" width="16" customWidth="1"/>
    <col min="15" max="15" width="24.5703125" customWidth="1"/>
    <col min="16" max="16" width="13.28515625" customWidth="1"/>
    <col min="17" max="17" width="18.28515625" customWidth="1"/>
    <col min="18" max="18" width="16.42578125" bestFit="1" customWidth="1"/>
    <col min="19" max="19" width="14.7109375" bestFit="1" customWidth="1"/>
    <col min="20" max="20" width="15.5703125" bestFit="1" customWidth="1"/>
    <col min="22" max="22" width="17.42578125" customWidth="1"/>
    <col min="40" max="40" width="13.5703125" customWidth="1"/>
    <col min="41" max="41" width="16.42578125" customWidth="1"/>
    <col min="42" max="42" width="11.42578125" customWidth="1"/>
  </cols>
  <sheetData>
    <row r="3" spans="1:41" x14ac:dyDescent="0.25">
      <c r="A3" s="7"/>
      <c r="B3" s="7"/>
      <c r="C3" s="7"/>
    </row>
    <row r="4" spans="1:41" x14ac:dyDescent="0.25">
      <c r="A4" s="4"/>
      <c r="B4" s="4"/>
      <c r="C4" s="4"/>
    </row>
    <row r="5" spans="1:41" x14ac:dyDescent="0.25">
      <c r="A5" s="7" t="s">
        <v>0</v>
      </c>
      <c r="B5" s="7" t="s">
        <v>41</v>
      </c>
      <c r="C5" s="7" t="s">
        <v>1</v>
      </c>
      <c r="D5" s="7" t="s">
        <v>2</v>
      </c>
      <c r="E5" s="7" t="s">
        <v>3</v>
      </c>
      <c r="F5" s="7" t="s">
        <v>4</v>
      </c>
      <c r="G5" s="7" t="s">
        <v>5</v>
      </c>
      <c r="H5" s="7" t="s">
        <v>3</v>
      </c>
      <c r="I5" s="7" t="s">
        <v>6</v>
      </c>
      <c r="J5" s="7" t="s">
        <v>57</v>
      </c>
      <c r="K5" s="7" t="s">
        <v>7</v>
      </c>
      <c r="L5" s="7" t="s">
        <v>28</v>
      </c>
      <c r="M5" s="7" t="s">
        <v>6</v>
      </c>
      <c r="N5" s="7" t="s">
        <v>8</v>
      </c>
      <c r="O5" s="7" t="s">
        <v>9</v>
      </c>
      <c r="P5" s="7" t="s">
        <v>10</v>
      </c>
      <c r="Q5" s="7" t="s">
        <v>11</v>
      </c>
      <c r="R5" s="7" t="s">
        <v>60</v>
      </c>
      <c r="S5" s="7" t="s">
        <v>61</v>
      </c>
      <c r="T5" s="6" t="s">
        <v>20</v>
      </c>
      <c r="U5" s="6" t="s">
        <v>21</v>
      </c>
      <c r="V5" s="6" t="s">
        <v>22</v>
      </c>
      <c r="W5" s="6" t="s">
        <v>23</v>
      </c>
      <c r="X5" s="6" t="s">
        <v>24</v>
      </c>
      <c r="Y5" s="6" t="s">
        <v>25</v>
      </c>
      <c r="Z5" s="6" t="s">
        <v>29</v>
      </c>
      <c r="AA5" s="6" t="s">
        <v>30</v>
      </c>
      <c r="AB5" s="6" t="s">
        <v>32</v>
      </c>
      <c r="AC5" s="6" t="s">
        <v>33</v>
      </c>
      <c r="AD5" s="6" t="s">
        <v>34</v>
      </c>
      <c r="AE5" s="6" t="s">
        <v>23</v>
      </c>
      <c r="AF5" s="6" t="s">
        <v>35</v>
      </c>
      <c r="AG5" s="6" t="s">
        <v>36</v>
      </c>
      <c r="AH5" s="6" t="s">
        <v>37</v>
      </c>
      <c r="AI5" s="6" t="s">
        <v>38</v>
      </c>
      <c r="AJ5" s="6" t="s">
        <v>46</v>
      </c>
      <c r="AK5" s="6" t="s">
        <v>45</v>
      </c>
      <c r="AL5" s="6" t="s">
        <v>44</v>
      </c>
      <c r="AM5" s="7" t="s">
        <v>12</v>
      </c>
      <c r="AN5" s="6" t="s">
        <v>26</v>
      </c>
      <c r="AO5" s="6"/>
    </row>
    <row r="6" spans="1:41" x14ac:dyDescent="0.25">
      <c r="A6" s="4" t="s">
        <v>15</v>
      </c>
      <c r="B6" s="4">
        <f>IF(ISTEXT(A6),COUNTA($A$6:A6),"")</f>
        <v>1</v>
      </c>
      <c r="C6" s="4" t="s">
        <v>13</v>
      </c>
      <c r="D6" s="2">
        <v>790</v>
      </c>
      <c r="E6" s="2">
        <f>D6*E7/D7</f>
        <v>478.78787878787881</v>
      </c>
      <c r="F6" s="2">
        <f>D6*F7/D7</f>
        <v>311.21212121212119</v>
      </c>
      <c r="G6" s="2"/>
      <c r="H6" s="2">
        <f>E6</f>
        <v>478.78787878787881</v>
      </c>
      <c r="I6" s="2">
        <f>H6*I7/H7</f>
        <v>287.27272727272725</v>
      </c>
      <c r="J6" s="2">
        <f>H6*J7/H7</f>
        <v>191.51515151515153</v>
      </c>
      <c r="K6" s="2">
        <f>O6/100*80</f>
        <v>91.927272727272737</v>
      </c>
      <c r="L6" s="2">
        <f>IF(ISNUMBER(K6),K6,"")</f>
        <v>91.927272727272737</v>
      </c>
      <c r="M6" s="2">
        <f>I6</f>
        <v>287.27272727272725</v>
      </c>
      <c r="N6" s="2">
        <f>M6*N7/M7</f>
        <v>172.36363636363637</v>
      </c>
      <c r="O6" s="2">
        <f>M6*O7/M7</f>
        <v>114.90909090909091</v>
      </c>
      <c r="P6" s="2">
        <f>H6*P7/H7</f>
        <v>16.757575757575758</v>
      </c>
      <c r="Q6" s="2">
        <f>H6*Q7/H7</f>
        <v>19.151515151515152</v>
      </c>
      <c r="R6" s="2">
        <f>H6*R7/H7</f>
        <v>23.939393939393941</v>
      </c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>
        <f>E6+F6+P6+Q6+R6</f>
        <v>849.84848484848487</v>
      </c>
      <c r="AN6" s="4"/>
    </row>
    <row r="7" spans="1:41" x14ac:dyDescent="0.25">
      <c r="A7" s="4" t="s">
        <v>15</v>
      </c>
      <c r="B7" s="4">
        <f>IF(ISTEXT(A7),COUNTA($A$6:A7),"")</f>
        <v>2</v>
      </c>
      <c r="C7" s="4" t="s">
        <v>14</v>
      </c>
      <c r="D7" s="2">
        <v>165</v>
      </c>
      <c r="E7" s="2">
        <v>100</v>
      </c>
      <c r="F7" s="2">
        <f>D7-E7</f>
        <v>65</v>
      </c>
      <c r="G7" s="2"/>
      <c r="H7" s="2">
        <v>100</v>
      </c>
      <c r="I7" s="2">
        <v>60</v>
      </c>
      <c r="J7" s="2">
        <v>40</v>
      </c>
      <c r="K7" s="2"/>
      <c r="L7" s="2" t="str">
        <f t="shared" ref="L7:L15" si="0">IF(ISNUMBER(K7),K7,"")</f>
        <v/>
      </c>
      <c r="M7" s="2">
        <v>100</v>
      </c>
      <c r="N7" s="2">
        <v>60</v>
      </c>
      <c r="O7" s="2">
        <v>40</v>
      </c>
      <c r="P7" s="3">
        <v>3.5</v>
      </c>
      <c r="Q7" s="2">
        <v>4</v>
      </c>
      <c r="R7" s="2">
        <v>5</v>
      </c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4"/>
    </row>
    <row r="8" spans="1:41" x14ac:dyDescent="0.25">
      <c r="A8" s="4" t="s">
        <v>16</v>
      </c>
      <c r="B8" s="4">
        <f>IF(ISTEXT(A8),COUNTA($A$6:A8),"")</f>
        <v>3</v>
      </c>
      <c r="C8" s="4" t="s">
        <v>13</v>
      </c>
      <c r="D8" s="2">
        <v>813</v>
      </c>
      <c r="E8" s="2">
        <f>D8*E9/D9</f>
        <v>492.72727272727275</v>
      </c>
      <c r="F8" s="2">
        <f>D8*F9/D9</f>
        <v>320.27272727272725</v>
      </c>
      <c r="G8" s="2"/>
      <c r="H8" s="2">
        <f>E8</f>
        <v>492.72727272727275</v>
      </c>
      <c r="I8" s="2">
        <f>H8*I9/H9</f>
        <v>295.63636363636363</v>
      </c>
      <c r="J8" s="2">
        <f>H8*J9/H9</f>
        <v>197.09090909090912</v>
      </c>
      <c r="K8" s="2">
        <f>O8/100*80</f>
        <v>94.603636363636355</v>
      </c>
      <c r="L8" s="2">
        <f t="shared" si="0"/>
        <v>94.603636363636355</v>
      </c>
      <c r="M8" s="2">
        <f>I8</f>
        <v>295.63636363636363</v>
      </c>
      <c r="N8" s="2">
        <f>M8*N9/M9</f>
        <v>177.38181818181818</v>
      </c>
      <c r="O8" s="2">
        <f>M8*O9/M9</f>
        <v>118.25454545454544</v>
      </c>
      <c r="P8" s="2">
        <f>E8*P9/E9</f>
        <v>17.245454545454546</v>
      </c>
      <c r="Q8" s="2">
        <f>E8*Q9/E9</f>
        <v>19.709090909090911</v>
      </c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2">
        <f>E8+F8+P8+Q8</f>
        <v>849.9545454545455</v>
      </c>
      <c r="AN8" s="4"/>
    </row>
    <row r="9" spans="1:41" x14ac:dyDescent="0.25">
      <c r="A9" s="4" t="s">
        <v>16</v>
      </c>
      <c r="B9" s="4">
        <f>IF(ISTEXT(A9),COUNTA($A$6:A9),"")</f>
        <v>4</v>
      </c>
      <c r="C9" s="4" t="s">
        <v>14</v>
      </c>
      <c r="D9" s="2">
        <v>165</v>
      </c>
      <c r="E9" s="2">
        <v>100</v>
      </c>
      <c r="F9" s="2">
        <f>D9-E9</f>
        <v>65</v>
      </c>
      <c r="G9" s="2"/>
      <c r="H9" s="2">
        <v>100</v>
      </c>
      <c r="I9" s="2">
        <v>60</v>
      </c>
      <c r="J9" s="2">
        <v>40</v>
      </c>
      <c r="K9" s="2"/>
      <c r="L9" s="2" t="str">
        <f t="shared" si="0"/>
        <v/>
      </c>
      <c r="M9" s="2">
        <v>100</v>
      </c>
      <c r="N9" s="2">
        <v>60</v>
      </c>
      <c r="O9" s="2">
        <v>40</v>
      </c>
      <c r="P9" s="3">
        <v>3.5</v>
      </c>
      <c r="Q9" s="2">
        <v>4</v>
      </c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1" x14ac:dyDescent="0.25">
      <c r="A10" s="4" t="s">
        <v>17</v>
      </c>
      <c r="B10" s="4">
        <f>IF(ISTEXT(A10),COUNTA($A$6:A10),"")</f>
        <v>5</v>
      </c>
      <c r="C10" s="4" t="s">
        <v>13</v>
      </c>
      <c r="D10" s="2">
        <v>814</v>
      </c>
      <c r="E10" s="2">
        <f>D10*E11/D11</f>
        <v>484.52380952380952</v>
      </c>
      <c r="F10" s="2">
        <f>D10*F11/D11</f>
        <v>329.47619047619048</v>
      </c>
      <c r="G10" s="4"/>
      <c r="H10" s="2">
        <f>E10</f>
        <v>484.52380952380952</v>
      </c>
      <c r="I10" s="4"/>
      <c r="J10" s="4"/>
      <c r="K10" s="2">
        <f>O10/100*80</f>
        <v>201.56190476190477</v>
      </c>
      <c r="L10" s="2">
        <f t="shared" si="0"/>
        <v>201.56190476190477</v>
      </c>
      <c r="M10" s="4"/>
      <c r="N10" s="2">
        <f>H10*N11/H11</f>
        <v>232.57142857142856</v>
      </c>
      <c r="O10" s="2">
        <f>H10*O11/H11</f>
        <v>251.95238095238096</v>
      </c>
      <c r="P10" s="2">
        <f>E10*P11/E11</f>
        <v>16.958333333333332</v>
      </c>
      <c r="Q10" s="2">
        <f>E10*Q11/E11</f>
        <v>19.38095238095238</v>
      </c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2">
        <f>E10+F10+P10+Q10</f>
        <v>850.33928571428578</v>
      </c>
      <c r="AN10" s="4"/>
    </row>
    <row r="11" spans="1:41" x14ac:dyDescent="0.25">
      <c r="A11" s="4" t="s">
        <v>17</v>
      </c>
      <c r="B11" s="4">
        <f>IF(ISTEXT(A11),COUNTA($A$6:A11),"")</f>
        <v>6</v>
      </c>
      <c r="C11" s="4" t="s">
        <v>14</v>
      </c>
      <c r="D11" s="2">
        <v>168</v>
      </c>
      <c r="E11" s="2">
        <v>100</v>
      </c>
      <c r="F11" s="2">
        <f>D11-E11</f>
        <v>68</v>
      </c>
      <c r="G11" s="4"/>
      <c r="H11" s="2">
        <v>100</v>
      </c>
      <c r="I11" s="4"/>
      <c r="J11" s="4"/>
      <c r="K11" s="4"/>
      <c r="L11" s="2" t="str">
        <f t="shared" si="0"/>
        <v/>
      </c>
      <c r="M11" s="4"/>
      <c r="N11" s="2">
        <f>H11-O11</f>
        <v>48</v>
      </c>
      <c r="O11" s="2">
        <v>52</v>
      </c>
      <c r="P11" s="3">
        <v>3.5</v>
      </c>
      <c r="Q11" s="2">
        <v>4</v>
      </c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1" x14ac:dyDescent="0.25">
      <c r="A12" s="4" t="s">
        <v>18</v>
      </c>
      <c r="B12" s="4">
        <f>IF(ISTEXT(A12),COUNTA($A$6:A12),"")</f>
        <v>7</v>
      </c>
      <c r="C12" s="4" t="s">
        <v>13</v>
      </c>
      <c r="D12" s="2">
        <v>790</v>
      </c>
      <c r="E12" s="2">
        <f>D12*E13/D13</f>
        <v>478.78787878787881</v>
      </c>
      <c r="F12" s="2">
        <f>D12*F13/D13</f>
        <v>311.21212121212119</v>
      </c>
      <c r="G12" s="4"/>
      <c r="H12" s="2">
        <f>E12</f>
        <v>478.78787878787881</v>
      </c>
      <c r="I12" s="2">
        <f>H12*I13/H13</f>
        <v>287.27272727272725</v>
      </c>
      <c r="J12" s="2">
        <f>H12*J13/H13</f>
        <v>191.51515151515153</v>
      </c>
      <c r="K12" s="2">
        <f>O12/100*80</f>
        <v>92</v>
      </c>
      <c r="L12" s="2">
        <f t="shared" si="0"/>
        <v>92</v>
      </c>
      <c r="M12" s="2">
        <f>I12</f>
        <v>287.27272727272725</v>
      </c>
      <c r="N12" s="2">
        <f>M12*N13/M13</f>
        <v>172.36363636363637</v>
      </c>
      <c r="O12" s="2">
        <v>115</v>
      </c>
      <c r="P12" s="2">
        <f>H12*P13/H13</f>
        <v>16.757575757575758</v>
      </c>
      <c r="Q12" s="2">
        <f>H12*Q13/H13</f>
        <v>19.151515151515152</v>
      </c>
      <c r="R12" s="4"/>
      <c r="S12" s="2">
        <f>H12*S13/H13</f>
        <v>23.939393939393941</v>
      </c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>
        <f>E12+F12+P12+Q12+S12</f>
        <v>849.84848484848487</v>
      </c>
      <c r="AN12" s="4"/>
    </row>
    <row r="13" spans="1:41" x14ac:dyDescent="0.25">
      <c r="A13" s="4" t="s">
        <v>18</v>
      </c>
      <c r="B13" s="4">
        <f>IF(ISTEXT(A13),COUNTA($A$6:A13),"")</f>
        <v>8</v>
      </c>
      <c r="C13" s="4" t="s">
        <v>14</v>
      </c>
      <c r="D13" s="2">
        <v>165</v>
      </c>
      <c r="E13" s="2">
        <v>100</v>
      </c>
      <c r="F13" s="2">
        <f>D13-E13</f>
        <v>65</v>
      </c>
      <c r="G13" s="4"/>
      <c r="H13" s="2">
        <v>100</v>
      </c>
      <c r="I13" s="2">
        <v>60</v>
      </c>
      <c r="J13" s="2">
        <v>40</v>
      </c>
      <c r="K13" s="2"/>
      <c r="L13" s="2" t="str">
        <f t="shared" si="0"/>
        <v/>
      </c>
      <c r="M13" s="2">
        <v>100</v>
      </c>
      <c r="N13" s="2">
        <v>60</v>
      </c>
      <c r="O13" s="2">
        <v>40</v>
      </c>
      <c r="P13" s="2">
        <v>3.5</v>
      </c>
      <c r="Q13" s="2">
        <v>4</v>
      </c>
      <c r="R13" s="4"/>
      <c r="S13" s="2">
        <v>5</v>
      </c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4"/>
      <c r="AN13" s="4"/>
    </row>
    <row r="14" spans="1:41" x14ac:dyDescent="0.25">
      <c r="A14" s="4" t="s">
        <v>19</v>
      </c>
      <c r="B14" s="4">
        <f>IF(ISTEXT(A14),COUNTA($A$6:A14),"")</f>
        <v>9</v>
      </c>
      <c r="C14" s="4" t="s">
        <v>13</v>
      </c>
      <c r="D14" s="2">
        <v>814</v>
      </c>
      <c r="E14" s="2">
        <f>D14*E15/D15</f>
        <v>478.8235294117647</v>
      </c>
      <c r="F14" s="2">
        <f>D14*F15/D15</f>
        <v>335.1764705882353</v>
      </c>
      <c r="G14" s="2"/>
      <c r="H14" s="2">
        <f>E14</f>
        <v>478.8235294117647</v>
      </c>
      <c r="I14" s="2">
        <f>H14*I15/H15</f>
        <v>287.29411764705878</v>
      </c>
      <c r="J14" s="2">
        <f>H14*J15/H15</f>
        <v>191.52941176470588</v>
      </c>
      <c r="K14" s="2">
        <f>N14/100*80</f>
        <v>91.934117647058827</v>
      </c>
      <c r="L14" s="2">
        <f t="shared" si="0"/>
        <v>91.934117647058827</v>
      </c>
      <c r="M14" s="2">
        <f>I14</f>
        <v>287.29411764705878</v>
      </c>
      <c r="N14" s="2">
        <f>M14*N15/M15</f>
        <v>114.91764705882352</v>
      </c>
      <c r="O14" s="4"/>
      <c r="P14" s="2">
        <f>E14*P15/E15</f>
        <v>16.758823529411764</v>
      </c>
      <c r="Q14" s="2">
        <f>E14*Q15/E15</f>
        <v>19.152941176470588</v>
      </c>
      <c r="R14" s="4"/>
      <c r="S14" s="4"/>
      <c r="T14" s="2">
        <f>M14*T15/M15</f>
        <v>172.37647058823529</v>
      </c>
      <c r="U14" s="5">
        <v>0.30000000000000004</v>
      </c>
      <c r="V14" s="5">
        <v>0.30000000000000004</v>
      </c>
      <c r="W14" s="5">
        <v>0.30000000000000004</v>
      </c>
      <c r="X14" s="5">
        <v>0.30000000000000004</v>
      </c>
      <c r="Y14" s="5">
        <v>0.30000000000000004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2">
        <f>E14+F14+P14+Q14+U14+V14+W14+X14+Y14</f>
        <v>851.41176470588209</v>
      </c>
      <c r="AN14" s="2">
        <f>J14+T14+U14+V14+W14+X14+Y14+(F14-K14)</f>
        <v>608.64823529411774</v>
      </c>
    </row>
    <row r="15" spans="1:41" x14ac:dyDescent="0.25">
      <c r="A15" s="4" t="s">
        <v>19</v>
      </c>
      <c r="B15" s="4">
        <f>IF(ISTEXT(A15),COUNTA($A$6:A15),"")</f>
        <v>10</v>
      </c>
      <c r="C15" s="4" t="s">
        <v>14</v>
      </c>
      <c r="D15" s="2">
        <v>170</v>
      </c>
      <c r="E15" s="2">
        <v>100</v>
      </c>
      <c r="F15" s="2">
        <f>D15-E15</f>
        <v>70</v>
      </c>
      <c r="G15" s="2"/>
      <c r="H15" s="2">
        <v>100</v>
      </c>
      <c r="I15" s="2">
        <v>60</v>
      </c>
      <c r="J15" s="2">
        <v>40</v>
      </c>
      <c r="K15" s="2"/>
      <c r="L15" s="2" t="str">
        <f t="shared" si="0"/>
        <v/>
      </c>
      <c r="M15" s="2">
        <v>100</v>
      </c>
      <c r="N15" s="2">
        <v>40</v>
      </c>
      <c r="O15" s="4"/>
      <c r="P15" s="3">
        <v>3.5</v>
      </c>
      <c r="Q15" s="2">
        <v>4</v>
      </c>
      <c r="R15" s="4"/>
      <c r="S15" s="4"/>
      <c r="T15" s="2">
        <v>60</v>
      </c>
      <c r="U15" s="3">
        <v>0.5</v>
      </c>
      <c r="V15" s="3">
        <v>0.5</v>
      </c>
      <c r="W15" s="3">
        <v>0.2</v>
      </c>
      <c r="X15" s="3">
        <v>0.5</v>
      </c>
      <c r="Y15" s="3">
        <v>0.5</v>
      </c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4"/>
      <c r="AN15" s="4"/>
    </row>
    <row r="16" spans="1:41" x14ac:dyDescent="0.25">
      <c r="A16" s="4" t="s">
        <v>27</v>
      </c>
      <c r="B16" s="4">
        <f>IF(ISTEXT(A16),COUNTA($A$6:A16),"")</f>
        <v>11</v>
      </c>
      <c r="C16" s="4" t="s">
        <v>13</v>
      </c>
      <c r="D16" s="2">
        <v>50.9</v>
      </c>
      <c r="E16" s="4"/>
      <c r="F16" s="4"/>
      <c r="G16" s="4"/>
      <c r="H16" s="4"/>
      <c r="I16" s="4"/>
      <c r="J16" s="2">
        <f>D16*J17/D17</f>
        <v>32.838709677419352</v>
      </c>
      <c r="K16" s="4"/>
      <c r="L16" s="2">
        <f>D16*L17/D17</f>
        <v>18.061290322580646</v>
      </c>
      <c r="M16" s="4"/>
      <c r="N16" s="4"/>
      <c r="O16" s="4"/>
      <c r="P16" s="2">
        <f>J16*P17/J17</f>
        <v>0.98516129032258049</v>
      </c>
      <c r="Q16" s="2">
        <f>J16*Q17/J17</f>
        <v>1.3135483870967741</v>
      </c>
      <c r="R16" s="4"/>
      <c r="S16" s="4"/>
      <c r="T16" s="4"/>
      <c r="U16" s="4"/>
      <c r="V16" s="4"/>
      <c r="W16" s="4"/>
      <c r="X16" s="4"/>
      <c r="Y16" s="4"/>
      <c r="Z16" s="2">
        <f>J16*Z17/J17</f>
        <v>1.6419354838709677</v>
      </c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>
        <f>J16+L16+P16+Q16+Z16</f>
        <v>54.840645161290318</v>
      </c>
      <c r="AN16" s="4"/>
    </row>
    <row r="17" spans="1:42" x14ac:dyDescent="0.25">
      <c r="A17" s="4" t="s">
        <v>27</v>
      </c>
      <c r="B17" s="4">
        <f>IF(ISTEXT(A17),COUNTA($A$6:A17),"")</f>
        <v>12</v>
      </c>
      <c r="C17" s="4" t="s">
        <v>14</v>
      </c>
      <c r="D17" s="2">
        <v>155</v>
      </c>
      <c r="E17" s="4"/>
      <c r="F17" s="4"/>
      <c r="G17" s="4"/>
      <c r="H17" s="4"/>
      <c r="I17" s="4"/>
      <c r="J17" s="2">
        <v>100</v>
      </c>
      <c r="K17" s="4"/>
      <c r="L17" s="2">
        <f>D17-J17</f>
        <v>55</v>
      </c>
      <c r="M17" s="4"/>
      <c r="N17" s="4"/>
      <c r="O17" s="4"/>
      <c r="P17" s="2">
        <v>3</v>
      </c>
      <c r="Q17" s="2">
        <v>4</v>
      </c>
      <c r="R17" s="4"/>
      <c r="S17" s="4"/>
      <c r="T17" s="4"/>
      <c r="U17" s="4"/>
      <c r="V17" s="4"/>
      <c r="W17" s="4"/>
      <c r="X17" s="4"/>
      <c r="Y17" s="4"/>
      <c r="Z17" s="2">
        <v>5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2"/>
      <c r="AN17" s="4"/>
    </row>
    <row r="18" spans="1:42" x14ac:dyDescent="0.25">
      <c r="A18" s="4" t="s">
        <v>50</v>
      </c>
      <c r="B18" s="4">
        <f>IF(ISTEXT(A18),COUNTA($A$6:A18),"")</f>
        <v>13</v>
      </c>
      <c r="C18" s="4" t="s">
        <v>13</v>
      </c>
      <c r="D18" s="2">
        <v>76</v>
      </c>
      <c r="E18" s="4"/>
      <c r="F18" s="4"/>
      <c r="G18" s="4"/>
      <c r="H18" s="4"/>
      <c r="I18" s="4"/>
      <c r="J18" s="2">
        <f>D18*J19/D19</f>
        <v>43.428571428571431</v>
      </c>
      <c r="K18" s="4"/>
      <c r="L18" s="2">
        <f>D18*L19/D19</f>
        <v>32.571428571428569</v>
      </c>
      <c r="M18" s="4"/>
      <c r="N18" s="4"/>
      <c r="O18" s="4"/>
      <c r="P18" s="2">
        <f>J18*P19/J19</f>
        <v>1.3028571428571427</v>
      </c>
      <c r="Q18" s="5">
        <f>J18*Q19/J19</f>
        <v>0.21714285714285717</v>
      </c>
      <c r="R18" s="4"/>
      <c r="S18" s="4"/>
      <c r="T18" s="4"/>
      <c r="U18" s="4"/>
      <c r="V18" s="4"/>
      <c r="W18" s="4"/>
      <c r="X18" s="4"/>
      <c r="Y18" s="4"/>
      <c r="Z18" s="2">
        <f>J18*Z19/J19</f>
        <v>2.1714285714285717</v>
      </c>
      <c r="AA18" s="5">
        <f>J18*AA19/J19</f>
        <v>0.43428571428571433</v>
      </c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>
        <f>J18+L18+P18+Q18+AA18+Z18</f>
        <v>80.125714285714309</v>
      </c>
      <c r="AN18" s="2"/>
    </row>
    <row r="19" spans="1:42" x14ac:dyDescent="0.25">
      <c r="A19" s="4" t="s">
        <v>50</v>
      </c>
      <c r="B19" s="4">
        <f>IF(ISTEXT(A19),COUNTA($A$6:A19),"")</f>
        <v>14</v>
      </c>
      <c r="C19" s="4" t="s">
        <v>14</v>
      </c>
      <c r="D19" s="2">
        <v>175</v>
      </c>
      <c r="E19" s="4"/>
      <c r="F19" s="4"/>
      <c r="G19" s="4"/>
      <c r="H19" s="4"/>
      <c r="I19" s="4"/>
      <c r="J19" s="2">
        <v>100</v>
      </c>
      <c r="K19" s="4"/>
      <c r="L19" s="2">
        <f>D19-J19</f>
        <v>75</v>
      </c>
      <c r="M19" s="4"/>
      <c r="N19" s="4"/>
      <c r="O19" s="4"/>
      <c r="P19" s="2">
        <v>3</v>
      </c>
      <c r="Q19" s="3">
        <v>0.5</v>
      </c>
      <c r="R19" s="4"/>
      <c r="S19" s="4"/>
      <c r="T19" s="4"/>
      <c r="U19" s="4"/>
      <c r="V19" s="4"/>
      <c r="W19" s="4"/>
      <c r="X19" s="4"/>
      <c r="Y19" s="4"/>
      <c r="Z19" s="2">
        <v>5</v>
      </c>
      <c r="AA19" s="2">
        <v>1</v>
      </c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4"/>
      <c r="AN19" s="4"/>
    </row>
    <row r="20" spans="1:42" x14ac:dyDescent="0.25">
      <c r="A20" s="4" t="s">
        <v>31</v>
      </c>
      <c r="B20" s="4">
        <f>IF(ISTEXT(A20),COUNTA($A$6:A20),"")</f>
        <v>15</v>
      </c>
      <c r="C20" s="4" t="s">
        <v>13</v>
      </c>
      <c r="D20" s="4"/>
      <c r="E20" s="4"/>
      <c r="F20" s="4"/>
      <c r="G20" s="4"/>
      <c r="H20" s="4"/>
      <c r="I20" s="4"/>
      <c r="J20" s="2">
        <v>39</v>
      </c>
      <c r="K20" s="4"/>
      <c r="L20" s="2" t="str">
        <f t="shared" ref="L20:L24" si="1">IF(ISNUMBER(K20),K20,"")</f>
        <v/>
      </c>
      <c r="M20" s="4"/>
      <c r="N20" s="4"/>
      <c r="O20" s="4"/>
      <c r="P20" s="4"/>
      <c r="Q20" s="2">
        <v>1</v>
      </c>
      <c r="R20" s="4"/>
      <c r="S20" s="4"/>
      <c r="T20" s="4"/>
      <c r="U20" s="4"/>
      <c r="V20" s="4"/>
      <c r="W20" s="4"/>
      <c r="X20" s="4"/>
      <c r="Y20" s="4"/>
      <c r="Z20" s="4"/>
      <c r="AA20" s="4"/>
      <c r="AB20" s="2">
        <v>6</v>
      </c>
      <c r="AC20" s="2">
        <v>14</v>
      </c>
      <c r="AD20" s="5">
        <v>3</v>
      </c>
      <c r="AE20" s="5">
        <v>0</v>
      </c>
      <c r="AF20" s="5">
        <v>0.2</v>
      </c>
      <c r="AG20" s="2">
        <v>2.8</v>
      </c>
      <c r="AH20" s="2"/>
      <c r="AI20" s="2"/>
      <c r="AJ20" s="2"/>
      <c r="AK20" s="2"/>
      <c r="AL20" s="2"/>
      <c r="AM20" s="2">
        <f>SUM(E20:AL20)</f>
        <v>66</v>
      </c>
      <c r="AN20" s="4"/>
    </row>
    <row r="21" spans="1:42" x14ac:dyDescent="0.25">
      <c r="A21" s="4" t="s">
        <v>39</v>
      </c>
      <c r="B21" s="4">
        <f>IF(ISTEXT(A21),COUNTA($A$6:A21),"")</f>
        <v>16</v>
      </c>
      <c r="C21" s="4" t="s">
        <v>13</v>
      </c>
      <c r="D21" s="4"/>
      <c r="E21" s="4"/>
      <c r="F21" s="4"/>
      <c r="G21" s="4"/>
      <c r="H21" s="4"/>
      <c r="I21" s="4"/>
      <c r="J21" s="5">
        <v>23.2</v>
      </c>
      <c r="K21" s="4"/>
      <c r="L21" s="2" t="str">
        <f t="shared" si="1"/>
        <v/>
      </c>
      <c r="M21" s="4"/>
      <c r="N21" s="4"/>
      <c r="O21" s="4"/>
      <c r="P21" s="4"/>
      <c r="Q21" s="5">
        <v>0.8</v>
      </c>
      <c r="R21" s="4"/>
      <c r="S21" s="4"/>
      <c r="T21" s="4"/>
      <c r="U21" s="4"/>
      <c r="V21" s="4"/>
      <c r="W21" s="4"/>
      <c r="X21" s="4"/>
      <c r="Y21" s="4"/>
      <c r="Z21" s="4"/>
      <c r="AA21" s="4"/>
      <c r="AB21" s="5">
        <v>4</v>
      </c>
      <c r="AC21" s="5">
        <v>9</v>
      </c>
      <c r="AD21" s="5">
        <v>1.8</v>
      </c>
      <c r="AE21" s="4"/>
      <c r="AF21" s="5">
        <v>0.11</v>
      </c>
      <c r="AG21" s="5">
        <v>1.6</v>
      </c>
      <c r="AH21" s="5"/>
      <c r="AI21" s="5"/>
      <c r="AJ21" s="5"/>
      <c r="AK21" s="5"/>
      <c r="AL21" s="5"/>
      <c r="AM21" s="4"/>
      <c r="AN21" s="4"/>
    </row>
    <row r="22" spans="1:42" x14ac:dyDescent="0.25">
      <c r="A22" s="4" t="s">
        <v>40</v>
      </c>
      <c r="B22" s="4">
        <f>IF(ISTEXT(A22),COUNTA($A$6:A22),"")</f>
        <v>17</v>
      </c>
      <c r="C22" s="4" t="s">
        <v>13</v>
      </c>
      <c r="D22" s="4"/>
      <c r="E22" s="4"/>
      <c r="F22" s="4"/>
      <c r="G22" s="4"/>
      <c r="H22" s="4"/>
      <c r="I22" s="4"/>
      <c r="J22" s="4"/>
      <c r="K22" s="4"/>
      <c r="L22" s="2" t="str">
        <f t="shared" si="1"/>
        <v/>
      </c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5">
        <v>5</v>
      </c>
      <c r="AC22" s="4"/>
      <c r="AD22" s="5">
        <v>5</v>
      </c>
      <c r="AE22" s="4"/>
      <c r="AF22" s="5">
        <v>0.4</v>
      </c>
      <c r="AG22" s="5">
        <v>3</v>
      </c>
      <c r="AH22" s="5">
        <v>12.5</v>
      </c>
      <c r="AI22" s="5">
        <v>2</v>
      </c>
      <c r="AJ22" s="5"/>
      <c r="AK22" s="5"/>
      <c r="AL22" s="5"/>
      <c r="AM22" s="4"/>
      <c r="AN22" s="4"/>
    </row>
    <row r="23" spans="1:42" x14ac:dyDescent="0.25">
      <c r="A23" s="4" t="s">
        <v>42</v>
      </c>
      <c r="B23" s="4">
        <f>IF(ISTEXT(A23),COUNTA($A$6:A23),"")</f>
        <v>18</v>
      </c>
      <c r="C23" s="4" t="s">
        <v>13</v>
      </c>
      <c r="D23" s="2">
        <v>61</v>
      </c>
      <c r="E23" s="2">
        <f>D23*E24/D24</f>
        <v>36.969696969696969</v>
      </c>
      <c r="F23" s="2">
        <f>D23*F24/D24</f>
        <v>24.030303030303031</v>
      </c>
      <c r="G23" s="4"/>
      <c r="H23" s="4"/>
      <c r="I23" s="4"/>
      <c r="J23" s="2">
        <v>3.7</v>
      </c>
      <c r="K23" s="2">
        <f>F23/100*K24</f>
        <v>19.224242424242426</v>
      </c>
      <c r="L23" s="2">
        <f t="shared" si="1"/>
        <v>19.224242424242426</v>
      </c>
      <c r="M23" s="4"/>
      <c r="N23" s="2">
        <v>17</v>
      </c>
      <c r="O23" s="2">
        <v>13</v>
      </c>
      <c r="P23" s="2">
        <f>E23*P24/E24</f>
        <v>1.1090909090909091</v>
      </c>
      <c r="Q23" s="2">
        <f>E23*Q24/E24</f>
        <v>1.4787878787878788</v>
      </c>
      <c r="R23" s="4"/>
      <c r="S23" s="4"/>
      <c r="T23" s="2">
        <v>3</v>
      </c>
      <c r="U23" s="4"/>
      <c r="V23" s="4"/>
      <c r="W23" s="4"/>
      <c r="X23" s="4"/>
      <c r="Y23" s="4"/>
      <c r="Z23" s="2">
        <f>E23*Z24/E24</f>
        <v>1.8484848484848484</v>
      </c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2" x14ac:dyDescent="0.25">
      <c r="A24" s="4" t="s">
        <v>42</v>
      </c>
      <c r="B24" s="4">
        <f>IF(ISTEXT(A24),COUNTA($A$6:A24),"")</f>
        <v>19</v>
      </c>
      <c r="C24" s="4" t="s">
        <v>14</v>
      </c>
      <c r="D24" s="2">
        <v>165</v>
      </c>
      <c r="E24" s="2">
        <v>100</v>
      </c>
      <c r="F24" s="2">
        <f>D24-E24</f>
        <v>65</v>
      </c>
      <c r="G24" s="4"/>
      <c r="H24" s="4"/>
      <c r="I24" s="4"/>
      <c r="J24" s="4"/>
      <c r="K24" s="2">
        <v>80</v>
      </c>
      <c r="L24" s="2">
        <f t="shared" si="1"/>
        <v>80</v>
      </c>
      <c r="M24" s="4"/>
      <c r="N24" s="2">
        <v>80</v>
      </c>
      <c r="O24" s="2">
        <v>40</v>
      </c>
      <c r="P24" s="2">
        <v>3</v>
      </c>
      <c r="Q24" s="2">
        <v>4</v>
      </c>
      <c r="R24" s="4"/>
      <c r="S24" s="4"/>
      <c r="T24" s="2">
        <v>20</v>
      </c>
      <c r="U24" s="4"/>
      <c r="V24" s="4"/>
      <c r="W24" s="4"/>
      <c r="X24" s="4"/>
      <c r="Y24" s="4"/>
      <c r="Z24" s="2">
        <v>5</v>
      </c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2">
        <f>E23+F23+P23+Q23+Z23</f>
        <v>65.436363636363637</v>
      </c>
      <c r="AN24" s="2">
        <f>T23+F23-K23</f>
        <v>7.8060606060606048</v>
      </c>
    </row>
    <row r="25" spans="1:42" x14ac:dyDescent="0.25">
      <c r="A25" s="4" t="s">
        <v>43</v>
      </c>
      <c r="B25" s="4">
        <f>IF(ISTEXT(A25),COUNTA($A$6:A25),"")</f>
        <v>20</v>
      </c>
      <c r="C25" s="4" t="s">
        <v>13</v>
      </c>
      <c r="D25" s="4">
        <f t="shared" ref="D25:AN25" si="2">IF(ISNUMBER(D26),D26/30,"")</f>
        <v>83.36666666666666</v>
      </c>
      <c r="E25" s="4" t="str">
        <f t="shared" si="2"/>
        <v/>
      </c>
      <c r="F25" s="4" t="str">
        <f t="shared" si="2"/>
        <v/>
      </c>
      <c r="G25" s="4" t="str">
        <f t="shared" si="2"/>
        <v/>
      </c>
      <c r="H25" s="4" t="str">
        <f t="shared" si="2"/>
        <v/>
      </c>
      <c r="I25" s="4" t="str">
        <f t="shared" si="2"/>
        <v/>
      </c>
      <c r="J25" s="4">
        <f t="shared" si="2"/>
        <v>33.333333333333336</v>
      </c>
      <c r="K25" s="4" t="str">
        <f t="shared" si="2"/>
        <v/>
      </c>
      <c r="L25" s="4" t="str">
        <f t="shared" si="2"/>
        <v/>
      </c>
      <c r="M25" s="4" t="str">
        <f t="shared" si="2"/>
        <v/>
      </c>
      <c r="N25" s="4" t="str">
        <f t="shared" si="2"/>
        <v/>
      </c>
      <c r="O25" s="4" t="str">
        <f t="shared" si="2"/>
        <v/>
      </c>
      <c r="P25" s="4">
        <f t="shared" si="2"/>
        <v>0.33333333333333331</v>
      </c>
      <c r="Q25" s="4" t="str">
        <f t="shared" si="2"/>
        <v/>
      </c>
      <c r="R25" s="4" t="str">
        <f t="shared" si="2"/>
        <v/>
      </c>
      <c r="S25" s="4" t="str">
        <f t="shared" si="2"/>
        <v/>
      </c>
      <c r="T25" s="4" t="str">
        <f t="shared" si="2"/>
        <v/>
      </c>
      <c r="U25" s="4" t="str">
        <f t="shared" si="2"/>
        <v/>
      </c>
      <c r="V25" s="4" t="str">
        <f t="shared" si="2"/>
        <v/>
      </c>
      <c r="W25" s="4" t="str">
        <f t="shared" si="2"/>
        <v/>
      </c>
      <c r="X25" s="4" t="str">
        <f t="shared" si="2"/>
        <v/>
      </c>
      <c r="Y25" s="4" t="str">
        <f t="shared" si="2"/>
        <v/>
      </c>
      <c r="Z25" s="4" t="str">
        <f t="shared" si="2"/>
        <v/>
      </c>
      <c r="AA25" s="4" t="str">
        <f t="shared" si="2"/>
        <v/>
      </c>
      <c r="AB25" s="4">
        <f t="shared" si="2"/>
        <v>16.666666666666668</v>
      </c>
      <c r="AC25" s="4">
        <f t="shared" si="2"/>
        <v>23.333333333333332</v>
      </c>
      <c r="AD25" s="4" t="str">
        <f t="shared" si="2"/>
        <v/>
      </c>
      <c r="AE25" s="4" t="str">
        <f t="shared" si="2"/>
        <v/>
      </c>
      <c r="AF25" s="4" t="str">
        <f t="shared" si="2"/>
        <v/>
      </c>
      <c r="AG25" s="4">
        <f t="shared" si="2"/>
        <v>2.3333333333333335</v>
      </c>
      <c r="AH25" s="4" t="str">
        <f t="shared" si="2"/>
        <v/>
      </c>
      <c r="AI25" s="4" t="str">
        <f t="shared" si="2"/>
        <v/>
      </c>
      <c r="AJ25" s="4">
        <f t="shared" si="2"/>
        <v>6.666666666666667</v>
      </c>
      <c r="AK25" s="4">
        <f t="shared" si="2"/>
        <v>3.3333333333333333E-2</v>
      </c>
      <c r="AL25" s="4">
        <f t="shared" si="2"/>
        <v>0.66666666666666663</v>
      </c>
      <c r="AM25" s="4" t="str">
        <f t="shared" si="2"/>
        <v/>
      </c>
      <c r="AN25" s="4" t="str">
        <f t="shared" si="2"/>
        <v/>
      </c>
    </row>
    <row r="26" spans="1:42" x14ac:dyDescent="0.25">
      <c r="A26" s="4" t="s">
        <v>43</v>
      </c>
      <c r="B26" s="4">
        <f>IF(ISTEXT(A26),COUNTA($A$6:A26),"")</f>
        <v>21</v>
      </c>
      <c r="C26" s="4" t="s">
        <v>13</v>
      </c>
      <c r="D26" s="4">
        <f>SUM(E26:AL26)</f>
        <v>2501</v>
      </c>
      <c r="E26" s="4"/>
      <c r="F26" s="4"/>
      <c r="G26" s="4"/>
      <c r="H26" s="4"/>
      <c r="I26" s="4"/>
      <c r="J26" s="2">
        <v>1000</v>
      </c>
      <c r="K26" s="4"/>
      <c r="L26" s="2" t="str">
        <f>IF(ISNUMBER(K26),K26,"")</f>
        <v/>
      </c>
      <c r="M26" s="4"/>
      <c r="N26" s="4"/>
      <c r="O26" s="4"/>
      <c r="P26" s="1">
        <v>10</v>
      </c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1">
        <v>500</v>
      </c>
      <c r="AC26" s="1">
        <v>700</v>
      </c>
      <c r="AD26" s="4"/>
      <c r="AE26" s="4"/>
      <c r="AF26" s="4"/>
      <c r="AG26" s="1">
        <v>70</v>
      </c>
      <c r="AH26" s="4"/>
      <c r="AI26" s="4"/>
      <c r="AJ26" s="1">
        <v>200</v>
      </c>
      <c r="AK26" s="1">
        <v>1</v>
      </c>
      <c r="AL26" s="1">
        <v>20</v>
      </c>
      <c r="AM26" s="4"/>
      <c r="AP26" s="4"/>
    </row>
    <row r="27" spans="1:42" x14ac:dyDescent="0.25">
      <c r="A27" s="4" t="s">
        <v>51</v>
      </c>
      <c r="B27" s="4">
        <f>IF(ISTEXT(A27),COUNTA($A$6:A27),"")</f>
        <v>22</v>
      </c>
      <c r="C27" s="4" t="s">
        <v>13</v>
      </c>
      <c r="D27" s="2">
        <v>76</v>
      </c>
      <c r="E27" s="4"/>
      <c r="F27" s="4"/>
      <c r="G27" s="4"/>
      <c r="H27" s="4"/>
      <c r="I27" s="4"/>
      <c r="J27" s="2">
        <f>D27*J28/D28</f>
        <v>43.428571428571431</v>
      </c>
      <c r="K27" s="4"/>
      <c r="L27" s="2">
        <f>D27*L28/D28</f>
        <v>32.571428571428569</v>
      </c>
      <c r="M27" s="4"/>
      <c r="N27" s="4"/>
      <c r="O27" s="4"/>
      <c r="P27" s="2">
        <f>J27*P28/J28</f>
        <v>1.3028571428571427</v>
      </c>
      <c r="Q27" s="5">
        <f>J27*Q28/J28</f>
        <v>0.21714285714285717</v>
      </c>
      <c r="R27" s="4"/>
      <c r="S27" s="4"/>
      <c r="T27" s="4"/>
      <c r="U27" s="4"/>
      <c r="V27" s="4"/>
      <c r="W27" s="4"/>
      <c r="X27" s="4"/>
      <c r="Y27" s="4"/>
      <c r="Z27" s="2">
        <f>J27*Z28/J28</f>
        <v>2.1714285714285717</v>
      </c>
      <c r="AA27" s="5">
        <f>J27*AA28/J28</f>
        <v>0.43428571428571433</v>
      </c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>
        <f>J27+L27+P27+Q27+AA27+Z27</f>
        <v>80.125714285714309</v>
      </c>
      <c r="AN27" s="2"/>
    </row>
    <row r="28" spans="1:42" x14ac:dyDescent="0.25">
      <c r="A28" s="4" t="s">
        <v>51</v>
      </c>
      <c r="B28" s="4">
        <f>IF(ISTEXT(A28),COUNTA($A$6:A28),"")</f>
        <v>23</v>
      </c>
      <c r="C28" s="4" t="s">
        <v>14</v>
      </c>
      <c r="D28" s="2">
        <v>175</v>
      </c>
      <c r="E28" s="4"/>
      <c r="F28" s="4"/>
      <c r="G28" s="4"/>
      <c r="H28" s="4"/>
      <c r="I28" s="4"/>
      <c r="J28" s="2">
        <v>100</v>
      </c>
      <c r="K28" s="4"/>
      <c r="L28" s="2">
        <f>D28-J28</f>
        <v>75</v>
      </c>
      <c r="M28" s="4"/>
      <c r="N28" s="4"/>
      <c r="O28" s="4"/>
      <c r="P28" s="2">
        <v>3</v>
      </c>
      <c r="Q28" s="3">
        <v>0.5</v>
      </c>
      <c r="R28" s="4"/>
      <c r="S28" s="4"/>
      <c r="T28" s="4"/>
      <c r="U28" s="4"/>
      <c r="V28" s="4"/>
      <c r="W28" s="4"/>
      <c r="X28" s="4"/>
      <c r="Y28" s="4"/>
      <c r="Z28" s="2">
        <v>5</v>
      </c>
      <c r="AA28" s="2">
        <v>1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4"/>
      <c r="AN28" s="4"/>
    </row>
    <row r="29" spans="1:42" x14ac:dyDescent="0.25">
      <c r="B29" s="4" t="str">
        <f>IF(ISTEXT(A29),COUNTA($A$6:A29),"")</f>
        <v/>
      </c>
      <c r="L29" s="2"/>
    </row>
    <row r="30" spans="1:42" x14ac:dyDescent="0.25">
      <c r="B30" s="4" t="str">
        <f>IF(ISTEXT(A30),COUNTA($A$6:A30),"")</f>
        <v/>
      </c>
      <c r="L30" s="2"/>
    </row>
    <row r="31" spans="1:42" x14ac:dyDescent="0.25">
      <c r="B31" s="4" t="str">
        <f>IF(ISTEXT(A31),COUNTA($A$6:A31),"")</f>
        <v/>
      </c>
      <c r="D31" s="7"/>
      <c r="E31" s="7"/>
      <c r="F31" s="7"/>
      <c r="G31" s="7"/>
      <c r="H31" s="7"/>
      <c r="I31" s="7"/>
      <c r="J31" s="7"/>
      <c r="K31" s="7"/>
      <c r="L31" s="2"/>
      <c r="M31" s="7"/>
      <c r="N31" s="7"/>
      <c r="O31" s="7"/>
      <c r="P31" s="7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</row>
    <row r="32" spans="1:42" x14ac:dyDescent="0.25">
      <c r="B32" s="4" t="str">
        <f>IF(ISTEXT(A32),COUNTA($A$6:A32),"")</f>
        <v/>
      </c>
      <c r="L32" s="2"/>
    </row>
    <row r="33" spans="2:12" x14ac:dyDescent="0.25">
      <c r="B33" s="4" t="str">
        <f>IF(ISTEXT(A33),COUNTA($A$6:A33),"")</f>
        <v/>
      </c>
      <c r="L33" s="2"/>
    </row>
    <row r="34" spans="2:12" x14ac:dyDescent="0.25">
      <c r="B34" s="4" t="str">
        <f>IF(ISTEXT(A34),COUNTA($A$6:A34),"")</f>
        <v/>
      </c>
    </row>
    <row r="35" spans="2:12" x14ac:dyDescent="0.25">
      <c r="B35" s="4" t="str">
        <f>IF(ISTEXT(A35),COUNTA($A$6:A35),"")</f>
        <v/>
      </c>
    </row>
    <row r="36" spans="2:12" x14ac:dyDescent="0.25">
      <c r="B36" s="4" t="str">
        <f>IF(ISTEXT(A36),COUNTA($A$6:A36),"")</f>
        <v/>
      </c>
    </row>
    <row r="37" spans="2:12" x14ac:dyDescent="0.25">
      <c r="B37" s="4" t="str">
        <f>IF(ISTEXT(A37),COUNTA($A$6:A37),"")</f>
        <v/>
      </c>
    </row>
    <row r="38" spans="2:12" x14ac:dyDescent="0.25">
      <c r="B38" s="4" t="str">
        <f>IF(ISTEXT(A38),COUNTA($A$6:A38),"")</f>
        <v/>
      </c>
    </row>
    <row r="39" spans="2:12" x14ac:dyDescent="0.25">
      <c r="B39" s="4" t="str">
        <f>IF(ISTEXT(A39),COUNTA($A$6:A39),"")</f>
        <v/>
      </c>
    </row>
    <row r="40" spans="2:12" x14ac:dyDescent="0.25">
      <c r="B40" s="4" t="str">
        <f>IF(ISTEXT(A40),COUNTA($A$6:A40),"")</f>
        <v/>
      </c>
    </row>
    <row r="41" spans="2:12" x14ac:dyDescent="0.25">
      <c r="B41" s="4" t="str">
        <f>IF(ISTEXT(A41),COUNTA($A$6:A41),"")</f>
        <v/>
      </c>
    </row>
    <row r="42" spans="2:12" x14ac:dyDescent="0.25">
      <c r="B42" s="4" t="str">
        <f>IF(ISTEXT(A42),COUNTA($A$6:A42),"")</f>
        <v/>
      </c>
    </row>
    <row r="43" spans="2:12" x14ac:dyDescent="0.25">
      <c r="B43" s="4" t="str">
        <f>IF(ISTEXT(A43),COUNTA($A$6:A43),"")</f>
        <v/>
      </c>
    </row>
    <row r="44" spans="2:12" x14ac:dyDescent="0.25">
      <c r="B44" s="4" t="str">
        <f>IF(ISTEXT(A44),COUNTA($A$6:A44),"")</f>
        <v/>
      </c>
    </row>
    <row r="45" spans="2:12" x14ac:dyDescent="0.25">
      <c r="B45" s="4" t="str">
        <f>IF(ISTEXT(A45),COUNTA($A$6:A45),"")</f>
        <v/>
      </c>
    </row>
    <row r="46" spans="2:12" x14ac:dyDescent="0.25">
      <c r="B46" s="4" t="str">
        <f>IF(ISTEXT(A46),COUNTA($A$6:A46),"")</f>
        <v/>
      </c>
    </row>
    <row r="47" spans="2:12" x14ac:dyDescent="0.25">
      <c r="B47" s="4" t="str">
        <f>IF(ISTEXT(A47),COUNTA($A$6:A47),"")</f>
        <v/>
      </c>
    </row>
    <row r="48" spans="2:12" x14ac:dyDescent="0.25">
      <c r="B48" s="4" t="str">
        <f>IF(ISTEXT(A48),COUNTA($A$6:A48),"")</f>
        <v/>
      </c>
    </row>
    <row r="49" spans="2:2" x14ac:dyDescent="0.25">
      <c r="B49" s="4" t="str">
        <f>IF(ISTEXT(A49),COUNTA($A$6:A49),"")</f>
        <v/>
      </c>
    </row>
    <row r="50" spans="2:2" x14ac:dyDescent="0.25">
      <c r="B50" s="4" t="str">
        <f>IF(ISTEXT(A50),COUNTA($A$6:A50),"")</f>
        <v/>
      </c>
    </row>
    <row r="51" spans="2:2" x14ac:dyDescent="0.25">
      <c r="B51" s="4" t="str">
        <f>IF(ISTEXT(A51),COUNTA($A$6:A51),"")</f>
        <v/>
      </c>
    </row>
  </sheetData>
  <conditionalFormatting sqref="AP26 A29:AN51 A26:C26">
    <cfRule type="expression" dxfId="7" priority="4">
      <formula>MOD($B26,2)=0</formula>
    </cfRule>
  </conditionalFormatting>
  <conditionalFormatting sqref="A29:AN40 A6:AN26">
    <cfRule type="expression" dxfId="6" priority="2">
      <formula>MOD($B6,2)=0</formula>
    </cfRule>
  </conditionalFormatting>
  <conditionalFormatting sqref="D25:AN26">
    <cfRule type="expression" dxfId="5" priority="6">
      <formula>MOD($B26,2)=0</formula>
    </cfRule>
  </conditionalFormatting>
  <conditionalFormatting sqref="A27:AN28">
    <cfRule type="expression" dxfId="4" priority="1">
      <formula>MOD($B27,2)=0</formula>
    </cfRule>
  </conditionalFormatting>
  <printOptions gridLines="1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chaltfläche1_Klicken">
                <anchor moveWithCells="1" sizeWithCells="1">
                  <from>
                    <xdr:col>2</xdr:col>
                    <xdr:colOff>523875</xdr:colOff>
                    <xdr:row>0</xdr:row>
                    <xdr:rowOff>171450</xdr:rowOff>
                  </from>
                  <to>
                    <xdr:col>5</xdr:col>
                    <xdr:colOff>19050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B1"/>
  <sheetViews>
    <sheetView workbookViewId="0">
      <selection activeCell="B2" sqref="B2"/>
    </sheetView>
  </sheetViews>
  <sheetFormatPr baseColWidth="10" defaultRowHeight="15" x14ac:dyDescent="0.25"/>
  <cols>
    <col min="1" max="1" width="27" bestFit="1" customWidth="1"/>
    <col min="2" max="2" width="25.5703125" bestFit="1" customWidth="1"/>
  </cols>
  <sheetData>
    <row r="1" spans="1:2" x14ac:dyDescent="0.25">
      <c r="A1" t="s">
        <v>47</v>
      </c>
      <c r="B1" t="s">
        <v>71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5:M7"/>
  <sheetViews>
    <sheetView workbookViewId="0">
      <selection activeCell="A7" sqref="A7"/>
    </sheetView>
  </sheetViews>
  <sheetFormatPr baseColWidth="10" defaultRowHeight="15" x14ac:dyDescent="0.25"/>
  <cols>
    <col min="1" max="1" width="21.85546875" customWidth="1"/>
    <col min="6" max="6" width="17.140625" bestFit="1" customWidth="1"/>
    <col min="7" max="7" width="12.7109375" bestFit="1" customWidth="1"/>
    <col min="8" max="8" width="17.7109375" customWidth="1"/>
    <col min="9" max="9" width="18.42578125" customWidth="1"/>
    <col min="10" max="10" width="12.140625" bestFit="1" customWidth="1"/>
    <col min="11" max="11" width="15.5703125" bestFit="1" customWidth="1"/>
    <col min="12" max="12" width="13.7109375" bestFit="1" customWidth="1"/>
  </cols>
  <sheetData>
    <row r="5" spans="1:13" x14ac:dyDescent="0.25">
      <c r="A5" s="22" t="s">
        <v>47</v>
      </c>
      <c r="B5" s="25" t="s">
        <v>15</v>
      </c>
      <c r="C5" s="25" t="s">
        <v>16</v>
      </c>
      <c r="D5" s="25" t="s">
        <v>17</v>
      </c>
      <c r="E5" s="25" t="s">
        <v>18</v>
      </c>
      <c r="F5" s="25" t="s">
        <v>19</v>
      </c>
      <c r="G5" s="25" t="s">
        <v>27</v>
      </c>
      <c r="H5" s="25" t="s">
        <v>50</v>
      </c>
      <c r="I5" s="25" t="s">
        <v>51</v>
      </c>
      <c r="J5" s="25" t="s">
        <v>31</v>
      </c>
      <c r="K5" s="25" t="s">
        <v>52</v>
      </c>
      <c r="L5" s="25" t="s">
        <v>42</v>
      </c>
      <c r="M5" s="25" t="s">
        <v>43</v>
      </c>
    </row>
    <row r="6" spans="1:13" x14ac:dyDescent="0.25">
      <c r="A6" t="s">
        <v>49</v>
      </c>
      <c r="B6">
        <v>9</v>
      </c>
      <c r="C6">
        <v>6</v>
      </c>
      <c r="D6">
        <v>8</v>
      </c>
      <c r="E6">
        <v>3</v>
      </c>
      <c r="F6">
        <v>9</v>
      </c>
      <c r="G6">
        <v>3</v>
      </c>
      <c r="H6">
        <v>5</v>
      </c>
      <c r="I6">
        <v>10</v>
      </c>
      <c r="J6">
        <v>5</v>
      </c>
      <c r="K6">
        <v>3</v>
      </c>
      <c r="L6">
        <v>8</v>
      </c>
      <c r="M6">
        <f t="shared" ref="M6" ca="1" si="0">RANDBETWEEN(0,10)</f>
        <v>0</v>
      </c>
    </row>
    <row r="7" spans="1:13" x14ac:dyDescent="0.25">
      <c r="A7" t="s">
        <v>48</v>
      </c>
      <c r="B7">
        <v>99</v>
      </c>
      <c r="G7">
        <v>9</v>
      </c>
      <c r="H7">
        <v>8</v>
      </c>
      <c r="I7">
        <v>6</v>
      </c>
      <c r="L7">
        <v>9</v>
      </c>
    </row>
  </sheetData>
  <conditionalFormatting sqref="B5:M5">
    <cfRule type="expression" dxfId="3" priority="2">
      <formula>MOD(#REF!,2)=0</formula>
    </cfRule>
  </conditionalFormatting>
  <conditionalFormatting sqref="A6:M201">
    <cfRule type="expression" dxfId="2" priority="1">
      <formula>AND(MOD(COUNTA($A$6:$A6),2)=1,LEN($A6)&gt;0)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Button 4">
              <controlPr defaultSize="0" print="0" autoFill="0" autoPict="0" macro="[0]!Schaltfläche4_Klicken">
                <anchor moveWithCells="1" sizeWithCells="1">
                  <from>
                    <xdr:col>2</xdr:col>
                    <xdr:colOff>9525</xdr:colOff>
                    <xdr:row>0</xdr:row>
                    <xdr:rowOff>171450</xdr:rowOff>
                  </from>
                  <to>
                    <xdr:col>3</xdr:col>
                    <xdr:colOff>762000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Kunden!#REF!</xm:f>
          </x14:formula1>
          <xm:sqref>A6:A23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BA50"/>
  <sheetViews>
    <sheetView workbookViewId="0">
      <selection activeCell="C11" sqref="C11"/>
    </sheetView>
  </sheetViews>
  <sheetFormatPr baseColWidth="10" defaultColWidth="10.7109375" defaultRowHeight="15" x14ac:dyDescent="0.25"/>
  <cols>
    <col min="1" max="1" width="26.5703125" bestFit="1" customWidth="1"/>
    <col min="2" max="3" width="26.5703125" style="23" customWidth="1"/>
    <col min="4" max="16384" width="10.7109375" style="23"/>
  </cols>
  <sheetData>
    <row r="1" spans="1:53" customFormat="1" x14ac:dyDescent="0.25"/>
    <row r="2" spans="1:53" customFormat="1" x14ac:dyDescent="0.25"/>
    <row r="3" spans="1:53" customFormat="1" x14ac:dyDescent="0.25"/>
    <row r="4" spans="1:53" customFormat="1" x14ac:dyDescent="0.25"/>
    <row r="5" spans="1:53" customFormat="1" x14ac:dyDescent="0.25">
      <c r="A5" s="22" t="s">
        <v>0</v>
      </c>
      <c r="B5" s="22" t="s">
        <v>67</v>
      </c>
      <c r="C5" s="22" t="s">
        <v>65</v>
      </c>
      <c r="D5" s="22" t="str">
        <f>IF(ISBLANK(Rezepte!E5)=FALSE,Rezepte!E5,"")</f>
        <v>Gesamtmehl</v>
      </c>
      <c r="E5" s="22" t="str">
        <f>IF(ISBLANK(Rezepte!F5)=FALSE,Rezepte!F5,"")</f>
        <v>Gesamtwasser</v>
      </c>
      <c r="F5" s="22" t="str">
        <f>IF(ISBLANK(Rezepte!G5)=FALSE,Rezepte!G5,"")</f>
        <v>Mehlmischung</v>
      </c>
      <c r="G5" s="22" t="str">
        <f>IF(ISBLANK(Rezepte!H5)=FALSE,Rezepte!H5,"")</f>
        <v>Gesamtmehl</v>
      </c>
      <c r="H5" s="22" t="str">
        <f>IF(ISBLANK(Rezepte!I5)=FALSE,Rezepte!I5,"")</f>
        <v>Roggenanteil</v>
      </c>
      <c r="I5" s="22" t="str">
        <f>IF(ISBLANK(Rezepte!J5)=FALSE,Rezepte!J5,"")</f>
        <v>Dinkelmehl</v>
      </c>
      <c r="J5" s="22" t="str">
        <f>IF(ISBLANK(Rezepte!K5)=FALSE,Rezepte!K5,"")</f>
        <v>Wasseranteil im Sauerteig</v>
      </c>
      <c r="K5" s="22" t="str">
        <f>IF(ISBLANK(Rezepte!L5)=FALSE,Rezepte!L5,"")</f>
        <v>Wasser</v>
      </c>
      <c r="L5" s="22" t="str">
        <f>IF(ISBLANK(Rezepte!M5)=FALSE,Rezepte!M5,"")</f>
        <v>Roggenanteil</v>
      </c>
      <c r="M5" s="22" t="str">
        <f>IF(ISBLANK(Rezepte!N5)=FALSE,Rezepte!N5,"")</f>
        <v>Roggenmehl</v>
      </c>
      <c r="N5" s="22" t="str">
        <f>IF(ISBLANK(Rezepte!O5)=FALSE,Rezepte!O5,"")</f>
        <v>Roggenvollkornmehl</v>
      </c>
      <c r="O5" s="22" t="str">
        <f>IF(ISBLANK(Rezepte!P5)=FALSE,Rezepte!P5,"")</f>
        <v>Salz</v>
      </c>
      <c r="P5" s="22" t="str">
        <f>IF(ISBLANK(Rezepte!Q5)=FALSE,Rezepte!Q5,"")</f>
        <v>Hefe</v>
      </c>
      <c r="Q5" s="22" t="str">
        <f>IF(ISBLANK(Rezepte!R5)=FALSE,Rezepte!R5,"")</f>
        <v>Zwiebel getrocknet</v>
      </c>
      <c r="R5" s="22" t="str">
        <f>IF(ISBLANK(Rezepte!S5)=FALSE,Rezepte!S5,"")</f>
        <v>Speck geräuchert</v>
      </c>
      <c r="S5" s="22" t="str">
        <f>IF(ISBLANK(Rezepte!T5)=FALSE,Rezepte!T5,"")</f>
        <v>Roggenbackschrot</v>
      </c>
      <c r="T5" s="22" t="str">
        <f>IF(ISBLANK(Rezepte!U5)=FALSE,Rezepte!U5,"")</f>
        <v>Koriander</v>
      </c>
      <c r="U5" s="22" t="str">
        <f>IF(ISBLANK(Rezepte!V5)=FALSE,Rezepte!V5,"")</f>
        <v>Kerbel</v>
      </c>
      <c r="V5" s="22" t="str">
        <f>IF(ISBLANK(Rezepte!W5)=FALSE,Rezepte!W5,"")</f>
        <v>Kardamom</v>
      </c>
      <c r="W5" s="22" t="str">
        <f>IF(ISBLANK(Rezepte!X5)=FALSE,Rezepte!X5,"")</f>
        <v>Liebstöckel</v>
      </c>
      <c r="X5" s="22" t="str">
        <f>IF(ISBLANK(Rezepte!Y5)=FALSE,Rezepte!Y5,"")</f>
        <v>Kümmel</v>
      </c>
      <c r="Y5" s="22" t="str">
        <f>IF(ISBLANK(Rezepte!Z5)=FALSE,Rezepte!Z5,"")</f>
        <v>Fett</v>
      </c>
      <c r="Z5" s="22" t="str">
        <f>IF(ISBLANK(Rezepte!AA5)=FALSE,Rezepte!AA5,"")</f>
        <v>Rosmarin</v>
      </c>
      <c r="AA5" s="22" t="str">
        <f>IF(ISBLANK(Rezepte!AB5)=FALSE,Rezepte!AB5,"")</f>
        <v>Zucker</v>
      </c>
      <c r="AB5" s="22" t="str">
        <f>IF(ISBLANK(Rezepte!AC5)=FALSE,Rezepte!AC5,"")</f>
        <v>Milch</v>
      </c>
      <c r="AC5" s="22" t="str">
        <f>IF(ISBLANK(Rezepte!AD5)=FALSE,Rezepte!AD5,"")</f>
        <v>Butter</v>
      </c>
      <c r="AD5" s="22" t="str">
        <f>IF(ISBLANK(Rezepte!AE5)=FALSE,Rezepte!AE5,"")</f>
        <v>Kardamom</v>
      </c>
      <c r="AE5" s="22" t="str">
        <f>IF(ISBLANK(Rezepte!AF5)=FALSE,Rezepte!AF5,"")</f>
        <v>Vanillezucker</v>
      </c>
      <c r="AF5" s="22" t="str">
        <f>IF(ISBLANK(Rezepte!AG5)=FALSE,Rezepte!AG5,"")</f>
        <v>Eier</v>
      </c>
      <c r="AG5" s="22" t="str">
        <f>IF(ISBLANK(Rezepte!AH5)=FALSE,Rezepte!AH5,"")</f>
        <v>Quark</v>
      </c>
      <c r="AH5" s="22" t="str">
        <f>IF(ISBLANK(Rezepte!AI5)=FALSE,Rezepte!AI5,"")</f>
        <v>Pudding</v>
      </c>
      <c r="AI5" s="22" t="str">
        <f>IF(ISBLANK(Rezepte!AJ5)=FALSE,Rezepte!AJ5,"")</f>
        <v>Magarine</v>
      </c>
      <c r="AJ5" s="22" t="str">
        <f>IF(ISBLANK(Rezepte!AK5)=FALSE,Rezepte!AK5,"")</f>
        <v>Aroma</v>
      </c>
      <c r="AK5" s="22" t="str">
        <f>IF(ISBLANK(Rezepte!AL5)=FALSE,Rezepte!AL5,"")</f>
        <v>Hirschhornsalz</v>
      </c>
      <c r="AL5" s="22" t="str">
        <f>IF(ISBLANK(Rezepte!AM5)=FALSE,Rezepte!AM5,"")</f>
        <v>Bruttoteiggewicht</v>
      </c>
      <c r="AM5" s="22" t="str">
        <f>IF(ISBLANK(Rezepte!AN5)=FALSE,Rezepte!AN5,"")</f>
        <v>Quellstück</v>
      </c>
      <c r="AN5" s="22" t="str">
        <f>IF(ISBLANK(Rezepte!AO5)=FALSE,Rezepte!AO5,"")</f>
        <v/>
      </c>
      <c r="AO5" s="22" t="str">
        <f>IF(ISBLANK(Rezepte!AP5)=FALSE,Rezepte!AP5,"")</f>
        <v/>
      </c>
      <c r="AP5" s="22" t="str">
        <f>IF(ISBLANK(Rezepte!AQ5)=FALSE,Rezepte!AQ5,"")</f>
        <v/>
      </c>
      <c r="AQ5" s="22" t="str">
        <f>IF(ISBLANK(Rezepte!AR5)=FALSE,Rezepte!AR5,"")</f>
        <v/>
      </c>
      <c r="AR5" s="22" t="str">
        <f>IF(ISBLANK(Rezepte!AS5)=FALSE,Rezepte!AS5,"")</f>
        <v/>
      </c>
      <c r="AS5" s="22" t="str">
        <f>IF(ISBLANK(Rezepte!AT5)=FALSE,Rezepte!AT5,"")</f>
        <v/>
      </c>
      <c r="AT5" s="22" t="str">
        <f>IF(ISBLANK(Rezepte!AU5)=FALSE,Rezepte!AU5,"")</f>
        <v/>
      </c>
      <c r="AU5" s="22" t="str">
        <f>IF(ISBLANK(Rezepte!AV5)=FALSE,Rezepte!AV5,"")</f>
        <v/>
      </c>
      <c r="AV5" s="22" t="str">
        <f>IF(ISBLANK(Rezepte!AW5)=FALSE,Rezepte!AW5,"")</f>
        <v/>
      </c>
      <c r="AW5" s="22" t="str">
        <f>IF(ISBLANK(Rezepte!AX5)=FALSE,Rezepte!AX5,"")</f>
        <v/>
      </c>
      <c r="AX5" s="22" t="str">
        <f>IF(ISBLANK(Rezepte!AY5)=FALSE,Rezepte!AY5,"")</f>
        <v/>
      </c>
    </row>
    <row r="6" spans="1:53" x14ac:dyDescent="0.25">
      <c r="A6" t="str">
        <f>Rezepte!A6</f>
        <v>Zwiebelbrot</v>
      </c>
      <c r="B6" s="23">
        <f t="shared" ref="B6:B29" si="0">IF(COUNT(D6:XFD6),SUM(D6:XFD6),"")</f>
        <v>0.74075762424242431</v>
      </c>
      <c r="C6" s="23">
        <f>B6</f>
        <v>0.74075762424242431</v>
      </c>
      <c r="D6" s="23" t="str">
        <f>IF(AND(ISNUMBER(VLOOKUP($A6,Rezepte,MATCH(Kalkulation!D$5,Rezepte!$5:$5,0),0)),ISNUMBER(VLOOKUP(D$5,Materialpreise,3,0))),VLOOKUP(D$5,Materialpreise,3,0)*VLOOKUP($A6,Rezepte,MATCH(Kalkulation!D$5,Rezepte!$5:$5,0),0),"")</f>
        <v/>
      </c>
      <c r="E6" s="23" t="str">
        <f>IF(AND(ISNUMBER(VLOOKUP($A6,Rezepte,MATCH(Kalkulation!E$5,Rezepte!$5:$5,0),0)),ISNUMBER(VLOOKUP(E$5,Materialpreise,3,0))),VLOOKUP(E$5,Materialpreise,3,0)*VLOOKUP($A6,Rezepte,MATCH(Kalkulation!E$5,Rezepte!$5:$5,0),0),"")</f>
        <v/>
      </c>
      <c r="F6" s="23" t="str">
        <f>IF(AND(ISNUMBER(VLOOKUP($A6,Rezepte,MATCH(Kalkulation!F$5,Rezepte!$5:$5,0),0)),ISNUMBER(VLOOKUP(F$5,Materialpreise,3,0))),VLOOKUP(F$5,Materialpreise,3,0)*VLOOKUP($A6,Rezepte,MATCH(Kalkulation!F$5,Rezepte!$5:$5,0),0),"")</f>
        <v/>
      </c>
      <c r="G6" s="23" t="str">
        <f>IF(AND(ISNUMBER(VLOOKUP($A6,Rezepte,MATCH(Kalkulation!G$5,Rezepte!$5:$5,0),0)),ISNUMBER(VLOOKUP(G$5,Materialpreise,3,0))),VLOOKUP(G$5,Materialpreise,3,0)*VLOOKUP($A6,Rezepte,MATCH(Kalkulation!G$5,Rezepte!$5:$5,0),0),"")</f>
        <v/>
      </c>
      <c r="H6" s="23" t="str">
        <f>IF(AND(ISNUMBER(VLOOKUP($A6,Rezepte,MATCH(Kalkulation!H$5,Rezepte!$5:$5,0),0)),ISNUMBER(VLOOKUP(H$5,Materialpreise,3,0))),VLOOKUP(H$5,Materialpreise,3,0)*VLOOKUP($A6,Rezepte,MATCH(Kalkulation!H$5,Rezepte!$5:$5,0),0),"")</f>
        <v/>
      </c>
      <c r="I6" s="23">
        <f>IF(AND(ISNUMBER(VLOOKUP($A6,Rezepte,MATCH(Kalkulation!I$5,Rezepte!$5:$5,0),0)),ISNUMBER(VLOOKUP(I$5,Materialpreise,3,0))),VLOOKUP(I$5,Materialpreise,3,0)*VLOOKUP($A6,Rezepte,MATCH(Kalkulation!I$5,Rezepte!$5:$5,0),0),"")</f>
        <v>0.32557575757575763</v>
      </c>
      <c r="J6" s="23" t="str">
        <f>IF(AND(ISNUMBER(VLOOKUP($A6,Rezepte,MATCH(Kalkulation!J$5,Rezepte!$5:$5,0),0)),ISNUMBER(VLOOKUP(J$5,Materialpreise,3,0))),VLOOKUP(J$5,Materialpreise,3,0)*VLOOKUP($A6,Rezepte,MATCH(Kalkulation!J$5,Rezepte!$5:$5,0),0),"")</f>
        <v/>
      </c>
      <c r="K6" s="23">
        <f>IF(AND(ISNUMBER(VLOOKUP($A6,Rezepte,MATCH(Kalkulation!K$5,Rezepte!$5:$5,0),0)),ISNUMBER(VLOOKUP(K$5,Materialpreise,3,0))),VLOOKUP(K$5,Materialpreise,3,0)*VLOOKUP($A6,Rezepte,MATCH(Kalkulation!K$5,Rezepte!$5:$5,0),0),"")</f>
        <v>5.5156363636363641E-4</v>
      </c>
      <c r="L6" s="23" t="str">
        <f>IF(AND(ISNUMBER(VLOOKUP($A6,Rezepte,MATCH(Kalkulation!L$5,Rezepte!$5:$5,0),0)),ISNUMBER(VLOOKUP(L$5,Materialpreise,3,0))),VLOOKUP(L$5,Materialpreise,3,0)*VLOOKUP($A6,Rezepte,MATCH(Kalkulation!L$5,Rezepte!$5:$5,0),0),"")</f>
        <v/>
      </c>
      <c r="M6" s="23">
        <f>IF(AND(ISNUMBER(VLOOKUP($A6,Rezepte,MATCH(Kalkulation!M$5,Rezepte!$5:$5,0),0)),ISNUMBER(VLOOKUP(M$5,Materialpreise,3,0))),VLOOKUP(M$5,Materialpreise,3,0)*VLOOKUP($A6,Rezepte,MATCH(Kalkulation!M$5,Rezepte!$5:$5,0),0),"")</f>
        <v>0.10341818181818184</v>
      </c>
      <c r="N6" s="23">
        <f>IF(AND(ISNUMBER(VLOOKUP($A6,Rezepte,MATCH(Kalkulation!N$5,Rezepte!$5:$5,0),0)),ISNUMBER(VLOOKUP(N$5,Materialpreise,3,0))),VLOOKUP(N$5,Materialpreise,3,0)*VLOOKUP($A6,Rezepte,MATCH(Kalkulation!N$5,Rezepte!$5:$5,0),0),"")</f>
        <v>9.1927272727272732E-2</v>
      </c>
      <c r="O6" s="23">
        <f>IF(AND(ISNUMBER(VLOOKUP($A6,Rezepte,MATCH(Kalkulation!O$5,Rezepte!$5:$5,0),0)),ISNUMBER(VLOOKUP(O$5,Materialpreise,3,0))),VLOOKUP(O$5,Materialpreise,3,0)*VLOOKUP($A6,Rezepte,MATCH(Kalkulation!O$5,Rezepte!$5:$5,0),0),"")</f>
        <v>2.0109090909090906E-2</v>
      </c>
      <c r="P6" s="23">
        <f>IF(AND(ISNUMBER(VLOOKUP($A6,Rezepte,MATCH(Kalkulation!P$5,Rezepte!$5:$5,0),0)),ISNUMBER(VLOOKUP(P$5,Materialpreise,3,0))),VLOOKUP(P$5,Materialpreise,3,0)*VLOOKUP($A6,Rezepte,MATCH(Kalkulation!P$5,Rezepte!$5:$5,0),0),"")</f>
        <v>4.1175757575757581E-2</v>
      </c>
      <c r="Q6" s="23">
        <f>IF(AND(ISNUMBER(VLOOKUP($A6,Rezepte,MATCH(Kalkulation!Q$5,Rezepte!$5:$5,0),0)),ISNUMBER(VLOOKUP(Q$5,Materialpreise,3,0))),VLOOKUP(Q$5,Materialpreise,3,0)*VLOOKUP($A6,Rezepte,MATCH(Kalkulation!Q$5,Rezepte!$5:$5,0),0),"")</f>
        <v>0.158</v>
      </c>
      <c r="R6" s="23" t="str">
        <f>IF(AND(ISNUMBER(VLOOKUP($A6,Rezepte,MATCH(Kalkulation!R$5,Rezepte!$5:$5,0),0)),ISNUMBER(VLOOKUP(R$5,Materialpreise,3,0))),VLOOKUP(R$5,Materialpreise,3,0)*VLOOKUP($A6,Rezepte,MATCH(Kalkulation!R$5,Rezepte!$5:$5,0),0),"")</f>
        <v/>
      </c>
      <c r="S6" s="23" t="str">
        <f>IF(AND(ISNUMBER(VLOOKUP($A6,Rezepte,MATCH(Kalkulation!S$5,Rezepte!$5:$5,0),0)),ISNUMBER(VLOOKUP(S$5,Materialpreise,3,0))),VLOOKUP(S$5,Materialpreise,3,0)*VLOOKUP($A6,Rezepte,MATCH(Kalkulation!S$5,Rezepte!$5:$5,0),0),"")</f>
        <v/>
      </c>
      <c r="T6" s="23" t="str">
        <f>IF(AND(ISNUMBER(VLOOKUP($A6,Rezepte,MATCH(Kalkulation!T$5,Rezepte!$5:$5,0),0)),ISNUMBER(VLOOKUP(T$5,Materialpreise,3,0))),VLOOKUP(T$5,Materialpreise,3,0)*VLOOKUP($A6,Rezepte,MATCH(Kalkulation!T$5,Rezepte!$5:$5,0),0),"")</f>
        <v/>
      </c>
      <c r="U6" s="23" t="str">
        <f>IF(AND(ISNUMBER(VLOOKUP($A6,Rezepte,MATCH(Kalkulation!U$5,Rezepte!$5:$5,0),0)),ISNUMBER(VLOOKUP(U$5,Materialpreise,3,0))),VLOOKUP(U$5,Materialpreise,3,0)*VLOOKUP($A6,Rezepte,MATCH(Kalkulation!U$5,Rezepte!$5:$5,0),0),"")</f>
        <v/>
      </c>
      <c r="V6" s="23" t="str">
        <f>IF(AND(ISNUMBER(VLOOKUP($A6,Rezepte,MATCH(Kalkulation!V$5,Rezepte!$5:$5,0),0)),ISNUMBER(VLOOKUP(V$5,Materialpreise,3,0))),VLOOKUP(V$5,Materialpreise,3,0)*VLOOKUP($A6,Rezepte,MATCH(Kalkulation!V$5,Rezepte!$5:$5,0),0),"")</f>
        <v/>
      </c>
      <c r="W6" s="23" t="str">
        <f>IF(AND(ISNUMBER(VLOOKUP($A6,Rezepte,MATCH(Kalkulation!W$5,Rezepte!$5:$5,0),0)),ISNUMBER(VLOOKUP(W$5,Materialpreise,3,0))),VLOOKUP(W$5,Materialpreise,3,0)*VLOOKUP($A6,Rezepte,MATCH(Kalkulation!W$5,Rezepte!$5:$5,0),0),"")</f>
        <v/>
      </c>
      <c r="X6" s="23" t="str">
        <f>IF(AND(ISNUMBER(VLOOKUP($A6,Rezepte,MATCH(Kalkulation!X$5,Rezepte!$5:$5,0),0)),ISNUMBER(VLOOKUP(X$5,Materialpreise,3,0))),VLOOKUP(X$5,Materialpreise,3,0)*VLOOKUP($A6,Rezepte,MATCH(Kalkulation!X$5,Rezepte!$5:$5,0),0),"")</f>
        <v/>
      </c>
      <c r="Y6" s="23" t="str">
        <f>IF(AND(ISNUMBER(VLOOKUP($A6,Rezepte,MATCH(Kalkulation!Y$5,Rezepte!$5:$5,0),0)),ISNUMBER(VLOOKUP(Y$5,Materialpreise,3,0))),VLOOKUP(Y$5,Materialpreise,3,0)*VLOOKUP($A6,Rezepte,MATCH(Kalkulation!Y$5,Rezepte!$5:$5,0),0),"")</f>
        <v/>
      </c>
      <c r="Z6" s="23" t="str">
        <f>IF(AND(ISNUMBER(VLOOKUP($A6,Rezepte,MATCH(Kalkulation!Z$5,Rezepte!$5:$5,0),0)),ISNUMBER(VLOOKUP(Z$5,Materialpreise,3,0))),VLOOKUP(Z$5,Materialpreise,3,0)*VLOOKUP($A6,Rezepte,MATCH(Kalkulation!Z$5,Rezepte!$5:$5,0),0),"")</f>
        <v/>
      </c>
      <c r="AA6" s="23" t="str">
        <f>IF(AND(ISNUMBER(VLOOKUP($A6,Rezepte,MATCH(Kalkulation!AA$5,Rezepte!$5:$5,0),0)),ISNUMBER(VLOOKUP(AA$5,Materialpreise,3,0))),VLOOKUP(AA$5,Materialpreise,3,0)*VLOOKUP($A6,Rezepte,MATCH(Kalkulation!AA$5,Rezepte!$5:$5,0),0),"")</f>
        <v/>
      </c>
      <c r="AB6" s="23" t="str">
        <f>IF(AND(ISNUMBER(VLOOKUP($A6,Rezepte,MATCH(Kalkulation!AB$5,Rezepte!$5:$5,0),0)),ISNUMBER(VLOOKUP(AB$5,Materialpreise,3,0))),VLOOKUP(AB$5,Materialpreise,3,0)*VLOOKUP($A6,Rezepte,MATCH(Kalkulation!AB$5,Rezepte!$5:$5,0),0),"")</f>
        <v/>
      </c>
      <c r="AC6" s="23" t="str">
        <f>IF(AND(ISNUMBER(VLOOKUP($A6,Rezepte,MATCH(Kalkulation!AC$5,Rezepte!$5:$5,0),0)),ISNUMBER(VLOOKUP(AC$5,Materialpreise,3,0))),VLOOKUP(AC$5,Materialpreise,3,0)*VLOOKUP($A6,Rezepte,MATCH(Kalkulation!AC$5,Rezepte!$5:$5,0),0),"")</f>
        <v/>
      </c>
      <c r="AD6" s="23" t="str">
        <f>IF(AND(ISNUMBER(VLOOKUP($A6,Rezepte,MATCH(Kalkulation!AD$5,Rezepte!$5:$5,0),0)),ISNUMBER(VLOOKUP(AD$5,Materialpreise,3,0))),VLOOKUP(AD$5,Materialpreise,3,0)*VLOOKUP($A6,Rezepte,MATCH(Kalkulation!AD$5,Rezepte!$5:$5,0),0),"")</f>
        <v/>
      </c>
      <c r="AE6" s="23" t="str">
        <f>IF(AND(ISNUMBER(VLOOKUP($A6,Rezepte,MATCH(Kalkulation!AE$5,Rezepte!$5:$5,0),0)),ISNUMBER(VLOOKUP(AE$5,Materialpreise,3,0))),VLOOKUP(AE$5,Materialpreise,3,0)*VLOOKUP($A6,Rezepte,MATCH(Kalkulation!AE$5,Rezepte!$5:$5,0),0),"")</f>
        <v/>
      </c>
      <c r="AF6" s="23" t="str">
        <f>IF(AND(ISNUMBER(VLOOKUP($A6,Rezepte,MATCH(Kalkulation!AF$5,Rezepte!$5:$5,0),0)),ISNUMBER(VLOOKUP(AF$5,Materialpreise,3,0))),VLOOKUP(AF$5,Materialpreise,3,0)*VLOOKUP($A6,Rezepte,MATCH(Kalkulation!AF$5,Rezepte!$5:$5,0),0),"")</f>
        <v/>
      </c>
      <c r="AG6" s="23" t="str">
        <f>IF(AND(ISNUMBER(VLOOKUP($A6,Rezepte,MATCH(Kalkulation!AG$5,Rezepte!$5:$5,0),0)),ISNUMBER(VLOOKUP(AG$5,Materialpreise,3,0))),VLOOKUP(AG$5,Materialpreise,3,0)*VLOOKUP($A6,Rezepte,MATCH(Kalkulation!AG$5,Rezepte!$5:$5,0),0),"")</f>
        <v/>
      </c>
      <c r="AH6" s="23" t="str">
        <f>IF(AND(ISNUMBER(VLOOKUP($A6,Rezepte,MATCH(Kalkulation!AH$5,Rezepte!$5:$5,0),0)),ISNUMBER(VLOOKUP(AH$5,Materialpreise,3,0))),VLOOKUP(AH$5,Materialpreise,3,0)*VLOOKUP($A6,Rezepte,MATCH(Kalkulation!AH$5,Rezepte!$5:$5,0),0),"")</f>
        <v/>
      </c>
      <c r="AI6" s="23" t="str">
        <f>IF(AND(ISNUMBER(VLOOKUP($A6,Rezepte,MATCH(Kalkulation!AI$5,Rezepte!$5:$5,0),0)),ISNUMBER(VLOOKUP(AI$5,Materialpreise,3,0))),VLOOKUP(AI$5,Materialpreise,3,0)*VLOOKUP($A6,Rezepte,MATCH(Kalkulation!AI$5,Rezepte!$5:$5,0),0),"")</f>
        <v/>
      </c>
      <c r="AJ6" s="23" t="str">
        <f>IF(AND(ISNUMBER(VLOOKUP($A6,Rezepte,MATCH(Kalkulation!AJ$5,Rezepte!$5:$5,0),0)),ISNUMBER(VLOOKUP(AJ$5,Materialpreise,3,0))),VLOOKUP(AJ$5,Materialpreise,3,0)*VLOOKUP($A6,Rezepte,MATCH(Kalkulation!AJ$5,Rezepte!$5:$5,0),0),"")</f>
        <v/>
      </c>
      <c r="AK6" s="23" t="str">
        <f>IF(AND(ISNUMBER(VLOOKUP($A6,Rezepte,MATCH(Kalkulation!AK$5,Rezepte!$5:$5,0),0)),ISNUMBER(VLOOKUP(AK$5,Materialpreise,3,0))),VLOOKUP(AK$5,Materialpreise,3,0)*VLOOKUP($A6,Rezepte,MATCH(Kalkulation!AK$5,Rezepte!$5:$5,0),0),"")</f>
        <v/>
      </c>
      <c r="AL6" s="23" t="str">
        <f>IF(AND(ISNUMBER(VLOOKUP($A6,Rezepte,MATCH(Kalkulation!AL$5,Rezepte!$5:$5,0),0)),ISNUMBER(VLOOKUP(AL$5,Materialpreise,3,0))),VLOOKUP(AL$5,Materialpreise,3,0)*VLOOKUP($A6,Rezepte,MATCH(Kalkulation!AL$5,Rezepte!$5:$5,0),0),"")</f>
        <v/>
      </c>
      <c r="AM6" s="23" t="str">
        <f>IF(AND(ISNUMBER(VLOOKUP($A6,Rezepte,MATCH(Kalkulation!AM$5,Rezepte!$5:$5,0),0)),ISNUMBER(VLOOKUP(AM$5,Materialpreise,3,0))),VLOOKUP(AM$5,Materialpreise,3,0)*VLOOKUP($A6,Rezepte,MATCH(Kalkulation!AM$5,Rezepte!$5:$5,0),0),"")</f>
        <v/>
      </c>
      <c r="AN6" s="23" t="str">
        <f>IF(AND(ISNUMBER(VLOOKUP($A6,Rezepte,MATCH(Kalkulation!AN$5,Rezepte!$5:$5,0),0)),ISNUMBER(VLOOKUP(AN$5,Materialpreise,3,0))),VLOOKUP(AN$5,Materialpreise,3,0)*VLOOKUP($A6,Rezepte,MATCH(Kalkulation!AN$5,Rezepte!$5:$5,0),0),"")</f>
        <v/>
      </c>
      <c r="AO6" s="23" t="str">
        <f>IF(AND(ISNUMBER(VLOOKUP($A6,Rezepte,MATCH(Kalkulation!AO$5,Rezepte!$5:$5,0),0)),ISNUMBER(VLOOKUP(AO$5,Materialpreise,3,0))),VLOOKUP(AO$5,Materialpreise,3,0)*VLOOKUP($A6,Rezepte,MATCH(Kalkulation!AO$5,Rezepte!$5:$5,0),0),"")</f>
        <v/>
      </c>
      <c r="AP6" s="23" t="str">
        <f>IF(AND(ISNUMBER(VLOOKUP($A6,Rezepte,MATCH(Kalkulation!AP$5,Rezepte!$5:$5,0),0)),ISNUMBER(VLOOKUP(AP$5,Materialpreise,3,0))),VLOOKUP(AP$5,Materialpreise,3,0)*VLOOKUP($A6,Rezepte,MATCH(Kalkulation!AP$5,Rezepte!$5:$5,0),0),"")</f>
        <v/>
      </c>
      <c r="AQ6" s="23" t="str">
        <f>IF(AND(ISNUMBER(VLOOKUP($A6,Rezepte,MATCH(Kalkulation!AQ$5,Rezepte!$5:$5,0),0)),ISNUMBER(VLOOKUP(AQ$5,Materialpreise,3,0))),VLOOKUP(AQ$5,Materialpreise,3,0)*VLOOKUP($A6,Rezepte,MATCH(Kalkulation!AQ$5,Rezepte!$5:$5,0),0),"")</f>
        <v/>
      </c>
      <c r="AR6" s="23" t="str">
        <f>IF(AND(ISNUMBER(VLOOKUP($A6,Rezepte,MATCH(Kalkulation!AR$5,Rezepte!$5:$5,0),0)),ISNUMBER(VLOOKUP(AR$5,Materialpreise,3,0))),VLOOKUP(AR$5,Materialpreise,3,0)*VLOOKUP($A6,Rezepte,MATCH(Kalkulation!AR$5,Rezepte!$5:$5,0),0),"")</f>
        <v/>
      </c>
      <c r="AS6" s="23" t="str">
        <f>IF(AND(ISNUMBER(VLOOKUP($A6,Rezepte,MATCH(Kalkulation!AS$5,Rezepte!$5:$5,0),0)),ISNUMBER(VLOOKUP(AS$5,Materialpreise,3,0))),VLOOKUP(AS$5,Materialpreise,3,0)*VLOOKUP($A6,Rezepte,MATCH(Kalkulation!AS$5,Rezepte!$5:$5,0),0),"")</f>
        <v/>
      </c>
      <c r="AT6" s="23" t="str">
        <f>IF(AND(ISNUMBER(VLOOKUP($A6,Rezepte,MATCH(Kalkulation!AT$5,Rezepte!$5:$5,0),0)),ISNUMBER(VLOOKUP(AT$5,Materialpreise,3,0))),VLOOKUP(AT$5,Materialpreise,3,0)*VLOOKUP($A6,Rezepte,MATCH(Kalkulation!AT$5,Rezepte!$5:$5,0),0),"")</f>
        <v/>
      </c>
      <c r="AU6" s="23" t="str">
        <f>IF(AND(ISNUMBER(VLOOKUP($A6,Rezepte,MATCH(Kalkulation!AU$5,Rezepte!$5:$5,0),0)),ISNUMBER(VLOOKUP(AU$5,Materialpreise,3,0))),VLOOKUP(AU$5,Materialpreise,3,0)*VLOOKUP($A6,Rezepte,MATCH(Kalkulation!AU$5,Rezepte!$5:$5,0),0),"")</f>
        <v/>
      </c>
      <c r="AV6" s="23" t="str">
        <f>IF(AND(ISNUMBER(VLOOKUP($A6,Rezepte,MATCH(Kalkulation!AV$5,Rezepte!$5:$5,0),0)),ISNUMBER(VLOOKUP(AV$5,Materialpreise,3,0))),VLOOKUP(AV$5,Materialpreise,3,0)*VLOOKUP($A6,Rezepte,MATCH(Kalkulation!AV$5,Rezepte!$5:$5,0),0),"")</f>
        <v/>
      </c>
      <c r="AW6" s="23" t="str">
        <f>IF(AND(ISNUMBER(VLOOKUP($A6,Rezepte,MATCH(Kalkulation!AW$5,Rezepte!$5:$5,0),0)),ISNUMBER(VLOOKUP(AW$5,Materialpreise,3,0))),VLOOKUP(AW$5,Materialpreise,3,0)*VLOOKUP($A6,Rezepte,MATCH(Kalkulation!AW$5,Rezepte!$5:$5,0),0),"")</f>
        <v/>
      </c>
      <c r="AX6" s="23" t="str">
        <f>IF(AND(ISNUMBER(VLOOKUP($A6,Rezepte,MATCH(Kalkulation!AX$5,Rezepte!$5:$5,0),0)),ISNUMBER(VLOOKUP(AX$5,Materialpreise,3,0))),VLOOKUP(AX$5,Materialpreise,3,0)*VLOOKUP($A6,Rezepte,MATCH(Kalkulation!AX$5,Rezepte!$5:$5,0),0),"")</f>
        <v/>
      </c>
      <c r="AY6" s="23" t="str">
        <f>IF(AND(ISNUMBER(VLOOKUP($A6,Rezepte,MATCH(Kalkulation!AY$5,Rezepte!$5:$5,0),0)),ISNUMBER(VLOOKUP(AY$5,Materialpreise,3,0))),VLOOKUP(AY$5,Materialpreise,3,0)*VLOOKUP($A6,Rezepte,MATCH(Kalkulation!AY$5,Rezepte!$5:$5,0),0),"")</f>
        <v/>
      </c>
      <c r="AZ6" s="23" t="str">
        <f>IF(AND(ISNUMBER(VLOOKUP($A6,Rezepte,MATCH(Kalkulation!AZ$5,Rezepte!$5:$5,0),0)),ISNUMBER(VLOOKUP(AZ$5,Materialpreise,3,0))),VLOOKUP(AZ$5,Materialpreise,3,0)*VLOOKUP($A6,Rezepte,MATCH(Kalkulation!AZ$5,Rezepte!$5:$5,0),0),"")</f>
        <v/>
      </c>
      <c r="BA6" s="23" t="str">
        <f>IF(AND(ISNUMBER(VLOOKUP($A6,Rezepte,MATCH(Kalkulation!BA$5,Rezepte!$5:$5,0),0)),ISNUMBER(VLOOKUP(BA$5,Materialpreise,3,0))),VLOOKUP(BA$5,Materialpreise,3,0)*VLOOKUP($A6,Rezepte,MATCH(Kalkulation!BA$5,Rezepte!$5:$5,0),0),"")</f>
        <v/>
      </c>
    </row>
    <row r="7" spans="1:53" x14ac:dyDescent="0.25">
      <c r="A7" t="str">
        <f t="array" ref="A7">IFERROR(INDEX(Rezepte!$A$6:$A$100,MATCH(1,(COUNTIF(A$6:A6,Rezepte!A$6:A$100)=0)*(Rezepte!A$6:A$100&lt;&gt;""),0)),"")</f>
        <v>Mischbrot</v>
      </c>
      <c r="B7" s="23">
        <f t="shared" si="0"/>
        <v>0.59972398545454553</v>
      </c>
      <c r="C7" s="23">
        <f t="shared" ref="C7:C38" si="1">B7</f>
        <v>0.59972398545454553</v>
      </c>
      <c r="D7" s="23" t="str">
        <f>IF(AND(ISNUMBER(VLOOKUP($A7,Rezepte,MATCH(Kalkulation!D$5,Rezepte!$5:$5,0),0)),ISNUMBER(VLOOKUP(D$5,Materialpreise,3,0))),VLOOKUP(D$5,Materialpreise,3,0)*VLOOKUP($A7,Rezepte,MATCH(Kalkulation!D$5,Rezepte!$5:$5,0),0),"")</f>
        <v/>
      </c>
      <c r="E7" s="23" t="str">
        <f>IF(AND(ISNUMBER(VLOOKUP($A7,Rezepte,MATCH(Kalkulation!E$5,Rezepte!$5:$5,0),0)),ISNUMBER(VLOOKUP(E$5,Materialpreise,3,0))),VLOOKUP(E$5,Materialpreise,3,0)*VLOOKUP($A7,Rezepte,MATCH(Kalkulation!E$5,Rezepte!$5:$5,0),0),"")</f>
        <v/>
      </c>
      <c r="F7" s="23" t="str">
        <f>IF(AND(ISNUMBER(VLOOKUP($A7,Rezepte,MATCH(Kalkulation!F$5,Rezepte!$5:$5,0),0)),ISNUMBER(VLOOKUP(F$5,Materialpreise,3,0))),VLOOKUP(F$5,Materialpreise,3,0)*VLOOKUP($A7,Rezepte,MATCH(Kalkulation!F$5,Rezepte!$5:$5,0),0),"")</f>
        <v/>
      </c>
      <c r="G7" s="23" t="str">
        <f>IF(AND(ISNUMBER(VLOOKUP($A7,Rezepte,MATCH(Kalkulation!G$5,Rezepte!$5:$5,0),0)),ISNUMBER(VLOOKUP(G$5,Materialpreise,3,0))),VLOOKUP(G$5,Materialpreise,3,0)*VLOOKUP($A7,Rezepte,MATCH(Kalkulation!G$5,Rezepte!$5:$5,0),0),"")</f>
        <v/>
      </c>
      <c r="H7" s="23" t="str">
        <f>IF(AND(ISNUMBER(VLOOKUP($A7,Rezepte,MATCH(Kalkulation!H$5,Rezepte!$5:$5,0),0)),ISNUMBER(VLOOKUP(H$5,Materialpreise,3,0))),VLOOKUP(H$5,Materialpreise,3,0)*VLOOKUP($A7,Rezepte,MATCH(Kalkulation!H$5,Rezepte!$5:$5,0),0),"")</f>
        <v/>
      </c>
      <c r="I7" s="23">
        <f>IF(AND(ISNUMBER(VLOOKUP($A7,Rezepte,MATCH(Kalkulation!I$5,Rezepte!$5:$5,0),0)),ISNUMBER(VLOOKUP(I$5,Materialpreise,3,0))),VLOOKUP(I$5,Materialpreise,3,0)*VLOOKUP($A7,Rezepte,MATCH(Kalkulation!I$5,Rezepte!$5:$5,0),0),"")</f>
        <v>0.33505454545454555</v>
      </c>
      <c r="J7" s="23" t="str">
        <f>IF(AND(ISNUMBER(VLOOKUP($A7,Rezepte,MATCH(Kalkulation!J$5,Rezepte!$5:$5,0),0)),ISNUMBER(VLOOKUP(J$5,Materialpreise,3,0))),VLOOKUP(J$5,Materialpreise,3,0)*VLOOKUP($A7,Rezepte,MATCH(Kalkulation!J$5,Rezepte!$5:$5,0),0),"")</f>
        <v/>
      </c>
      <c r="K7" s="23">
        <f>IF(AND(ISNUMBER(VLOOKUP($A7,Rezepte,MATCH(Kalkulation!K$5,Rezepte!$5:$5,0),0)),ISNUMBER(VLOOKUP(K$5,Materialpreise,3,0))),VLOOKUP(K$5,Materialpreise,3,0)*VLOOKUP($A7,Rezepte,MATCH(Kalkulation!K$5,Rezepte!$5:$5,0),0),"")</f>
        <v>5.6762181818181812E-4</v>
      </c>
      <c r="L7" s="23" t="str">
        <f>IF(AND(ISNUMBER(VLOOKUP($A7,Rezepte,MATCH(Kalkulation!L$5,Rezepte!$5:$5,0),0)),ISNUMBER(VLOOKUP(L$5,Materialpreise,3,0))),VLOOKUP(L$5,Materialpreise,3,0)*VLOOKUP($A7,Rezepte,MATCH(Kalkulation!L$5,Rezepte!$5:$5,0),0),"")</f>
        <v/>
      </c>
      <c r="M7" s="23">
        <f>IF(AND(ISNUMBER(VLOOKUP($A7,Rezepte,MATCH(Kalkulation!M$5,Rezepte!$5:$5,0),0)),ISNUMBER(VLOOKUP(M$5,Materialpreise,3,0))),VLOOKUP(M$5,Materialpreise,3,0)*VLOOKUP($A7,Rezepte,MATCH(Kalkulation!M$5,Rezepte!$5:$5,0),0),"")</f>
        <v>0.10642909090909092</v>
      </c>
      <c r="N7" s="23">
        <f>IF(AND(ISNUMBER(VLOOKUP($A7,Rezepte,MATCH(Kalkulation!N$5,Rezepte!$5:$5,0),0)),ISNUMBER(VLOOKUP(N$5,Materialpreise,3,0))),VLOOKUP(N$5,Materialpreise,3,0)*VLOOKUP($A7,Rezepte,MATCH(Kalkulation!N$5,Rezepte!$5:$5,0),0),"")</f>
        <v>9.4603636363636348E-2</v>
      </c>
      <c r="O7" s="23">
        <f>IF(AND(ISNUMBER(VLOOKUP($A7,Rezepte,MATCH(Kalkulation!O$5,Rezepte!$5:$5,0),0)),ISNUMBER(VLOOKUP(O$5,Materialpreise,3,0))),VLOOKUP(O$5,Materialpreise,3,0)*VLOOKUP($A7,Rezepte,MATCH(Kalkulation!O$5,Rezepte!$5:$5,0),0),"")</f>
        <v>2.0694545454545455E-2</v>
      </c>
      <c r="P7" s="23">
        <f>IF(AND(ISNUMBER(VLOOKUP($A7,Rezepte,MATCH(Kalkulation!P$5,Rezepte!$5:$5,0),0)),ISNUMBER(VLOOKUP(P$5,Materialpreise,3,0))),VLOOKUP(P$5,Materialpreise,3,0)*VLOOKUP($A7,Rezepte,MATCH(Kalkulation!P$5,Rezepte!$5:$5,0),0),"")</f>
        <v>4.2374545454545456E-2</v>
      </c>
      <c r="Q7" s="23" t="str">
        <f>IF(AND(ISNUMBER(VLOOKUP($A7,Rezepte,MATCH(Kalkulation!Q$5,Rezepte!$5:$5,0),0)),ISNUMBER(VLOOKUP(Q$5,Materialpreise,3,0))),VLOOKUP(Q$5,Materialpreise,3,0)*VLOOKUP($A7,Rezepte,MATCH(Kalkulation!Q$5,Rezepte!$5:$5,0),0),"")</f>
        <v/>
      </c>
      <c r="R7" s="23" t="str">
        <f>IF(AND(ISNUMBER(VLOOKUP($A7,Rezepte,MATCH(Kalkulation!R$5,Rezepte!$5:$5,0),0)),ISNUMBER(VLOOKUP(R$5,Materialpreise,3,0))),VLOOKUP(R$5,Materialpreise,3,0)*VLOOKUP($A7,Rezepte,MATCH(Kalkulation!R$5,Rezepte!$5:$5,0),0),"")</f>
        <v/>
      </c>
      <c r="S7" s="23" t="str">
        <f>IF(AND(ISNUMBER(VLOOKUP($A7,Rezepte,MATCH(Kalkulation!S$5,Rezepte!$5:$5,0),0)),ISNUMBER(VLOOKUP(S$5,Materialpreise,3,0))),VLOOKUP(S$5,Materialpreise,3,0)*VLOOKUP($A7,Rezepte,MATCH(Kalkulation!S$5,Rezepte!$5:$5,0),0),"")</f>
        <v/>
      </c>
      <c r="T7" s="23" t="str">
        <f>IF(AND(ISNUMBER(VLOOKUP($A7,Rezepte,MATCH(Kalkulation!T$5,Rezepte!$5:$5,0),0)),ISNUMBER(VLOOKUP(T$5,Materialpreise,3,0))),VLOOKUP(T$5,Materialpreise,3,0)*VLOOKUP($A7,Rezepte,MATCH(Kalkulation!T$5,Rezepte!$5:$5,0),0),"")</f>
        <v/>
      </c>
      <c r="U7" s="23" t="str">
        <f>IF(AND(ISNUMBER(VLOOKUP($A7,Rezepte,MATCH(Kalkulation!U$5,Rezepte!$5:$5,0),0)),ISNUMBER(VLOOKUP(U$5,Materialpreise,3,0))),VLOOKUP(U$5,Materialpreise,3,0)*VLOOKUP($A7,Rezepte,MATCH(Kalkulation!U$5,Rezepte!$5:$5,0),0),"")</f>
        <v/>
      </c>
      <c r="V7" s="23" t="str">
        <f>IF(AND(ISNUMBER(VLOOKUP($A7,Rezepte,MATCH(Kalkulation!V$5,Rezepte!$5:$5,0),0)),ISNUMBER(VLOOKUP(V$5,Materialpreise,3,0))),VLOOKUP(V$5,Materialpreise,3,0)*VLOOKUP($A7,Rezepte,MATCH(Kalkulation!V$5,Rezepte!$5:$5,0),0),"")</f>
        <v/>
      </c>
      <c r="W7" s="23" t="str">
        <f>IF(AND(ISNUMBER(VLOOKUP($A7,Rezepte,MATCH(Kalkulation!W$5,Rezepte!$5:$5,0),0)),ISNUMBER(VLOOKUP(W$5,Materialpreise,3,0))),VLOOKUP(W$5,Materialpreise,3,0)*VLOOKUP($A7,Rezepte,MATCH(Kalkulation!W$5,Rezepte!$5:$5,0),0),"")</f>
        <v/>
      </c>
      <c r="X7" s="23" t="str">
        <f>IF(AND(ISNUMBER(VLOOKUP($A7,Rezepte,MATCH(Kalkulation!X$5,Rezepte!$5:$5,0),0)),ISNUMBER(VLOOKUP(X$5,Materialpreise,3,0))),VLOOKUP(X$5,Materialpreise,3,0)*VLOOKUP($A7,Rezepte,MATCH(Kalkulation!X$5,Rezepte!$5:$5,0),0),"")</f>
        <v/>
      </c>
      <c r="Y7" s="23" t="str">
        <f>IF(AND(ISNUMBER(VLOOKUP($A7,Rezepte,MATCH(Kalkulation!Y$5,Rezepte!$5:$5,0),0)),ISNUMBER(VLOOKUP(Y$5,Materialpreise,3,0))),VLOOKUP(Y$5,Materialpreise,3,0)*VLOOKUP($A7,Rezepte,MATCH(Kalkulation!Y$5,Rezepte!$5:$5,0),0),"")</f>
        <v/>
      </c>
      <c r="Z7" s="23" t="str">
        <f>IF(AND(ISNUMBER(VLOOKUP($A7,Rezepte,MATCH(Kalkulation!Z$5,Rezepte!$5:$5,0),0)),ISNUMBER(VLOOKUP(Z$5,Materialpreise,3,0))),VLOOKUP(Z$5,Materialpreise,3,0)*VLOOKUP($A7,Rezepte,MATCH(Kalkulation!Z$5,Rezepte!$5:$5,0),0),"")</f>
        <v/>
      </c>
      <c r="AA7" s="23" t="str">
        <f>IF(AND(ISNUMBER(VLOOKUP($A7,Rezepte,MATCH(Kalkulation!AA$5,Rezepte!$5:$5,0),0)),ISNUMBER(VLOOKUP(AA$5,Materialpreise,3,0))),VLOOKUP(AA$5,Materialpreise,3,0)*VLOOKUP($A7,Rezepte,MATCH(Kalkulation!AA$5,Rezepte!$5:$5,0),0),"")</f>
        <v/>
      </c>
      <c r="AB7" s="23" t="str">
        <f>IF(AND(ISNUMBER(VLOOKUP($A7,Rezepte,MATCH(Kalkulation!AB$5,Rezepte!$5:$5,0),0)),ISNUMBER(VLOOKUP(AB$5,Materialpreise,3,0))),VLOOKUP(AB$5,Materialpreise,3,0)*VLOOKUP($A7,Rezepte,MATCH(Kalkulation!AB$5,Rezepte!$5:$5,0),0),"")</f>
        <v/>
      </c>
      <c r="AC7" s="23" t="str">
        <f>IF(AND(ISNUMBER(VLOOKUP($A7,Rezepte,MATCH(Kalkulation!AC$5,Rezepte!$5:$5,0),0)),ISNUMBER(VLOOKUP(AC$5,Materialpreise,3,0))),VLOOKUP(AC$5,Materialpreise,3,0)*VLOOKUP($A7,Rezepte,MATCH(Kalkulation!AC$5,Rezepte!$5:$5,0),0),"")</f>
        <v/>
      </c>
      <c r="AD7" s="23" t="str">
        <f>IF(AND(ISNUMBER(VLOOKUP($A7,Rezepte,MATCH(Kalkulation!AD$5,Rezepte!$5:$5,0),0)),ISNUMBER(VLOOKUP(AD$5,Materialpreise,3,0))),VLOOKUP(AD$5,Materialpreise,3,0)*VLOOKUP($A7,Rezepte,MATCH(Kalkulation!AD$5,Rezepte!$5:$5,0),0),"")</f>
        <v/>
      </c>
      <c r="AE7" s="23" t="str">
        <f>IF(AND(ISNUMBER(VLOOKUP($A7,Rezepte,MATCH(Kalkulation!AE$5,Rezepte!$5:$5,0),0)),ISNUMBER(VLOOKUP(AE$5,Materialpreise,3,0))),VLOOKUP(AE$5,Materialpreise,3,0)*VLOOKUP($A7,Rezepte,MATCH(Kalkulation!AE$5,Rezepte!$5:$5,0),0),"")</f>
        <v/>
      </c>
      <c r="AF7" s="23" t="str">
        <f>IF(AND(ISNUMBER(VLOOKUP($A7,Rezepte,MATCH(Kalkulation!AF$5,Rezepte!$5:$5,0),0)),ISNUMBER(VLOOKUP(AF$5,Materialpreise,3,0))),VLOOKUP(AF$5,Materialpreise,3,0)*VLOOKUP($A7,Rezepte,MATCH(Kalkulation!AF$5,Rezepte!$5:$5,0),0),"")</f>
        <v/>
      </c>
      <c r="AG7" s="23" t="str">
        <f>IF(AND(ISNUMBER(VLOOKUP($A7,Rezepte,MATCH(Kalkulation!AG$5,Rezepte!$5:$5,0),0)),ISNUMBER(VLOOKUP(AG$5,Materialpreise,3,0))),VLOOKUP(AG$5,Materialpreise,3,0)*VLOOKUP($A7,Rezepte,MATCH(Kalkulation!AG$5,Rezepte!$5:$5,0),0),"")</f>
        <v/>
      </c>
      <c r="AH7" s="23" t="str">
        <f>IF(AND(ISNUMBER(VLOOKUP($A7,Rezepte,MATCH(Kalkulation!AH$5,Rezepte!$5:$5,0),0)),ISNUMBER(VLOOKUP(AH$5,Materialpreise,3,0))),VLOOKUP(AH$5,Materialpreise,3,0)*VLOOKUP($A7,Rezepte,MATCH(Kalkulation!AH$5,Rezepte!$5:$5,0),0),"")</f>
        <v/>
      </c>
      <c r="AI7" s="23" t="str">
        <f>IF(AND(ISNUMBER(VLOOKUP($A7,Rezepte,MATCH(Kalkulation!AI$5,Rezepte!$5:$5,0),0)),ISNUMBER(VLOOKUP(AI$5,Materialpreise,3,0))),VLOOKUP(AI$5,Materialpreise,3,0)*VLOOKUP($A7,Rezepte,MATCH(Kalkulation!AI$5,Rezepte!$5:$5,0),0),"")</f>
        <v/>
      </c>
      <c r="AJ7" s="23" t="str">
        <f>IF(AND(ISNUMBER(VLOOKUP($A7,Rezepte,MATCH(Kalkulation!AJ$5,Rezepte!$5:$5,0),0)),ISNUMBER(VLOOKUP(AJ$5,Materialpreise,3,0))),VLOOKUP(AJ$5,Materialpreise,3,0)*VLOOKUP($A7,Rezepte,MATCH(Kalkulation!AJ$5,Rezepte!$5:$5,0),0),"")</f>
        <v/>
      </c>
      <c r="AK7" s="23" t="str">
        <f>IF(AND(ISNUMBER(VLOOKUP($A7,Rezepte,MATCH(Kalkulation!AK$5,Rezepte!$5:$5,0),0)),ISNUMBER(VLOOKUP(AK$5,Materialpreise,3,0))),VLOOKUP(AK$5,Materialpreise,3,0)*VLOOKUP($A7,Rezepte,MATCH(Kalkulation!AK$5,Rezepte!$5:$5,0),0),"")</f>
        <v/>
      </c>
      <c r="AL7" s="23" t="str">
        <f>IF(AND(ISNUMBER(VLOOKUP($A7,Rezepte,MATCH(Kalkulation!AL$5,Rezepte!$5:$5,0),0)),ISNUMBER(VLOOKUP(AL$5,Materialpreise,3,0))),VLOOKUP(AL$5,Materialpreise,3,0)*VLOOKUP($A7,Rezepte,MATCH(Kalkulation!AL$5,Rezepte!$5:$5,0),0),"")</f>
        <v/>
      </c>
      <c r="AM7" s="23" t="str">
        <f>IF(AND(ISNUMBER(VLOOKUP($A7,Rezepte,MATCH(Kalkulation!AM$5,Rezepte!$5:$5,0),0)),ISNUMBER(VLOOKUP(AM$5,Materialpreise,3,0))),VLOOKUP(AM$5,Materialpreise,3,0)*VLOOKUP($A7,Rezepte,MATCH(Kalkulation!AM$5,Rezepte!$5:$5,0),0),"")</f>
        <v/>
      </c>
      <c r="AN7" s="23" t="str">
        <f>IF(AND(ISNUMBER(VLOOKUP($A7,Rezepte,MATCH(Kalkulation!AN$5,Rezepte!$5:$5,0),0)),ISNUMBER(VLOOKUP(AN$5,Materialpreise,3,0))),VLOOKUP(AN$5,Materialpreise,3,0)*VLOOKUP($A7,Rezepte,MATCH(Kalkulation!AN$5,Rezepte!$5:$5,0),0),"")</f>
        <v/>
      </c>
      <c r="AO7" s="23" t="str">
        <f>IF(AND(ISNUMBER(VLOOKUP($A7,Rezepte,MATCH(Kalkulation!AO$5,Rezepte!$5:$5,0),0)),ISNUMBER(VLOOKUP(AO$5,Materialpreise,3,0))),VLOOKUP(AO$5,Materialpreise,3,0)*VLOOKUP($A7,Rezepte,MATCH(Kalkulation!AO$5,Rezepte!$5:$5,0),0),"")</f>
        <v/>
      </c>
      <c r="AP7" s="23" t="str">
        <f>IF(AND(ISNUMBER(VLOOKUP($A7,Rezepte,MATCH(Kalkulation!AP$5,Rezepte!$5:$5,0),0)),ISNUMBER(VLOOKUP(AP$5,Materialpreise,3,0))),VLOOKUP(AP$5,Materialpreise,3,0)*VLOOKUP($A7,Rezepte,MATCH(Kalkulation!AP$5,Rezepte!$5:$5,0),0),"")</f>
        <v/>
      </c>
      <c r="AQ7" s="23" t="str">
        <f>IF(AND(ISNUMBER(VLOOKUP($A7,Rezepte,MATCH(Kalkulation!AQ$5,Rezepte!$5:$5,0),0)),ISNUMBER(VLOOKUP(AQ$5,Materialpreise,3,0))),VLOOKUP(AQ$5,Materialpreise,3,0)*VLOOKUP($A7,Rezepte,MATCH(Kalkulation!AQ$5,Rezepte!$5:$5,0),0),"")</f>
        <v/>
      </c>
      <c r="AR7" s="23" t="str">
        <f>IF(AND(ISNUMBER(VLOOKUP($A7,Rezepte,MATCH(Kalkulation!AR$5,Rezepte!$5:$5,0),0)),ISNUMBER(VLOOKUP(AR$5,Materialpreise,3,0))),VLOOKUP(AR$5,Materialpreise,3,0)*VLOOKUP($A7,Rezepte,MATCH(Kalkulation!AR$5,Rezepte!$5:$5,0),0),"")</f>
        <v/>
      </c>
      <c r="AS7" s="23" t="str">
        <f>IF(AND(ISNUMBER(VLOOKUP($A7,Rezepte,MATCH(Kalkulation!AS$5,Rezepte!$5:$5,0),0)),ISNUMBER(VLOOKUP(AS$5,Materialpreise,3,0))),VLOOKUP(AS$5,Materialpreise,3,0)*VLOOKUP($A7,Rezepte,MATCH(Kalkulation!AS$5,Rezepte!$5:$5,0),0),"")</f>
        <v/>
      </c>
      <c r="AT7" s="23" t="str">
        <f>IF(AND(ISNUMBER(VLOOKUP($A7,Rezepte,MATCH(Kalkulation!AT$5,Rezepte!$5:$5,0),0)),ISNUMBER(VLOOKUP(AT$5,Materialpreise,3,0))),VLOOKUP(AT$5,Materialpreise,3,0)*VLOOKUP($A7,Rezepte,MATCH(Kalkulation!AT$5,Rezepte!$5:$5,0),0),"")</f>
        <v/>
      </c>
      <c r="AU7" s="23" t="str">
        <f>IF(AND(ISNUMBER(VLOOKUP($A7,Rezepte,MATCH(Kalkulation!AU$5,Rezepte!$5:$5,0),0)),ISNUMBER(VLOOKUP(AU$5,Materialpreise,3,0))),VLOOKUP(AU$5,Materialpreise,3,0)*VLOOKUP($A7,Rezepte,MATCH(Kalkulation!AU$5,Rezepte!$5:$5,0),0),"")</f>
        <v/>
      </c>
      <c r="AV7" s="23" t="str">
        <f>IF(AND(ISNUMBER(VLOOKUP($A7,Rezepte,MATCH(Kalkulation!AV$5,Rezepte!$5:$5,0),0)),ISNUMBER(VLOOKUP(AV$5,Materialpreise,3,0))),VLOOKUP(AV$5,Materialpreise,3,0)*VLOOKUP($A7,Rezepte,MATCH(Kalkulation!AV$5,Rezepte!$5:$5,0),0),"")</f>
        <v/>
      </c>
      <c r="AW7" s="23" t="str">
        <f>IF(AND(ISNUMBER(VLOOKUP($A7,Rezepte,MATCH(Kalkulation!AW$5,Rezepte!$5:$5,0),0)),ISNUMBER(VLOOKUP(AW$5,Materialpreise,3,0))),VLOOKUP(AW$5,Materialpreise,3,0)*VLOOKUP($A7,Rezepte,MATCH(Kalkulation!AW$5,Rezepte!$5:$5,0),0),"")</f>
        <v/>
      </c>
      <c r="AX7" s="23" t="str">
        <f>IF(AND(ISNUMBER(VLOOKUP($A7,Rezepte,MATCH(Kalkulation!AX$5,Rezepte!$5:$5,0),0)),ISNUMBER(VLOOKUP(AX$5,Materialpreise,3,0))),VLOOKUP(AX$5,Materialpreise,3,0)*VLOOKUP($A7,Rezepte,MATCH(Kalkulation!AX$5,Rezepte!$5:$5,0),0),"")</f>
        <v/>
      </c>
      <c r="AY7" s="23" t="str">
        <f>IF(AND(ISNUMBER(VLOOKUP($A7,Rezepte,MATCH(Kalkulation!AY$5,Rezepte!$5:$5,0),0)),ISNUMBER(VLOOKUP(AY$5,Materialpreise,3,0))),VLOOKUP(AY$5,Materialpreise,3,0)*VLOOKUP($A7,Rezepte,MATCH(Kalkulation!AY$5,Rezepte!$5:$5,0),0),"")</f>
        <v/>
      </c>
      <c r="AZ7" s="23" t="str">
        <f>IF(AND(ISNUMBER(VLOOKUP($A7,Rezepte,MATCH(Kalkulation!AZ$5,Rezepte!$5:$5,0),0)),ISNUMBER(VLOOKUP(AZ$5,Materialpreise,3,0))),VLOOKUP(AZ$5,Materialpreise,3,0)*VLOOKUP($A7,Rezepte,MATCH(Kalkulation!AZ$5,Rezepte!$5:$5,0),0),"")</f>
        <v/>
      </c>
      <c r="BA7" s="23" t="str">
        <f>IF(AND(ISNUMBER(VLOOKUP($A7,Rezepte,MATCH(Kalkulation!BA$5,Rezepte!$5:$5,0),0)),ISNUMBER(VLOOKUP(BA$5,Materialpreise,3,0))),VLOOKUP(BA$5,Materialpreise,3,0)*VLOOKUP($A7,Rezepte,MATCH(Kalkulation!BA$5,Rezepte!$5:$5,0),0),"")</f>
        <v/>
      </c>
    </row>
    <row r="8" spans="1:53" x14ac:dyDescent="0.25">
      <c r="A8" t="str">
        <f t="array" ref="A8">IFERROR(INDEX(Rezepte!$A$6:$A$100,MATCH(1,(COUNTIF(A$6:A7,Rezepte!A$6:A$100)=0)*(Rezepte!A$6:A$100&lt;&gt;""),0)),"")</f>
        <v>Roggenbrot</v>
      </c>
      <c r="B8" s="23">
        <f t="shared" si="0"/>
        <v>0.40433318095238091</v>
      </c>
      <c r="C8" s="23">
        <f t="shared" si="1"/>
        <v>0.40433318095238091</v>
      </c>
      <c r="D8" s="23" t="str">
        <f>IF(AND(ISNUMBER(VLOOKUP($A8,Rezepte,MATCH(Kalkulation!D$5,Rezepte!$5:$5,0),0)),ISNUMBER(VLOOKUP(D$5,Materialpreise,3,0))),VLOOKUP(D$5,Materialpreise,3,0)*VLOOKUP($A8,Rezepte,MATCH(Kalkulation!D$5,Rezepte!$5:$5,0),0),"")</f>
        <v/>
      </c>
      <c r="E8" s="23" t="str">
        <f>IF(AND(ISNUMBER(VLOOKUP($A8,Rezepte,MATCH(Kalkulation!E$5,Rezepte!$5:$5,0),0)),ISNUMBER(VLOOKUP(E$5,Materialpreise,3,0))),VLOOKUP(E$5,Materialpreise,3,0)*VLOOKUP($A8,Rezepte,MATCH(Kalkulation!E$5,Rezepte!$5:$5,0),0),"")</f>
        <v/>
      </c>
      <c r="F8" s="23" t="str">
        <f>IF(AND(ISNUMBER(VLOOKUP($A8,Rezepte,MATCH(Kalkulation!F$5,Rezepte!$5:$5,0),0)),ISNUMBER(VLOOKUP(F$5,Materialpreise,3,0))),VLOOKUP(F$5,Materialpreise,3,0)*VLOOKUP($A8,Rezepte,MATCH(Kalkulation!F$5,Rezepte!$5:$5,0),0),"")</f>
        <v/>
      </c>
      <c r="G8" s="23" t="str">
        <f>IF(AND(ISNUMBER(VLOOKUP($A8,Rezepte,MATCH(Kalkulation!G$5,Rezepte!$5:$5,0),0)),ISNUMBER(VLOOKUP(G$5,Materialpreise,3,0))),VLOOKUP(G$5,Materialpreise,3,0)*VLOOKUP($A8,Rezepte,MATCH(Kalkulation!G$5,Rezepte!$5:$5,0),0),"")</f>
        <v/>
      </c>
      <c r="H8" s="23" t="str">
        <f>IF(AND(ISNUMBER(VLOOKUP($A8,Rezepte,MATCH(Kalkulation!H$5,Rezepte!$5:$5,0),0)),ISNUMBER(VLOOKUP(H$5,Materialpreise,3,0))),VLOOKUP(H$5,Materialpreise,3,0)*VLOOKUP($A8,Rezepte,MATCH(Kalkulation!H$5,Rezepte!$5:$5,0),0),"")</f>
        <v/>
      </c>
      <c r="I8" s="23" t="str">
        <f>IF(AND(ISNUMBER(VLOOKUP($A8,Rezepte,MATCH(Kalkulation!I$5,Rezepte!$5:$5,0),0)),ISNUMBER(VLOOKUP(I$5,Materialpreise,3,0))),VLOOKUP(I$5,Materialpreise,3,0)*VLOOKUP($A8,Rezepte,MATCH(Kalkulation!I$5,Rezepte!$5:$5,0),0),"")</f>
        <v/>
      </c>
      <c r="J8" s="23" t="str">
        <f>IF(AND(ISNUMBER(VLOOKUP($A8,Rezepte,MATCH(Kalkulation!J$5,Rezepte!$5:$5,0),0)),ISNUMBER(VLOOKUP(J$5,Materialpreise,3,0))),VLOOKUP(J$5,Materialpreise,3,0)*VLOOKUP($A8,Rezepte,MATCH(Kalkulation!J$5,Rezepte!$5:$5,0),0),"")</f>
        <v/>
      </c>
      <c r="K8" s="23">
        <f>IF(AND(ISNUMBER(VLOOKUP($A8,Rezepte,MATCH(Kalkulation!K$5,Rezepte!$5:$5,0),0)),ISNUMBER(VLOOKUP(K$5,Materialpreise,3,0))),VLOOKUP(K$5,Materialpreise,3,0)*VLOOKUP($A8,Rezepte,MATCH(Kalkulation!K$5,Rezepte!$5:$5,0),0),"")</f>
        <v>1.2093714285714287E-3</v>
      </c>
      <c r="L8" s="23" t="str">
        <f>IF(AND(ISNUMBER(VLOOKUP($A8,Rezepte,MATCH(Kalkulation!L$5,Rezepte!$5:$5,0),0)),ISNUMBER(VLOOKUP(L$5,Materialpreise,3,0))),VLOOKUP(L$5,Materialpreise,3,0)*VLOOKUP($A8,Rezepte,MATCH(Kalkulation!L$5,Rezepte!$5:$5,0),0),"")</f>
        <v/>
      </c>
      <c r="M8" s="23">
        <f>IF(AND(ISNUMBER(VLOOKUP($A8,Rezepte,MATCH(Kalkulation!M$5,Rezepte!$5:$5,0),0)),ISNUMBER(VLOOKUP(M$5,Materialpreise,3,0))),VLOOKUP(M$5,Materialpreise,3,0)*VLOOKUP($A8,Rezepte,MATCH(Kalkulation!M$5,Rezepte!$5:$5,0),0),"")</f>
        <v>0.13954285714285714</v>
      </c>
      <c r="N8" s="23">
        <f>IF(AND(ISNUMBER(VLOOKUP($A8,Rezepte,MATCH(Kalkulation!N$5,Rezepte!$5:$5,0),0)),ISNUMBER(VLOOKUP(N$5,Materialpreise,3,0))),VLOOKUP(N$5,Materialpreise,3,0)*VLOOKUP($A8,Rezepte,MATCH(Kalkulation!N$5,Rezepte!$5:$5,0),0),"")</f>
        <v>0.20156190476190478</v>
      </c>
      <c r="O8" s="23">
        <f>IF(AND(ISNUMBER(VLOOKUP($A8,Rezepte,MATCH(Kalkulation!O$5,Rezepte!$5:$5,0),0)),ISNUMBER(VLOOKUP(O$5,Materialpreise,3,0))),VLOOKUP(O$5,Materialpreise,3,0)*VLOOKUP($A8,Rezepte,MATCH(Kalkulation!O$5,Rezepte!$5:$5,0),0),"")</f>
        <v>2.0349999999999997E-2</v>
      </c>
      <c r="P8" s="23">
        <f>IF(AND(ISNUMBER(VLOOKUP($A8,Rezepte,MATCH(Kalkulation!P$5,Rezepte!$5:$5,0),0)),ISNUMBER(VLOOKUP(P$5,Materialpreise,3,0))),VLOOKUP(P$5,Materialpreise,3,0)*VLOOKUP($A8,Rezepte,MATCH(Kalkulation!P$5,Rezepte!$5:$5,0),0),"")</f>
        <v>4.1669047619047619E-2</v>
      </c>
      <c r="Q8" s="23" t="str">
        <f>IF(AND(ISNUMBER(VLOOKUP($A8,Rezepte,MATCH(Kalkulation!Q$5,Rezepte!$5:$5,0),0)),ISNUMBER(VLOOKUP(Q$5,Materialpreise,3,0))),VLOOKUP(Q$5,Materialpreise,3,0)*VLOOKUP($A8,Rezepte,MATCH(Kalkulation!Q$5,Rezepte!$5:$5,0),0),"")</f>
        <v/>
      </c>
      <c r="R8" s="23" t="str">
        <f>IF(AND(ISNUMBER(VLOOKUP($A8,Rezepte,MATCH(Kalkulation!R$5,Rezepte!$5:$5,0),0)),ISNUMBER(VLOOKUP(R$5,Materialpreise,3,0))),VLOOKUP(R$5,Materialpreise,3,0)*VLOOKUP($A8,Rezepte,MATCH(Kalkulation!R$5,Rezepte!$5:$5,0),0),"")</f>
        <v/>
      </c>
      <c r="S8" s="23" t="str">
        <f>IF(AND(ISNUMBER(VLOOKUP($A8,Rezepte,MATCH(Kalkulation!S$5,Rezepte!$5:$5,0),0)),ISNUMBER(VLOOKUP(S$5,Materialpreise,3,0))),VLOOKUP(S$5,Materialpreise,3,0)*VLOOKUP($A8,Rezepte,MATCH(Kalkulation!S$5,Rezepte!$5:$5,0),0),"")</f>
        <v/>
      </c>
      <c r="T8" s="23" t="str">
        <f>IF(AND(ISNUMBER(VLOOKUP($A8,Rezepte,MATCH(Kalkulation!T$5,Rezepte!$5:$5,0),0)),ISNUMBER(VLOOKUP(T$5,Materialpreise,3,0))),VLOOKUP(T$5,Materialpreise,3,0)*VLOOKUP($A8,Rezepte,MATCH(Kalkulation!T$5,Rezepte!$5:$5,0),0),"")</f>
        <v/>
      </c>
      <c r="U8" s="23" t="str">
        <f>IF(AND(ISNUMBER(VLOOKUP($A8,Rezepte,MATCH(Kalkulation!U$5,Rezepte!$5:$5,0),0)),ISNUMBER(VLOOKUP(U$5,Materialpreise,3,0))),VLOOKUP(U$5,Materialpreise,3,0)*VLOOKUP($A8,Rezepte,MATCH(Kalkulation!U$5,Rezepte!$5:$5,0),0),"")</f>
        <v/>
      </c>
      <c r="V8" s="23" t="str">
        <f>IF(AND(ISNUMBER(VLOOKUP($A8,Rezepte,MATCH(Kalkulation!V$5,Rezepte!$5:$5,0),0)),ISNUMBER(VLOOKUP(V$5,Materialpreise,3,0))),VLOOKUP(V$5,Materialpreise,3,0)*VLOOKUP($A8,Rezepte,MATCH(Kalkulation!V$5,Rezepte!$5:$5,0),0),"")</f>
        <v/>
      </c>
      <c r="W8" s="23" t="str">
        <f>IF(AND(ISNUMBER(VLOOKUP($A8,Rezepte,MATCH(Kalkulation!W$5,Rezepte!$5:$5,0),0)),ISNUMBER(VLOOKUP(W$5,Materialpreise,3,0))),VLOOKUP(W$5,Materialpreise,3,0)*VLOOKUP($A8,Rezepte,MATCH(Kalkulation!W$5,Rezepte!$5:$5,0),0),"")</f>
        <v/>
      </c>
      <c r="X8" s="23" t="str">
        <f>IF(AND(ISNUMBER(VLOOKUP($A8,Rezepte,MATCH(Kalkulation!X$5,Rezepte!$5:$5,0),0)),ISNUMBER(VLOOKUP(X$5,Materialpreise,3,0))),VLOOKUP(X$5,Materialpreise,3,0)*VLOOKUP($A8,Rezepte,MATCH(Kalkulation!X$5,Rezepte!$5:$5,0),0),"")</f>
        <v/>
      </c>
      <c r="Y8" s="23" t="str">
        <f>IF(AND(ISNUMBER(VLOOKUP($A8,Rezepte,MATCH(Kalkulation!Y$5,Rezepte!$5:$5,0),0)),ISNUMBER(VLOOKUP(Y$5,Materialpreise,3,0))),VLOOKUP(Y$5,Materialpreise,3,0)*VLOOKUP($A8,Rezepte,MATCH(Kalkulation!Y$5,Rezepte!$5:$5,0),0),"")</f>
        <v/>
      </c>
      <c r="Z8" s="23" t="str">
        <f>IF(AND(ISNUMBER(VLOOKUP($A8,Rezepte,MATCH(Kalkulation!Z$5,Rezepte!$5:$5,0),0)),ISNUMBER(VLOOKUP(Z$5,Materialpreise,3,0))),VLOOKUP(Z$5,Materialpreise,3,0)*VLOOKUP($A8,Rezepte,MATCH(Kalkulation!Z$5,Rezepte!$5:$5,0),0),"")</f>
        <v/>
      </c>
      <c r="AA8" s="23" t="str">
        <f>IF(AND(ISNUMBER(VLOOKUP($A8,Rezepte,MATCH(Kalkulation!AA$5,Rezepte!$5:$5,0),0)),ISNUMBER(VLOOKUP(AA$5,Materialpreise,3,0))),VLOOKUP(AA$5,Materialpreise,3,0)*VLOOKUP($A8,Rezepte,MATCH(Kalkulation!AA$5,Rezepte!$5:$5,0),0),"")</f>
        <v/>
      </c>
      <c r="AB8" s="23" t="str">
        <f>IF(AND(ISNUMBER(VLOOKUP($A8,Rezepte,MATCH(Kalkulation!AB$5,Rezepte!$5:$5,0),0)),ISNUMBER(VLOOKUP(AB$5,Materialpreise,3,0))),VLOOKUP(AB$5,Materialpreise,3,0)*VLOOKUP($A8,Rezepte,MATCH(Kalkulation!AB$5,Rezepte!$5:$5,0),0),"")</f>
        <v/>
      </c>
      <c r="AC8" s="23" t="str">
        <f>IF(AND(ISNUMBER(VLOOKUP($A8,Rezepte,MATCH(Kalkulation!AC$5,Rezepte!$5:$5,0),0)),ISNUMBER(VLOOKUP(AC$5,Materialpreise,3,0))),VLOOKUP(AC$5,Materialpreise,3,0)*VLOOKUP($A8,Rezepte,MATCH(Kalkulation!AC$5,Rezepte!$5:$5,0),0),"")</f>
        <v/>
      </c>
      <c r="AD8" s="23" t="str">
        <f>IF(AND(ISNUMBER(VLOOKUP($A8,Rezepte,MATCH(Kalkulation!AD$5,Rezepte!$5:$5,0),0)),ISNUMBER(VLOOKUP(AD$5,Materialpreise,3,0))),VLOOKUP(AD$5,Materialpreise,3,0)*VLOOKUP($A8,Rezepte,MATCH(Kalkulation!AD$5,Rezepte!$5:$5,0),0),"")</f>
        <v/>
      </c>
      <c r="AE8" s="23" t="str">
        <f>IF(AND(ISNUMBER(VLOOKUP($A8,Rezepte,MATCH(Kalkulation!AE$5,Rezepte!$5:$5,0),0)),ISNUMBER(VLOOKUP(AE$5,Materialpreise,3,0))),VLOOKUP(AE$5,Materialpreise,3,0)*VLOOKUP($A8,Rezepte,MATCH(Kalkulation!AE$5,Rezepte!$5:$5,0),0),"")</f>
        <v/>
      </c>
      <c r="AF8" s="23" t="str">
        <f>IF(AND(ISNUMBER(VLOOKUP($A8,Rezepte,MATCH(Kalkulation!AF$5,Rezepte!$5:$5,0),0)),ISNUMBER(VLOOKUP(AF$5,Materialpreise,3,0))),VLOOKUP(AF$5,Materialpreise,3,0)*VLOOKUP($A8,Rezepte,MATCH(Kalkulation!AF$5,Rezepte!$5:$5,0),0),"")</f>
        <v/>
      </c>
      <c r="AG8" s="23" t="str">
        <f>IF(AND(ISNUMBER(VLOOKUP($A8,Rezepte,MATCH(Kalkulation!AG$5,Rezepte!$5:$5,0),0)),ISNUMBER(VLOOKUP(AG$5,Materialpreise,3,0))),VLOOKUP(AG$5,Materialpreise,3,0)*VLOOKUP($A8,Rezepte,MATCH(Kalkulation!AG$5,Rezepte!$5:$5,0),0),"")</f>
        <v/>
      </c>
      <c r="AH8" s="23" t="str">
        <f>IF(AND(ISNUMBER(VLOOKUP($A8,Rezepte,MATCH(Kalkulation!AH$5,Rezepte!$5:$5,0),0)),ISNUMBER(VLOOKUP(AH$5,Materialpreise,3,0))),VLOOKUP(AH$5,Materialpreise,3,0)*VLOOKUP($A8,Rezepte,MATCH(Kalkulation!AH$5,Rezepte!$5:$5,0),0),"")</f>
        <v/>
      </c>
      <c r="AI8" s="23" t="str">
        <f>IF(AND(ISNUMBER(VLOOKUP($A8,Rezepte,MATCH(Kalkulation!AI$5,Rezepte!$5:$5,0),0)),ISNUMBER(VLOOKUP(AI$5,Materialpreise,3,0))),VLOOKUP(AI$5,Materialpreise,3,0)*VLOOKUP($A8,Rezepte,MATCH(Kalkulation!AI$5,Rezepte!$5:$5,0),0),"")</f>
        <v/>
      </c>
      <c r="AJ8" s="23" t="str">
        <f>IF(AND(ISNUMBER(VLOOKUP($A8,Rezepte,MATCH(Kalkulation!AJ$5,Rezepte!$5:$5,0),0)),ISNUMBER(VLOOKUP(AJ$5,Materialpreise,3,0))),VLOOKUP(AJ$5,Materialpreise,3,0)*VLOOKUP($A8,Rezepte,MATCH(Kalkulation!AJ$5,Rezepte!$5:$5,0),0),"")</f>
        <v/>
      </c>
      <c r="AK8" s="23" t="str">
        <f>IF(AND(ISNUMBER(VLOOKUP($A8,Rezepte,MATCH(Kalkulation!AK$5,Rezepte!$5:$5,0),0)),ISNUMBER(VLOOKUP(AK$5,Materialpreise,3,0))),VLOOKUP(AK$5,Materialpreise,3,0)*VLOOKUP($A8,Rezepte,MATCH(Kalkulation!AK$5,Rezepte!$5:$5,0),0),"")</f>
        <v/>
      </c>
      <c r="AL8" s="23" t="str">
        <f>IF(AND(ISNUMBER(VLOOKUP($A8,Rezepte,MATCH(Kalkulation!AL$5,Rezepte!$5:$5,0),0)),ISNUMBER(VLOOKUP(AL$5,Materialpreise,3,0))),VLOOKUP(AL$5,Materialpreise,3,0)*VLOOKUP($A8,Rezepte,MATCH(Kalkulation!AL$5,Rezepte!$5:$5,0),0),"")</f>
        <v/>
      </c>
      <c r="AM8" s="23" t="str">
        <f>IF(AND(ISNUMBER(VLOOKUP($A8,Rezepte,MATCH(Kalkulation!AM$5,Rezepte!$5:$5,0),0)),ISNUMBER(VLOOKUP(AM$5,Materialpreise,3,0))),VLOOKUP(AM$5,Materialpreise,3,0)*VLOOKUP($A8,Rezepte,MATCH(Kalkulation!AM$5,Rezepte!$5:$5,0),0),"")</f>
        <v/>
      </c>
      <c r="AN8" s="23" t="str">
        <f>IF(AND(ISNUMBER(VLOOKUP($A8,Rezepte,MATCH(Kalkulation!AN$5,Rezepte!$5:$5,0),0)),ISNUMBER(VLOOKUP(AN$5,Materialpreise,3,0))),VLOOKUP(AN$5,Materialpreise,3,0)*VLOOKUP($A8,Rezepte,MATCH(Kalkulation!AN$5,Rezepte!$5:$5,0),0),"")</f>
        <v/>
      </c>
      <c r="AO8" s="23" t="str">
        <f>IF(AND(ISNUMBER(VLOOKUP($A8,Rezepte,MATCH(Kalkulation!AO$5,Rezepte!$5:$5,0),0)),ISNUMBER(VLOOKUP(AO$5,Materialpreise,3,0))),VLOOKUP(AO$5,Materialpreise,3,0)*VLOOKUP($A8,Rezepte,MATCH(Kalkulation!AO$5,Rezepte!$5:$5,0),0),"")</f>
        <v/>
      </c>
      <c r="AP8" s="23" t="str">
        <f>IF(AND(ISNUMBER(VLOOKUP($A8,Rezepte,MATCH(Kalkulation!AP$5,Rezepte!$5:$5,0),0)),ISNUMBER(VLOOKUP(AP$5,Materialpreise,3,0))),VLOOKUP(AP$5,Materialpreise,3,0)*VLOOKUP($A8,Rezepte,MATCH(Kalkulation!AP$5,Rezepte!$5:$5,0),0),"")</f>
        <v/>
      </c>
      <c r="AQ8" s="23" t="str">
        <f>IF(AND(ISNUMBER(VLOOKUP($A8,Rezepte,MATCH(Kalkulation!AQ$5,Rezepte!$5:$5,0),0)),ISNUMBER(VLOOKUP(AQ$5,Materialpreise,3,0))),VLOOKUP(AQ$5,Materialpreise,3,0)*VLOOKUP($A8,Rezepte,MATCH(Kalkulation!AQ$5,Rezepte!$5:$5,0),0),"")</f>
        <v/>
      </c>
      <c r="AR8" s="23" t="str">
        <f>IF(AND(ISNUMBER(VLOOKUP($A8,Rezepte,MATCH(Kalkulation!AR$5,Rezepte!$5:$5,0),0)),ISNUMBER(VLOOKUP(AR$5,Materialpreise,3,0))),VLOOKUP(AR$5,Materialpreise,3,0)*VLOOKUP($A8,Rezepte,MATCH(Kalkulation!AR$5,Rezepte!$5:$5,0),0),"")</f>
        <v/>
      </c>
      <c r="AS8" s="23" t="str">
        <f>IF(AND(ISNUMBER(VLOOKUP($A8,Rezepte,MATCH(Kalkulation!AS$5,Rezepte!$5:$5,0),0)),ISNUMBER(VLOOKUP(AS$5,Materialpreise,3,0))),VLOOKUP(AS$5,Materialpreise,3,0)*VLOOKUP($A8,Rezepte,MATCH(Kalkulation!AS$5,Rezepte!$5:$5,0),0),"")</f>
        <v/>
      </c>
      <c r="AT8" s="23" t="str">
        <f>IF(AND(ISNUMBER(VLOOKUP($A8,Rezepte,MATCH(Kalkulation!AT$5,Rezepte!$5:$5,0),0)),ISNUMBER(VLOOKUP(AT$5,Materialpreise,3,0))),VLOOKUP(AT$5,Materialpreise,3,0)*VLOOKUP($A8,Rezepte,MATCH(Kalkulation!AT$5,Rezepte!$5:$5,0),0),"")</f>
        <v/>
      </c>
      <c r="AU8" s="23" t="str">
        <f>IF(AND(ISNUMBER(VLOOKUP($A8,Rezepte,MATCH(Kalkulation!AU$5,Rezepte!$5:$5,0),0)),ISNUMBER(VLOOKUP(AU$5,Materialpreise,3,0))),VLOOKUP(AU$5,Materialpreise,3,0)*VLOOKUP($A8,Rezepte,MATCH(Kalkulation!AU$5,Rezepte!$5:$5,0),0),"")</f>
        <v/>
      </c>
      <c r="AV8" s="23" t="str">
        <f>IF(AND(ISNUMBER(VLOOKUP($A8,Rezepte,MATCH(Kalkulation!AV$5,Rezepte!$5:$5,0),0)),ISNUMBER(VLOOKUP(AV$5,Materialpreise,3,0))),VLOOKUP(AV$5,Materialpreise,3,0)*VLOOKUP($A8,Rezepte,MATCH(Kalkulation!AV$5,Rezepte!$5:$5,0),0),"")</f>
        <v/>
      </c>
      <c r="AW8" s="23" t="str">
        <f>IF(AND(ISNUMBER(VLOOKUP($A8,Rezepte,MATCH(Kalkulation!AW$5,Rezepte!$5:$5,0),0)),ISNUMBER(VLOOKUP(AW$5,Materialpreise,3,0))),VLOOKUP(AW$5,Materialpreise,3,0)*VLOOKUP($A8,Rezepte,MATCH(Kalkulation!AW$5,Rezepte!$5:$5,0),0),"")</f>
        <v/>
      </c>
      <c r="AX8" s="23" t="str">
        <f>IF(AND(ISNUMBER(VLOOKUP($A8,Rezepte,MATCH(Kalkulation!AX$5,Rezepte!$5:$5,0),0)),ISNUMBER(VLOOKUP(AX$5,Materialpreise,3,0))),VLOOKUP(AX$5,Materialpreise,3,0)*VLOOKUP($A8,Rezepte,MATCH(Kalkulation!AX$5,Rezepte!$5:$5,0),0),"")</f>
        <v/>
      </c>
      <c r="AY8" s="23" t="str">
        <f>IF(AND(ISNUMBER(VLOOKUP($A8,Rezepte,MATCH(Kalkulation!AY$5,Rezepte!$5:$5,0),0)),ISNUMBER(VLOOKUP(AY$5,Materialpreise,3,0))),VLOOKUP(AY$5,Materialpreise,3,0)*VLOOKUP($A8,Rezepte,MATCH(Kalkulation!AY$5,Rezepte!$5:$5,0),0),"")</f>
        <v/>
      </c>
      <c r="AZ8" s="23" t="str">
        <f>IF(AND(ISNUMBER(VLOOKUP($A8,Rezepte,MATCH(Kalkulation!AZ$5,Rezepte!$5:$5,0),0)),ISNUMBER(VLOOKUP(AZ$5,Materialpreise,3,0))),VLOOKUP(AZ$5,Materialpreise,3,0)*VLOOKUP($A8,Rezepte,MATCH(Kalkulation!AZ$5,Rezepte!$5:$5,0),0),"")</f>
        <v/>
      </c>
      <c r="BA8" s="23" t="str">
        <f>IF(AND(ISNUMBER(VLOOKUP($A8,Rezepte,MATCH(Kalkulation!BA$5,Rezepte!$5:$5,0),0)),ISNUMBER(VLOOKUP(BA$5,Materialpreise,3,0))),VLOOKUP(BA$5,Materialpreise,3,0)*VLOOKUP($A8,Rezepte,MATCH(Kalkulation!BA$5,Rezepte!$5:$5,0),0),"")</f>
        <v/>
      </c>
    </row>
    <row r="9" spans="1:53" x14ac:dyDescent="0.25">
      <c r="A9" t="str">
        <f t="array" ref="A9">IFERROR(INDEX(Rezepte!$A$6:$A$100,MATCH(1,(COUNTIF(A$6:A8,Rezepte!A$6:A$100)=0)*(Rezepte!A$6:A$100&lt;&gt;""),0)),"")</f>
        <v>Speckbrot</v>
      </c>
      <c r="B9" s="23">
        <f t="shared" si="0"/>
        <v>0.70970957575757576</v>
      </c>
      <c r="C9" s="23">
        <f t="shared" si="1"/>
        <v>0.70970957575757576</v>
      </c>
      <c r="D9" s="23" t="str">
        <f>IF(AND(ISNUMBER(VLOOKUP($A9,Rezepte,MATCH(Kalkulation!D$5,Rezepte!$5:$5,0),0)),ISNUMBER(VLOOKUP(D$5,Materialpreise,3,0))),VLOOKUP(D$5,Materialpreise,3,0)*VLOOKUP($A9,Rezepte,MATCH(Kalkulation!D$5,Rezepte!$5:$5,0),0),"")</f>
        <v/>
      </c>
      <c r="E9" s="23" t="str">
        <f>IF(AND(ISNUMBER(VLOOKUP($A9,Rezepte,MATCH(Kalkulation!E$5,Rezepte!$5:$5,0),0)),ISNUMBER(VLOOKUP(E$5,Materialpreise,3,0))),VLOOKUP(E$5,Materialpreise,3,0)*VLOOKUP($A9,Rezepte,MATCH(Kalkulation!E$5,Rezepte!$5:$5,0),0),"")</f>
        <v/>
      </c>
      <c r="F9" s="23" t="str">
        <f>IF(AND(ISNUMBER(VLOOKUP($A9,Rezepte,MATCH(Kalkulation!F$5,Rezepte!$5:$5,0),0)),ISNUMBER(VLOOKUP(F$5,Materialpreise,3,0))),VLOOKUP(F$5,Materialpreise,3,0)*VLOOKUP($A9,Rezepte,MATCH(Kalkulation!F$5,Rezepte!$5:$5,0),0),"")</f>
        <v/>
      </c>
      <c r="G9" s="23" t="str">
        <f>IF(AND(ISNUMBER(VLOOKUP($A9,Rezepte,MATCH(Kalkulation!G$5,Rezepte!$5:$5,0),0)),ISNUMBER(VLOOKUP(G$5,Materialpreise,3,0))),VLOOKUP(G$5,Materialpreise,3,0)*VLOOKUP($A9,Rezepte,MATCH(Kalkulation!G$5,Rezepte!$5:$5,0),0),"")</f>
        <v/>
      </c>
      <c r="H9" s="23" t="str">
        <f>IF(AND(ISNUMBER(VLOOKUP($A9,Rezepte,MATCH(Kalkulation!H$5,Rezepte!$5:$5,0),0)),ISNUMBER(VLOOKUP(H$5,Materialpreise,3,0))),VLOOKUP(H$5,Materialpreise,3,0)*VLOOKUP($A9,Rezepte,MATCH(Kalkulation!H$5,Rezepte!$5:$5,0),0),"")</f>
        <v/>
      </c>
      <c r="I9" s="23">
        <f>IF(AND(ISNUMBER(VLOOKUP($A9,Rezepte,MATCH(Kalkulation!I$5,Rezepte!$5:$5,0),0)),ISNUMBER(VLOOKUP(I$5,Materialpreise,3,0))),VLOOKUP(I$5,Materialpreise,3,0)*VLOOKUP($A9,Rezepte,MATCH(Kalkulation!I$5,Rezepte!$5:$5,0),0),"")</f>
        <v>0.32557575757575763</v>
      </c>
      <c r="J9" s="23" t="str">
        <f>IF(AND(ISNUMBER(VLOOKUP($A9,Rezepte,MATCH(Kalkulation!J$5,Rezepte!$5:$5,0),0)),ISNUMBER(VLOOKUP(J$5,Materialpreise,3,0))),VLOOKUP(J$5,Materialpreise,3,0)*VLOOKUP($A9,Rezepte,MATCH(Kalkulation!J$5,Rezepte!$5:$5,0),0),"")</f>
        <v/>
      </c>
      <c r="K9" s="23">
        <f>IF(AND(ISNUMBER(VLOOKUP($A9,Rezepte,MATCH(Kalkulation!K$5,Rezepte!$5:$5,0),0)),ISNUMBER(VLOOKUP(K$5,Materialpreise,3,0))),VLOOKUP(K$5,Materialpreise,3,0)*VLOOKUP($A9,Rezepte,MATCH(Kalkulation!K$5,Rezepte!$5:$5,0),0),"")</f>
        <v>5.5199999999999997E-4</v>
      </c>
      <c r="L9" s="23" t="str">
        <f>IF(AND(ISNUMBER(VLOOKUP($A9,Rezepte,MATCH(Kalkulation!L$5,Rezepte!$5:$5,0),0)),ISNUMBER(VLOOKUP(L$5,Materialpreise,3,0))),VLOOKUP(L$5,Materialpreise,3,0)*VLOOKUP($A9,Rezepte,MATCH(Kalkulation!L$5,Rezepte!$5:$5,0),0),"")</f>
        <v/>
      </c>
      <c r="M9" s="23">
        <f>IF(AND(ISNUMBER(VLOOKUP($A9,Rezepte,MATCH(Kalkulation!M$5,Rezepte!$5:$5,0),0)),ISNUMBER(VLOOKUP(M$5,Materialpreise,3,0))),VLOOKUP(M$5,Materialpreise,3,0)*VLOOKUP($A9,Rezepte,MATCH(Kalkulation!M$5,Rezepte!$5:$5,0),0),"")</f>
        <v>0.10341818181818184</v>
      </c>
      <c r="N9" s="23">
        <f>IF(AND(ISNUMBER(VLOOKUP($A9,Rezepte,MATCH(Kalkulation!N$5,Rezepte!$5:$5,0),0)),ISNUMBER(VLOOKUP(N$5,Materialpreise,3,0))),VLOOKUP(N$5,Materialpreise,3,0)*VLOOKUP($A9,Rezepte,MATCH(Kalkulation!N$5,Rezepte!$5:$5,0),0),"")</f>
        <v>9.1999999999999998E-2</v>
      </c>
      <c r="O9" s="23">
        <f>IF(AND(ISNUMBER(VLOOKUP($A9,Rezepte,MATCH(Kalkulation!O$5,Rezepte!$5:$5,0),0)),ISNUMBER(VLOOKUP(O$5,Materialpreise,3,0))),VLOOKUP(O$5,Materialpreise,3,0)*VLOOKUP($A9,Rezepte,MATCH(Kalkulation!O$5,Rezepte!$5:$5,0),0),"")</f>
        <v>2.0109090909090906E-2</v>
      </c>
      <c r="P9" s="23">
        <f>IF(AND(ISNUMBER(VLOOKUP($A9,Rezepte,MATCH(Kalkulation!P$5,Rezepte!$5:$5,0),0)),ISNUMBER(VLOOKUP(P$5,Materialpreise,3,0))),VLOOKUP(P$5,Materialpreise,3,0)*VLOOKUP($A9,Rezepte,MATCH(Kalkulation!P$5,Rezepte!$5:$5,0),0),"")</f>
        <v>4.1175757575757581E-2</v>
      </c>
      <c r="Q9" s="23" t="str">
        <f>IF(AND(ISNUMBER(VLOOKUP($A9,Rezepte,MATCH(Kalkulation!Q$5,Rezepte!$5:$5,0),0)),ISNUMBER(VLOOKUP(Q$5,Materialpreise,3,0))),VLOOKUP(Q$5,Materialpreise,3,0)*VLOOKUP($A9,Rezepte,MATCH(Kalkulation!Q$5,Rezepte!$5:$5,0),0),"")</f>
        <v/>
      </c>
      <c r="R9" s="23">
        <f>IF(AND(ISNUMBER(VLOOKUP($A9,Rezepte,MATCH(Kalkulation!R$5,Rezepte!$5:$5,0),0)),ISNUMBER(VLOOKUP(R$5,Materialpreise,3,0))),VLOOKUP(R$5,Materialpreise,3,0)*VLOOKUP($A9,Rezepte,MATCH(Kalkulation!R$5,Rezepte!$5:$5,0),0),"")</f>
        <v>0.1268787878787879</v>
      </c>
      <c r="S9" s="23" t="str">
        <f>IF(AND(ISNUMBER(VLOOKUP($A9,Rezepte,MATCH(Kalkulation!S$5,Rezepte!$5:$5,0),0)),ISNUMBER(VLOOKUP(S$5,Materialpreise,3,0))),VLOOKUP(S$5,Materialpreise,3,0)*VLOOKUP($A9,Rezepte,MATCH(Kalkulation!S$5,Rezepte!$5:$5,0),0),"")</f>
        <v/>
      </c>
      <c r="T9" s="23" t="str">
        <f>IF(AND(ISNUMBER(VLOOKUP($A9,Rezepte,MATCH(Kalkulation!T$5,Rezepte!$5:$5,0),0)),ISNUMBER(VLOOKUP(T$5,Materialpreise,3,0))),VLOOKUP(T$5,Materialpreise,3,0)*VLOOKUP($A9,Rezepte,MATCH(Kalkulation!T$5,Rezepte!$5:$5,0),0),"")</f>
        <v/>
      </c>
      <c r="U9" s="23" t="str">
        <f>IF(AND(ISNUMBER(VLOOKUP($A9,Rezepte,MATCH(Kalkulation!U$5,Rezepte!$5:$5,0),0)),ISNUMBER(VLOOKUP(U$5,Materialpreise,3,0))),VLOOKUP(U$5,Materialpreise,3,0)*VLOOKUP($A9,Rezepte,MATCH(Kalkulation!U$5,Rezepte!$5:$5,0),0),"")</f>
        <v/>
      </c>
      <c r="V9" s="23" t="str">
        <f>IF(AND(ISNUMBER(VLOOKUP($A9,Rezepte,MATCH(Kalkulation!V$5,Rezepte!$5:$5,0),0)),ISNUMBER(VLOOKUP(V$5,Materialpreise,3,0))),VLOOKUP(V$5,Materialpreise,3,0)*VLOOKUP($A9,Rezepte,MATCH(Kalkulation!V$5,Rezepte!$5:$5,0),0),"")</f>
        <v/>
      </c>
      <c r="W9" s="23" t="str">
        <f>IF(AND(ISNUMBER(VLOOKUP($A9,Rezepte,MATCH(Kalkulation!W$5,Rezepte!$5:$5,0),0)),ISNUMBER(VLOOKUP(W$5,Materialpreise,3,0))),VLOOKUP(W$5,Materialpreise,3,0)*VLOOKUP($A9,Rezepte,MATCH(Kalkulation!W$5,Rezepte!$5:$5,0),0),"")</f>
        <v/>
      </c>
      <c r="X9" s="23" t="str">
        <f>IF(AND(ISNUMBER(VLOOKUP($A9,Rezepte,MATCH(Kalkulation!X$5,Rezepte!$5:$5,0),0)),ISNUMBER(VLOOKUP(X$5,Materialpreise,3,0))),VLOOKUP(X$5,Materialpreise,3,0)*VLOOKUP($A9,Rezepte,MATCH(Kalkulation!X$5,Rezepte!$5:$5,0),0),"")</f>
        <v/>
      </c>
      <c r="Y9" s="23" t="str">
        <f>IF(AND(ISNUMBER(VLOOKUP($A9,Rezepte,MATCH(Kalkulation!Y$5,Rezepte!$5:$5,0),0)),ISNUMBER(VLOOKUP(Y$5,Materialpreise,3,0))),VLOOKUP(Y$5,Materialpreise,3,0)*VLOOKUP($A9,Rezepte,MATCH(Kalkulation!Y$5,Rezepte!$5:$5,0),0),"")</f>
        <v/>
      </c>
      <c r="Z9" s="23" t="str">
        <f>IF(AND(ISNUMBER(VLOOKUP($A9,Rezepte,MATCH(Kalkulation!Z$5,Rezepte!$5:$5,0),0)),ISNUMBER(VLOOKUP(Z$5,Materialpreise,3,0))),VLOOKUP(Z$5,Materialpreise,3,0)*VLOOKUP($A9,Rezepte,MATCH(Kalkulation!Z$5,Rezepte!$5:$5,0),0),"")</f>
        <v/>
      </c>
      <c r="AA9" s="23" t="str">
        <f>IF(AND(ISNUMBER(VLOOKUP($A9,Rezepte,MATCH(Kalkulation!AA$5,Rezepte!$5:$5,0),0)),ISNUMBER(VLOOKUP(AA$5,Materialpreise,3,0))),VLOOKUP(AA$5,Materialpreise,3,0)*VLOOKUP($A9,Rezepte,MATCH(Kalkulation!AA$5,Rezepte!$5:$5,0),0),"")</f>
        <v/>
      </c>
      <c r="AB9" s="23" t="str">
        <f>IF(AND(ISNUMBER(VLOOKUP($A9,Rezepte,MATCH(Kalkulation!AB$5,Rezepte!$5:$5,0),0)),ISNUMBER(VLOOKUP(AB$5,Materialpreise,3,0))),VLOOKUP(AB$5,Materialpreise,3,0)*VLOOKUP($A9,Rezepte,MATCH(Kalkulation!AB$5,Rezepte!$5:$5,0),0),"")</f>
        <v/>
      </c>
      <c r="AC9" s="23" t="str">
        <f>IF(AND(ISNUMBER(VLOOKUP($A9,Rezepte,MATCH(Kalkulation!AC$5,Rezepte!$5:$5,0),0)),ISNUMBER(VLOOKUP(AC$5,Materialpreise,3,0))),VLOOKUP(AC$5,Materialpreise,3,0)*VLOOKUP($A9,Rezepte,MATCH(Kalkulation!AC$5,Rezepte!$5:$5,0),0),"")</f>
        <v/>
      </c>
      <c r="AD9" s="23" t="str">
        <f>IF(AND(ISNUMBER(VLOOKUP($A9,Rezepte,MATCH(Kalkulation!AD$5,Rezepte!$5:$5,0),0)),ISNUMBER(VLOOKUP(AD$5,Materialpreise,3,0))),VLOOKUP(AD$5,Materialpreise,3,0)*VLOOKUP($A9,Rezepte,MATCH(Kalkulation!AD$5,Rezepte!$5:$5,0),0),"")</f>
        <v/>
      </c>
      <c r="AE9" s="23" t="str">
        <f>IF(AND(ISNUMBER(VLOOKUP($A9,Rezepte,MATCH(Kalkulation!AE$5,Rezepte!$5:$5,0),0)),ISNUMBER(VLOOKUP(AE$5,Materialpreise,3,0))),VLOOKUP(AE$5,Materialpreise,3,0)*VLOOKUP($A9,Rezepte,MATCH(Kalkulation!AE$5,Rezepte!$5:$5,0),0),"")</f>
        <v/>
      </c>
      <c r="AF9" s="23" t="str">
        <f>IF(AND(ISNUMBER(VLOOKUP($A9,Rezepte,MATCH(Kalkulation!AF$5,Rezepte!$5:$5,0),0)),ISNUMBER(VLOOKUP(AF$5,Materialpreise,3,0))),VLOOKUP(AF$5,Materialpreise,3,0)*VLOOKUP($A9,Rezepte,MATCH(Kalkulation!AF$5,Rezepte!$5:$5,0),0),"")</f>
        <v/>
      </c>
      <c r="AG9" s="23" t="str">
        <f>IF(AND(ISNUMBER(VLOOKUP($A9,Rezepte,MATCH(Kalkulation!AG$5,Rezepte!$5:$5,0),0)),ISNUMBER(VLOOKUP(AG$5,Materialpreise,3,0))),VLOOKUP(AG$5,Materialpreise,3,0)*VLOOKUP($A9,Rezepte,MATCH(Kalkulation!AG$5,Rezepte!$5:$5,0),0),"")</f>
        <v/>
      </c>
      <c r="AH9" s="23" t="str">
        <f>IF(AND(ISNUMBER(VLOOKUP($A9,Rezepte,MATCH(Kalkulation!AH$5,Rezepte!$5:$5,0),0)),ISNUMBER(VLOOKUP(AH$5,Materialpreise,3,0))),VLOOKUP(AH$5,Materialpreise,3,0)*VLOOKUP($A9,Rezepte,MATCH(Kalkulation!AH$5,Rezepte!$5:$5,0),0),"")</f>
        <v/>
      </c>
      <c r="AI9" s="23" t="str">
        <f>IF(AND(ISNUMBER(VLOOKUP($A9,Rezepte,MATCH(Kalkulation!AI$5,Rezepte!$5:$5,0),0)),ISNUMBER(VLOOKUP(AI$5,Materialpreise,3,0))),VLOOKUP(AI$5,Materialpreise,3,0)*VLOOKUP($A9,Rezepte,MATCH(Kalkulation!AI$5,Rezepte!$5:$5,0),0),"")</f>
        <v/>
      </c>
      <c r="AJ9" s="23" t="str">
        <f>IF(AND(ISNUMBER(VLOOKUP($A9,Rezepte,MATCH(Kalkulation!AJ$5,Rezepte!$5:$5,0),0)),ISNUMBER(VLOOKUP(AJ$5,Materialpreise,3,0))),VLOOKUP(AJ$5,Materialpreise,3,0)*VLOOKUP($A9,Rezepte,MATCH(Kalkulation!AJ$5,Rezepte!$5:$5,0),0),"")</f>
        <v/>
      </c>
      <c r="AK9" s="23" t="str">
        <f>IF(AND(ISNUMBER(VLOOKUP($A9,Rezepte,MATCH(Kalkulation!AK$5,Rezepte!$5:$5,0),0)),ISNUMBER(VLOOKUP(AK$5,Materialpreise,3,0))),VLOOKUP(AK$5,Materialpreise,3,0)*VLOOKUP($A9,Rezepte,MATCH(Kalkulation!AK$5,Rezepte!$5:$5,0),0),"")</f>
        <v/>
      </c>
      <c r="AL9" s="23" t="str">
        <f>IF(AND(ISNUMBER(VLOOKUP($A9,Rezepte,MATCH(Kalkulation!AL$5,Rezepte!$5:$5,0),0)),ISNUMBER(VLOOKUP(AL$5,Materialpreise,3,0))),VLOOKUP(AL$5,Materialpreise,3,0)*VLOOKUP($A9,Rezepte,MATCH(Kalkulation!AL$5,Rezepte!$5:$5,0),0),"")</f>
        <v/>
      </c>
      <c r="AM9" s="23" t="str">
        <f>IF(AND(ISNUMBER(VLOOKUP($A9,Rezepte,MATCH(Kalkulation!AM$5,Rezepte!$5:$5,0),0)),ISNUMBER(VLOOKUP(AM$5,Materialpreise,3,0))),VLOOKUP(AM$5,Materialpreise,3,0)*VLOOKUP($A9,Rezepte,MATCH(Kalkulation!AM$5,Rezepte!$5:$5,0),0),"")</f>
        <v/>
      </c>
      <c r="AN9" s="23" t="str">
        <f>IF(AND(ISNUMBER(VLOOKUP($A9,Rezepte,MATCH(Kalkulation!AN$5,Rezepte!$5:$5,0),0)),ISNUMBER(VLOOKUP(AN$5,Materialpreise,3,0))),VLOOKUP(AN$5,Materialpreise,3,0)*VLOOKUP($A9,Rezepte,MATCH(Kalkulation!AN$5,Rezepte!$5:$5,0),0),"")</f>
        <v/>
      </c>
      <c r="AO9" s="23" t="str">
        <f>IF(AND(ISNUMBER(VLOOKUP($A9,Rezepte,MATCH(Kalkulation!AO$5,Rezepte!$5:$5,0),0)),ISNUMBER(VLOOKUP(AO$5,Materialpreise,3,0))),VLOOKUP(AO$5,Materialpreise,3,0)*VLOOKUP($A9,Rezepte,MATCH(Kalkulation!AO$5,Rezepte!$5:$5,0),0),"")</f>
        <v/>
      </c>
      <c r="AP9" s="23" t="str">
        <f>IF(AND(ISNUMBER(VLOOKUP($A9,Rezepte,MATCH(Kalkulation!AP$5,Rezepte!$5:$5,0),0)),ISNUMBER(VLOOKUP(AP$5,Materialpreise,3,0))),VLOOKUP(AP$5,Materialpreise,3,0)*VLOOKUP($A9,Rezepte,MATCH(Kalkulation!AP$5,Rezepte!$5:$5,0),0),"")</f>
        <v/>
      </c>
      <c r="AQ9" s="23" t="str">
        <f>IF(AND(ISNUMBER(VLOOKUP($A9,Rezepte,MATCH(Kalkulation!AQ$5,Rezepte!$5:$5,0),0)),ISNUMBER(VLOOKUP(AQ$5,Materialpreise,3,0))),VLOOKUP(AQ$5,Materialpreise,3,0)*VLOOKUP($A9,Rezepte,MATCH(Kalkulation!AQ$5,Rezepte!$5:$5,0),0),"")</f>
        <v/>
      </c>
      <c r="AR9" s="23" t="str">
        <f>IF(AND(ISNUMBER(VLOOKUP($A9,Rezepte,MATCH(Kalkulation!AR$5,Rezepte!$5:$5,0),0)),ISNUMBER(VLOOKUP(AR$5,Materialpreise,3,0))),VLOOKUP(AR$5,Materialpreise,3,0)*VLOOKUP($A9,Rezepte,MATCH(Kalkulation!AR$5,Rezepte!$5:$5,0),0),"")</f>
        <v/>
      </c>
      <c r="AS9" s="23" t="str">
        <f>IF(AND(ISNUMBER(VLOOKUP($A9,Rezepte,MATCH(Kalkulation!AS$5,Rezepte!$5:$5,0),0)),ISNUMBER(VLOOKUP(AS$5,Materialpreise,3,0))),VLOOKUP(AS$5,Materialpreise,3,0)*VLOOKUP($A9,Rezepte,MATCH(Kalkulation!AS$5,Rezepte!$5:$5,0),0),"")</f>
        <v/>
      </c>
      <c r="AT9" s="23" t="str">
        <f>IF(AND(ISNUMBER(VLOOKUP($A9,Rezepte,MATCH(Kalkulation!AT$5,Rezepte!$5:$5,0),0)),ISNUMBER(VLOOKUP(AT$5,Materialpreise,3,0))),VLOOKUP(AT$5,Materialpreise,3,0)*VLOOKUP($A9,Rezepte,MATCH(Kalkulation!AT$5,Rezepte!$5:$5,0),0),"")</f>
        <v/>
      </c>
      <c r="AU9" s="23" t="str">
        <f>IF(AND(ISNUMBER(VLOOKUP($A9,Rezepte,MATCH(Kalkulation!AU$5,Rezepte!$5:$5,0),0)),ISNUMBER(VLOOKUP(AU$5,Materialpreise,3,0))),VLOOKUP(AU$5,Materialpreise,3,0)*VLOOKUP($A9,Rezepte,MATCH(Kalkulation!AU$5,Rezepte!$5:$5,0),0),"")</f>
        <v/>
      </c>
      <c r="AV9" s="23" t="str">
        <f>IF(AND(ISNUMBER(VLOOKUP($A9,Rezepte,MATCH(Kalkulation!AV$5,Rezepte!$5:$5,0),0)),ISNUMBER(VLOOKUP(AV$5,Materialpreise,3,0))),VLOOKUP(AV$5,Materialpreise,3,0)*VLOOKUP($A9,Rezepte,MATCH(Kalkulation!AV$5,Rezepte!$5:$5,0),0),"")</f>
        <v/>
      </c>
      <c r="AW9" s="23" t="str">
        <f>IF(AND(ISNUMBER(VLOOKUP($A9,Rezepte,MATCH(Kalkulation!AW$5,Rezepte!$5:$5,0),0)),ISNUMBER(VLOOKUP(AW$5,Materialpreise,3,0))),VLOOKUP(AW$5,Materialpreise,3,0)*VLOOKUP($A9,Rezepte,MATCH(Kalkulation!AW$5,Rezepte!$5:$5,0),0),"")</f>
        <v/>
      </c>
      <c r="AX9" s="23" t="str">
        <f>IF(AND(ISNUMBER(VLOOKUP($A9,Rezepte,MATCH(Kalkulation!AX$5,Rezepte!$5:$5,0),0)),ISNUMBER(VLOOKUP(AX$5,Materialpreise,3,0))),VLOOKUP(AX$5,Materialpreise,3,0)*VLOOKUP($A9,Rezepte,MATCH(Kalkulation!AX$5,Rezepte!$5:$5,0),0),"")</f>
        <v/>
      </c>
      <c r="AY9" s="23" t="str">
        <f>IF(AND(ISNUMBER(VLOOKUP($A9,Rezepte,MATCH(Kalkulation!AY$5,Rezepte!$5:$5,0),0)),ISNUMBER(VLOOKUP(AY$5,Materialpreise,3,0))),VLOOKUP(AY$5,Materialpreise,3,0)*VLOOKUP($A9,Rezepte,MATCH(Kalkulation!AY$5,Rezepte!$5:$5,0),0),"")</f>
        <v/>
      </c>
      <c r="AZ9" s="23" t="str">
        <f>IF(AND(ISNUMBER(VLOOKUP($A9,Rezepte,MATCH(Kalkulation!AZ$5,Rezepte!$5:$5,0),0)),ISNUMBER(VLOOKUP(AZ$5,Materialpreise,3,0))),VLOOKUP(AZ$5,Materialpreise,3,0)*VLOOKUP($A9,Rezepte,MATCH(Kalkulation!AZ$5,Rezepte!$5:$5,0),0),"")</f>
        <v/>
      </c>
      <c r="BA9" s="23" t="str">
        <f>IF(AND(ISNUMBER(VLOOKUP($A9,Rezepte,MATCH(Kalkulation!BA$5,Rezepte!$5:$5,0),0)),ISNUMBER(VLOOKUP(BA$5,Materialpreise,3,0))),VLOOKUP(BA$5,Materialpreise,3,0)*VLOOKUP($A9,Rezepte,MATCH(Kalkulation!BA$5,Rezepte!$5:$5,0),0),"")</f>
        <v/>
      </c>
    </row>
    <row r="10" spans="1:53" x14ac:dyDescent="0.25">
      <c r="A10" t="str">
        <f t="array" ref="A10">IFERROR(INDEX(Rezepte!$A$6:$A$100,MATCH(1,(COUNTIF(A$6:A9,Rezepte!A$6:A$100)=0)*(Rezepte!A$6:A$100&lt;&gt;""),0)),"")</f>
        <v>Roggen-Vollkornbrot</v>
      </c>
      <c r="B10" s="23">
        <f t="shared" si="0"/>
        <v>0.75450778117647055</v>
      </c>
      <c r="C10" s="23">
        <f t="shared" si="1"/>
        <v>0.75450778117647055</v>
      </c>
      <c r="D10" s="23" t="str">
        <f>IF(AND(ISNUMBER(VLOOKUP($A10,Rezepte,MATCH(Kalkulation!D$5,Rezepte!$5:$5,0),0)),ISNUMBER(VLOOKUP(D$5,Materialpreise,3,0))),VLOOKUP(D$5,Materialpreise,3,0)*VLOOKUP($A10,Rezepte,MATCH(Kalkulation!D$5,Rezepte!$5:$5,0),0),"")</f>
        <v/>
      </c>
      <c r="E10" s="23" t="str">
        <f>IF(AND(ISNUMBER(VLOOKUP($A10,Rezepte,MATCH(Kalkulation!E$5,Rezepte!$5:$5,0),0)),ISNUMBER(VLOOKUP(E$5,Materialpreise,3,0))),VLOOKUP(E$5,Materialpreise,3,0)*VLOOKUP($A10,Rezepte,MATCH(Kalkulation!E$5,Rezepte!$5:$5,0),0),"")</f>
        <v/>
      </c>
      <c r="F10" s="23" t="str">
        <f>IF(AND(ISNUMBER(VLOOKUP($A10,Rezepte,MATCH(Kalkulation!F$5,Rezepte!$5:$5,0),0)),ISNUMBER(VLOOKUP(F$5,Materialpreise,3,0))),VLOOKUP(F$5,Materialpreise,3,0)*VLOOKUP($A10,Rezepte,MATCH(Kalkulation!F$5,Rezepte!$5:$5,0),0),"")</f>
        <v/>
      </c>
      <c r="G10" s="23" t="str">
        <f>IF(AND(ISNUMBER(VLOOKUP($A10,Rezepte,MATCH(Kalkulation!G$5,Rezepte!$5:$5,0),0)),ISNUMBER(VLOOKUP(G$5,Materialpreise,3,0))),VLOOKUP(G$5,Materialpreise,3,0)*VLOOKUP($A10,Rezepte,MATCH(Kalkulation!G$5,Rezepte!$5:$5,0),0),"")</f>
        <v/>
      </c>
      <c r="H10" s="23" t="str">
        <f>IF(AND(ISNUMBER(VLOOKUP($A10,Rezepte,MATCH(Kalkulation!H$5,Rezepte!$5:$5,0),0)),ISNUMBER(VLOOKUP(H$5,Materialpreise,3,0))),VLOOKUP(H$5,Materialpreise,3,0)*VLOOKUP($A10,Rezepte,MATCH(Kalkulation!H$5,Rezepte!$5:$5,0),0),"")</f>
        <v/>
      </c>
      <c r="I10" s="23">
        <f>IF(AND(ISNUMBER(VLOOKUP($A10,Rezepte,MATCH(Kalkulation!I$5,Rezepte!$5:$5,0),0)),ISNUMBER(VLOOKUP(I$5,Materialpreise,3,0))),VLOOKUP(I$5,Materialpreise,3,0)*VLOOKUP($A10,Rezepte,MATCH(Kalkulation!I$5,Rezepte!$5:$5,0),0),"")</f>
        <v>0.3256</v>
      </c>
      <c r="J10" s="23" t="str">
        <f>IF(AND(ISNUMBER(VLOOKUP($A10,Rezepte,MATCH(Kalkulation!J$5,Rezepte!$5:$5,0),0)),ISNUMBER(VLOOKUP(J$5,Materialpreise,3,0))),VLOOKUP(J$5,Materialpreise,3,0)*VLOOKUP($A10,Rezepte,MATCH(Kalkulation!J$5,Rezepte!$5:$5,0),0),"")</f>
        <v/>
      </c>
      <c r="K10" s="23">
        <f>IF(AND(ISNUMBER(VLOOKUP($A10,Rezepte,MATCH(Kalkulation!K$5,Rezepte!$5:$5,0),0)),ISNUMBER(VLOOKUP(K$5,Materialpreise,3,0))),VLOOKUP(K$5,Materialpreise,3,0)*VLOOKUP($A10,Rezepte,MATCH(Kalkulation!K$5,Rezepte!$5:$5,0),0),"")</f>
        <v>5.5160470588235292E-4</v>
      </c>
      <c r="L10" s="23" t="str">
        <f>IF(AND(ISNUMBER(VLOOKUP($A10,Rezepte,MATCH(Kalkulation!L$5,Rezepte!$5:$5,0),0)),ISNUMBER(VLOOKUP(L$5,Materialpreise,3,0))),VLOOKUP(L$5,Materialpreise,3,0)*VLOOKUP($A10,Rezepte,MATCH(Kalkulation!L$5,Rezepte!$5:$5,0),0),"")</f>
        <v/>
      </c>
      <c r="M10" s="23">
        <f>IF(AND(ISNUMBER(VLOOKUP($A10,Rezepte,MATCH(Kalkulation!M$5,Rezepte!$5:$5,0),0)),ISNUMBER(VLOOKUP(M$5,Materialpreise,3,0))),VLOOKUP(M$5,Materialpreise,3,0)*VLOOKUP($A10,Rezepte,MATCH(Kalkulation!M$5,Rezepte!$5:$5,0),0),"")</f>
        <v>6.8950588235294125E-2</v>
      </c>
      <c r="N10" s="23" t="str">
        <f>IF(AND(ISNUMBER(VLOOKUP($A10,Rezepte,MATCH(Kalkulation!N$5,Rezepte!$5:$5,0),0)),ISNUMBER(VLOOKUP(N$5,Materialpreise,3,0))),VLOOKUP(N$5,Materialpreise,3,0)*VLOOKUP($A10,Rezepte,MATCH(Kalkulation!N$5,Rezepte!$5:$5,0),0),"")</f>
        <v/>
      </c>
      <c r="O10" s="23">
        <f>IF(AND(ISNUMBER(VLOOKUP($A10,Rezepte,MATCH(Kalkulation!O$5,Rezepte!$5:$5,0),0)),ISNUMBER(VLOOKUP(O$5,Materialpreise,3,0))),VLOOKUP(O$5,Materialpreise,3,0)*VLOOKUP($A10,Rezepte,MATCH(Kalkulation!O$5,Rezepte!$5:$5,0),0),"")</f>
        <v>2.0110588235294116E-2</v>
      </c>
      <c r="P10" s="23">
        <f>IF(AND(ISNUMBER(VLOOKUP($A10,Rezepte,MATCH(Kalkulation!P$5,Rezepte!$5:$5,0),0)),ISNUMBER(VLOOKUP(P$5,Materialpreise,3,0))),VLOOKUP(P$5,Materialpreise,3,0)*VLOOKUP($A10,Rezepte,MATCH(Kalkulation!P$5,Rezepte!$5:$5,0),0),"")</f>
        <v>4.1178823529411761E-2</v>
      </c>
      <c r="Q10" s="23" t="str">
        <f>IF(AND(ISNUMBER(VLOOKUP($A10,Rezepte,MATCH(Kalkulation!Q$5,Rezepte!$5:$5,0),0)),ISNUMBER(VLOOKUP(Q$5,Materialpreise,3,0))),VLOOKUP(Q$5,Materialpreise,3,0)*VLOOKUP($A10,Rezepte,MATCH(Kalkulation!Q$5,Rezepte!$5:$5,0),0),"")</f>
        <v/>
      </c>
      <c r="R10" s="23" t="str">
        <f>IF(AND(ISNUMBER(VLOOKUP($A10,Rezepte,MATCH(Kalkulation!R$5,Rezepte!$5:$5,0),0)),ISNUMBER(VLOOKUP(R$5,Materialpreise,3,0))),VLOOKUP(R$5,Materialpreise,3,0)*VLOOKUP($A10,Rezepte,MATCH(Kalkulation!R$5,Rezepte!$5:$5,0),0),"")</f>
        <v/>
      </c>
      <c r="S10" s="23">
        <f>IF(AND(ISNUMBER(VLOOKUP($A10,Rezepte,MATCH(Kalkulation!S$5,Rezepte!$5:$5,0),0)),ISNUMBER(VLOOKUP(S$5,Materialpreise,3,0))),VLOOKUP(S$5,Materialpreise,3,0)*VLOOKUP($A10,Rezepte,MATCH(Kalkulation!S$5,Rezepte!$5:$5,0),0),"")</f>
        <v>0.13790117647058825</v>
      </c>
      <c r="T10" s="23">
        <f>IF(AND(ISNUMBER(VLOOKUP($A10,Rezepte,MATCH(Kalkulation!T$5,Rezepte!$5:$5,0),0)),ISNUMBER(VLOOKUP(T$5,Materialpreise,3,0))),VLOOKUP(T$5,Materialpreise,3,0)*VLOOKUP($A10,Rezepte,MATCH(Kalkulation!T$5,Rezepte!$5:$5,0),0),"")</f>
        <v>2.3880000000000002E-2</v>
      </c>
      <c r="U10" s="23">
        <f>IF(AND(ISNUMBER(VLOOKUP($A10,Rezepte,MATCH(Kalkulation!U$5,Rezepte!$5:$5,0),0)),ISNUMBER(VLOOKUP(U$5,Materialpreise,3,0))),VLOOKUP(U$5,Materialpreise,3,0)*VLOOKUP($A10,Rezepte,MATCH(Kalkulation!U$5,Rezepte!$5:$5,0),0),"")</f>
        <v>6.7125000000000018E-2</v>
      </c>
      <c r="V10" s="23">
        <f>IF(AND(ISNUMBER(VLOOKUP($A10,Rezepte,MATCH(Kalkulation!V$5,Rezepte!$5:$5,0),0)),ISNUMBER(VLOOKUP(V$5,Materialpreise,3,0))),VLOOKUP(V$5,Materialpreise,3,0)*VLOOKUP($A10,Rezepte,MATCH(Kalkulation!V$5,Rezepte!$5:$5,0),0),"")</f>
        <v>1.5330000000000002E-2</v>
      </c>
      <c r="W10" s="23">
        <f>IF(AND(ISNUMBER(VLOOKUP($A10,Rezepte,MATCH(Kalkulation!W$5,Rezepte!$5:$5,0),0)),ISNUMBER(VLOOKUP(W$5,Materialpreise,3,0))),VLOOKUP(W$5,Materialpreise,3,0)*VLOOKUP($A10,Rezepte,MATCH(Kalkulation!W$5,Rezepte!$5:$5,0),0),"")</f>
        <v>2.1480000000000003E-2</v>
      </c>
      <c r="X10" s="23">
        <f>IF(AND(ISNUMBER(VLOOKUP($A10,Rezepte,MATCH(Kalkulation!X$5,Rezepte!$5:$5,0),0)),ISNUMBER(VLOOKUP(X$5,Materialpreise,3,0))),VLOOKUP(X$5,Materialpreise,3,0)*VLOOKUP($A10,Rezepte,MATCH(Kalkulation!X$5,Rezepte!$5:$5,0),0),"")</f>
        <v>1.7070000000000002E-2</v>
      </c>
      <c r="Y10" s="23" t="str">
        <f>IF(AND(ISNUMBER(VLOOKUP($A10,Rezepte,MATCH(Kalkulation!Y$5,Rezepte!$5:$5,0),0)),ISNUMBER(VLOOKUP(Y$5,Materialpreise,3,0))),VLOOKUP(Y$5,Materialpreise,3,0)*VLOOKUP($A10,Rezepte,MATCH(Kalkulation!Y$5,Rezepte!$5:$5,0),0),"")</f>
        <v/>
      </c>
      <c r="Z10" s="23" t="str">
        <f>IF(AND(ISNUMBER(VLOOKUP($A10,Rezepte,MATCH(Kalkulation!Z$5,Rezepte!$5:$5,0),0)),ISNUMBER(VLOOKUP(Z$5,Materialpreise,3,0))),VLOOKUP(Z$5,Materialpreise,3,0)*VLOOKUP($A10,Rezepte,MATCH(Kalkulation!Z$5,Rezepte!$5:$5,0),0),"")</f>
        <v/>
      </c>
      <c r="AA10" s="23" t="str">
        <f>IF(AND(ISNUMBER(VLOOKUP($A10,Rezepte,MATCH(Kalkulation!AA$5,Rezepte!$5:$5,0),0)),ISNUMBER(VLOOKUP(AA$5,Materialpreise,3,0))),VLOOKUP(AA$5,Materialpreise,3,0)*VLOOKUP($A10,Rezepte,MATCH(Kalkulation!AA$5,Rezepte!$5:$5,0),0),"")</f>
        <v/>
      </c>
      <c r="AB10" s="23" t="str">
        <f>IF(AND(ISNUMBER(VLOOKUP($A10,Rezepte,MATCH(Kalkulation!AB$5,Rezepte!$5:$5,0),0)),ISNUMBER(VLOOKUP(AB$5,Materialpreise,3,0))),VLOOKUP(AB$5,Materialpreise,3,0)*VLOOKUP($A10,Rezepte,MATCH(Kalkulation!AB$5,Rezepte!$5:$5,0),0),"")</f>
        <v/>
      </c>
      <c r="AC10" s="23" t="str">
        <f>IF(AND(ISNUMBER(VLOOKUP($A10,Rezepte,MATCH(Kalkulation!AC$5,Rezepte!$5:$5,0),0)),ISNUMBER(VLOOKUP(AC$5,Materialpreise,3,0))),VLOOKUP(AC$5,Materialpreise,3,0)*VLOOKUP($A10,Rezepte,MATCH(Kalkulation!AC$5,Rezepte!$5:$5,0),0),"")</f>
        <v/>
      </c>
      <c r="AD10" s="23">
        <f>IF(AND(ISNUMBER(VLOOKUP($A10,Rezepte,MATCH(Kalkulation!AD$5,Rezepte!$5:$5,0),0)),ISNUMBER(VLOOKUP(AD$5,Materialpreise,3,0))),VLOOKUP(AD$5,Materialpreise,3,0)*VLOOKUP($A10,Rezepte,MATCH(Kalkulation!AD$5,Rezepte!$5:$5,0),0),"")</f>
        <v>1.5330000000000002E-2</v>
      </c>
      <c r="AE10" s="23" t="str">
        <f>IF(AND(ISNUMBER(VLOOKUP($A10,Rezepte,MATCH(Kalkulation!AE$5,Rezepte!$5:$5,0),0)),ISNUMBER(VLOOKUP(AE$5,Materialpreise,3,0))),VLOOKUP(AE$5,Materialpreise,3,0)*VLOOKUP($A10,Rezepte,MATCH(Kalkulation!AE$5,Rezepte!$5:$5,0),0),"")</f>
        <v/>
      </c>
      <c r="AF10" s="23" t="str">
        <f>IF(AND(ISNUMBER(VLOOKUP($A10,Rezepte,MATCH(Kalkulation!AF$5,Rezepte!$5:$5,0),0)),ISNUMBER(VLOOKUP(AF$5,Materialpreise,3,0))),VLOOKUP(AF$5,Materialpreise,3,0)*VLOOKUP($A10,Rezepte,MATCH(Kalkulation!AF$5,Rezepte!$5:$5,0),0),"")</f>
        <v/>
      </c>
      <c r="AG10" s="23" t="str">
        <f>IF(AND(ISNUMBER(VLOOKUP($A10,Rezepte,MATCH(Kalkulation!AG$5,Rezepte!$5:$5,0),0)),ISNUMBER(VLOOKUP(AG$5,Materialpreise,3,0))),VLOOKUP(AG$5,Materialpreise,3,0)*VLOOKUP($A10,Rezepte,MATCH(Kalkulation!AG$5,Rezepte!$5:$5,0),0),"")</f>
        <v/>
      </c>
      <c r="AH10" s="23" t="str">
        <f>IF(AND(ISNUMBER(VLOOKUP($A10,Rezepte,MATCH(Kalkulation!AH$5,Rezepte!$5:$5,0),0)),ISNUMBER(VLOOKUP(AH$5,Materialpreise,3,0))),VLOOKUP(AH$5,Materialpreise,3,0)*VLOOKUP($A10,Rezepte,MATCH(Kalkulation!AH$5,Rezepte!$5:$5,0),0),"")</f>
        <v/>
      </c>
      <c r="AI10" s="23" t="str">
        <f>IF(AND(ISNUMBER(VLOOKUP($A10,Rezepte,MATCH(Kalkulation!AI$5,Rezepte!$5:$5,0),0)),ISNUMBER(VLOOKUP(AI$5,Materialpreise,3,0))),VLOOKUP(AI$5,Materialpreise,3,0)*VLOOKUP($A10,Rezepte,MATCH(Kalkulation!AI$5,Rezepte!$5:$5,0),0),"")</f>
        <v/>
      </c>
      <c r="AJ10" s="23" t="str">
        <f>IF(AND(ISNUMBER(VLOOKUP($A10,Rezepte,MATCH(Kalkulation!AJ$5,Rezepte!$5:$5,0),0)),ISNUMBER(VLOOKUP(AJ$5,Materialpreise,3,0))),VLOOKUP(AJ$5,Materialpreise,3,0)*VLOOKUP($A10,Rezepte,MATCH(Kalkulation!AJ$5,Rezepte!$5:$5,0),0),"")</f>
        <v/>
      </c>
      <c r="AK10" s="23" t="str">
        <f>IF(AND(ISNUMBER(VLOOKUP($A10,Rezepte,MATCH(Kalkulation!AK$5,Rezepte!$5:$5,0),0)),ISNUMBER(VLOOKUP(AK$5,Materialpreise,3,0))),VLOOKUP(AK$5,Materialpreise,3,0)*VLOOKUP($A10,Rezepte,MATCH(Kalkulation!AK$5,Rezepte!$5:$5,0),0),"")</f>
        <v/>
      </c>
      <c r="AL10" s="23" t="str">
        <f>IF(AND(ISNUMBER(VLOOKUP($A10,Rezepte,MATCH(Kalkulation!AL$5,Rezepte!$5:$5,0),0)),ISNUMBER(VLOOKUP(AL$5,Materialpreise,3,0))),VLOOKUP(AL$5,Materialpreise,3,0)*VLOOKUP($A10,Rezepte,MATCH(Kalkulation!AL$5,Rezepte!$5:$5,0),0),"")</f>
        <v/>
      </c>
      <c r="AM10" s="23" t="str">
        <f>IF(AND(ISNUMBER(VLOOKUP($A10,Rezepte,MATCH(Kalkulation!AM$5,Rezepte!$5:$5,0),0)),ISNUMBER(VLOOKUP(AM$5,Materialpreise,3,0))),VLOOKUP(AM$5,Materialpreise,3,0)*VLOOKUP($A10,Rezepte,MATCH(Kalkulation!AM$5,Rezepte!$5:$5,0),0),"")</f>
        <v/>
      </c>
      <c r="AN10" s="23" t="str">
        <f>IF(AND(ISNUMBER(VLOOKUP($A10,Rezepte,MATCH(Kalkulation!AN$5,Rezepte!$5:$5,0),0)),ISNUMBER(VLOOKUP(AN$5,Materialpreise,3,0))),VLOOKUP(AN$5,Materialpreise,3,0)*VLOOKUP($A10,Rezepte,MATCH(Kalkulation!AN$5,Rezepte!$5:$5,0),0),"")</f>
        <v/>
      </c>
      <c r="AO10" s="23" t="str">
        <f>IF(AND(ISNUMBER(VLOOKUP($A10,Rezepte,MATCH(Kalkulation!AO$5,Rezepte!$5:$5,0),0)),ISNUMBER(VLOOKUP(AO$5,Materialpreise,3,0))),VLOOKUP(AO$5,Materialpreise,3,0)*VLOOKUP($A10,Rezepte,MATCH(Kalkulation!AO$5,Rezepte!$5:$5,0),0),"")</f>
        <v/>
      </c>
      <c r="AP10" s="23" t="str">
        <f>IF(AND(ISNUMBER(VLOOKUP($A10,Rezepte,MATCH(Kalkulation!AP$5,Rezepte!$5:$5,0),0)),ISNUMBER(VLOOKUP(AP$5,Materialpreise,3,0))),VLOOKUP(AP$5,Materialpreise,3,0)*VLOOKUP($A10,Rezepte,MATCH(Kalkulation!AP$5,Rezepte!$5:$5,0),0),"")</f>
        <v/>
      </c>
      <c r="AQ10" s="23" t="str">
        <f>IF(AND(ISNUMBER(VLOOKUP($A10,Rezepte,MATCH(Kalkulation!AQ$5,Rezepte!$5:$5,0),0)),ISNUMBER(VLOOKUP(AQ$5,Materialpreise,3,0))),VLOOKUP(AQ$5,Materialpreise,3,0)*VLOOKUP($A10,Rezepte,MATCH(Kalkulation!AQ$5,Rezepte!$5:$5,0),0),"")</f>
        <v/>
      </c>
      <c r="AR10" s="23" t="str">
        <f>IF(AND(ISNUMBER(VLOOKUP($A10,Rezepte,MATCH(Kalkulation!AR$5,Rezepte!$5:$5,0),0)),ISNUMBER(VLOOKUP(AR$5,Materialpreise,3,0))),VLOOKUP(AR$5,Materialpreise,3,0)*VLOOKUP($A10,Rezepte,MATCH(Kalkulation!AR$5,Rezepte!$5:$5,0),0),"")</f>
        <v/>
      </c>
      <c r="AS10" s="23" t="str">
        <f>IF(AND(ISNUMBER(VLOOKUP($A10,Rezepte,MATCH(Kalkulation!AS$5,Rezepte!$5:$5,0),0)),ISNUMBER(VLOOKUP(AS$5,Materialpreise,3,0))),VLOOKUP(AS$5,Materialpreise,3,0)*VLOOKUP($A10,Rezepte,MATCH(Kalkulation!AS$5,Rezepte!$5:$5,0),0),"")</f>
        <v/>
      </c>
      <c r="AT10" s="23" t="str">
        <f>IF(AND(ISNUMBER(VLOOKUP($A10,Rezepte,MATCH(Kalkulation!AT$5,Rezepte!$5:$5,0),0)),ISNUMBER(VLOOKUP(AT$5,Materialpreise,3,0))),VLOOKUP(AT$5,Materialpreise,3,0)*VLOOKUP($A10,Rezepte,MATCH(Kalkulation!AT$5,Rezepte!$5:$5,0),0),"")</f>
        <v/>
      </c>
      <c r="AU10" s="23" t="str">
        <f>IF(AND(ISNUMBER(VLOOKUP($A10,Rezepte,MATCH(Kalkulation!AU$5,Rezepte!$5:$5,0),0)),ISNUMBER(VLOOKUP(AU$5,Materialpreise,3,0))),VLOOKUP(AU$5,Materialpreise,3,0)*VLOOKUP($A10,Rezepte,MATCH(Kalkulation!AU$5,Rezepte!$5:$5,0),0),"")</f>
        <v/>
      </c>
      <c r="AV10" s="23" t="str">
        <f>IF(AND(ISNUMBER(VLOOKUP($A10,Rezepte,MATCH(Kalkulation!AV$5,Rezepte!$5:$5,0),0)),ISNUMBER(VLOOKUP(AV$5,Materialpreise,3,0))),VLOOKUP(AV$5,Materialpreise,3,0)*VLOOKUP($A10,Rezepte,MATCH(Kalkulation!AV$5,Rezepte!$5:$5,0),0),"")</f>
        <v/>
      </c>
      <c r="AW10" s="23" t="str">
        <f>IF(AND(ISNUMBER(VLOOKUP($A10,Rezepte,MATCH(Kalkulation!AW$5,Rezepte!$5:$5,0),0)),ISNUMBER(VLOOKUP(AW$5,Materialpreise,3,0))),VLOOKUP(AW$5,Materialpreise,3,0)*VLOOKUP($A10,Rezepte,MATCH(Kalkulation!AW$5,Rezepte!$5:$5,0),0),"")</f>
        <v/>
      </c>
      <c r="AX10" s="23" t="str">
        <f>IF(AND(ISNUMBER(VLOOKUP($A10,Rezepte,MATCH(Kalkulation!AX$5,Rezepte!$5:$5,0),0)),ISNUMBER(VLOOKUP(AX$5,Materialpreise,3,0))),VLOOKUP(AX$5,Materialpreise,3,0)*VLOOKUP($A10,Rezepte,MATCH(Kalkulation!AX$5,Rezepte!$5:$5,0),0),"")</f>
        <v/>
      </c>
      <c r="AY10" s="23" t="str">
        <f>IF(AND(ISNUMBER(VLOOKUP($A10,Rezepte,MATCH(Kalkulation!AY$5,Rezepte!$5:$5,0),0)),ISNUMBER(VLOOKUP(AY$5,Materialpreise,3,0))),VLOOKUP(AY$5,Materialpreise,3,0)*VLOOKUP($A10,Rezepte,MATCH(Kalkulation!AY$5,Rezepte!$5:$5,0),0),"")</f>
        <v/>
      </c>
      <c r="AZ10" s="23" t="str">
        <f>IF(AND(ISNUMBER(VLOOKUP($A10,Rezepte,MATCH(Kalkulation!AZ$5,Rezepte!$5:$5,0),0)),ISNUMBER(VLOOKUP(AZ$5,Materialpreise,3,0))),VLOOKUP(AZ$5,Materialpreise,3,0)*VLOOKUP($A10,Rezepte,MATCH(Kalkulation!AZ$5,Rezepte!$5:$5,0),0),"")</f>
        <v/>
      </c>
      <c r="BA10" s="23" t="str">
        <f>IF(AND(ISNUMBER(VLOOKUP($A10,Rezepte,MATCH(Kalkulation!BA$5,Rezepte!$5:$5,0),0)),ISNUMBER(VLOOKUP(BA$5,Materialpreise,3,0))),VLOOKUP(BA$5,Materialpreise,3,0)*VLOOKUP($A10,Rezepte,MATCH(Kalkulation!BA$5,Rezepte!$5:$5,0),0),"")</f>
        <v/>
      </c>
    </row>
    <row r="11" spans="1:53" x14ac:dyDescent="0.25">
      <c r="A11" t="str">
        <f t="array" ref="A11">IFERROR(INDEX(Rezepte!$A$6:$A$100,MATCH(1,(COUNTIF(A$6:A10,Rezepte!A$6:A$100)=0)*(Rezepte!A$6:A$100&lt;&gt;""),0)),"")</f>
        <v>Dinkelbrötchen</v>
      </c>
      <c r="B11" s="23">
        <f t="shared" si="0"/>
        <v>5.9940496774193552E-2</v>
      </c>
      <c r="C11" s="23">
        <f t="shared" si="1"/>
        <v>5.9940496774193552E-2</v>
      </c>
      <c r="D11" s="23" t="str">
        <f>IF(AND(ISNUMBER(VLOOKUP($A11,Rezepte,MATCH(Kalkulation!D$5,Rezepte!$5:$5,0),0)),ISNUMBER(VLOOKUP(D$5,Materialpreise,3,0))),VLOOKUP(D$5,Materialpreise,3,0)*VLOOKUP($A11,Rezepte,MATCH(Kalkulation!D$5,Rezepte!$5:$5,0),0),"")</f>
        <v/>
      </c>
      <c r="E11" s="23" t="str">
        <f>IF(AND(ISNUMBER(VLOOKUP($A11,Rezepte,MATCH(Kalkulation!E$5,Rezepte!$5:$5,0),0)),ISNUMBER(VLOOKUP(E$5,Materialpreise,3,0))),VLOOKUP(E$5,Materialpreise,3,0)*VLOOKUP($A11,Rezepte,MATCH(Kalkulation!E$5,Rezepte!$5:$5,0),0),"")</f>
        <v/>
      </c>
      <c r="F11" s="23" t="str">
        <f>IF(AND(ISNUMBER(VLOOKUP($A11,Rezepte,MATCH(Kalkulation!F$5,Rezepte!$5:$5,0),0)),ISNUMBER(VLOOKUP(F$5,Materialpreise,3,0))),VLOOKUP(F$5,Materialpreise,3,0)*VLOOKUP($A11,Rezepte,MATCH(Kalkulation!F$5,Rezepte!$5:$5,0),0),"")</f>
        <v/>
      </c>
      <c r="G11" s="23" t="str">
        <f>IF(AND(ISNUMBER(VLOOKUP($A11,Rezepte,MATCH(Kalkulation!G$5,Rezepte!$5:$5,0),0)),ISNUMBER(VLOOKUP(G$5,Materialpreise,3,0))),VLOOKUP(G$5,Materialpreise,3,0)*VLOOKUP($A11,Rezepte,MATCH(Kalkulation!G$5,Rezepte!$5:$5,0),0),"")</f>
        <v/>
      </c>
      <c r="H11" s="23" t="str">
        <f>IF(AND(ISNUMBER(VLOOKUP($A11,Rezepte,MATCH(Kalkulation!H$5,Rezepte!$5:$5,0),0)),ISNUMBER(VLOOKUP(H$5,Materialpreise,3,0))),VLOOKUP(H$5,Materialpreise,3,0)*VLOOKUP($A11,Rezepte,MATCH(Kalkulation!H$5,Rezepte!$5:$5,0),0),"")</f>
        <v/>
      </c>
      <c r="I11" s="23">
        <f>IF(AND(ISNUMBER(VLOOKUP($A11,Rezepte,MATCH(Kalkulation!I$5,Rezepte!$5:$5,0),0)),ISNUMBER(VLOOKUP(I$5,Materialpreise,3,0))),VLOOKUP(I$5,Materialpreise,3,0)*VLOOKUP($A11,Rezepte,MATCH(Kalkulation!I$5,Rezepte!$5:$5,0),0),"")</f>
        <v>5.5825806451612905E-2</v>
      </c>
      <c r="J11" s="23" t="str">
        <f>IF(AND(ISNUMBER(VLOOKUP($A11,Rezepte,MATCH(Kalkulation!J$5,Rezepte!$5:$5,0),0)),ISNUMBER(VLOOKUP(J$5,Materialpreise,3,0))),VLOOKUP(J$5,Materialpreise,3,0)*VLOOKUP($A11,Rezepte,MATCH(Kalkulation!J$5,Rezepte!$5:$5,0),0),"")</f>
        <v/>
      </c>
      <c r="K11" s="23">
        <f>IF(AND(ISNUMBER(VLOOKUP($A11,Rezepte,MATCH(Kalkulation!K$5,Rezepte!$5:$5,0),0)),ISNUMBER(VLOOKUP(K$5,Materialpreise,3,0))),VLOOKUP(K$5,Materialpreise,3,0)*VLOOKUP($A11,Rezepte,MATCH(Kalkulation!K$5,Rezepte!$5:$5,0),0),"")</f>
        <v>1.0836774193548388E-4</v>
      </c>
      <c r="L11" s="23" t="str">
        <f>IF(AND(ISNUMBER(VLOOKUP($A11,Rezepte,MATCH(Kalkulation!L$5,Rezepte!$5:$5,0),0)),ISNUMBER(VLOOKUP(L$5,Materialpreise,3,0))),VLOOKUP(L$5,Materialpreise,3,0)*VLOOKUP($A11,Rezepte,MATCH(Kalkulation!L$5,Rezepte!$5:$5,0),0),"")</f>
        <v/>
      </c>
      <c r="M11" s="23" t="str">
        <f>IF(AND(ISNUMBER(VLOOKUP($A11,Rezepte,MATCH(Kalkulation!M$5,Rezepte!$5:$5,0),0)),ISNUMBER(VLOOKUP(M$5,Materialpreise,3,0))),VLOOKUP(M$5,Materialpreise,3,0)*VLOOKUP($A11,Rezepte,MATCH(Kalkulation!M$5,Rezepte!$5:$5,0),0),"")</f>
        <v/>
      </c>
      <c r="N11" s="23" t="str">
        <f>IF(AND(ISNUMBER(VLOOKUP($A11,Rezepte,MATCH(Kalkulation!N$5,Rezepte!$5:$5,0),0)),ISNUMBER(VLOOKUP(N$5,Materialpreise,3,0))),VLOOKUP(N$5,Materialpreise,3,0)*VLOOKUP($A11,Rezepte,MATCH(Kalkulation!N$5,Rezepte!$5:$5,0),0),"")</f>
        <v/>
      </c>
      <c r="O11" s="23">
        <f>IF(AND(ISNUMBER(VLOOKUP($A11,Rezepte,MATCH(Kalkulation!O$5,Rezepte!$5:$5,0),0)),ISNUMBER(VLOOKUP(O$5,Materialpreise,3,0))),VLOOKUP(O$5,Materialpreise,3,0)*VLOOKUP($A11,Rezepte,MATCH(Kalkulation!O$5,Rezepte!$5:$5,0),0),"")</f>
        <v>1.1821935483870966E-3</v>
      </c>
      <c r="P11" s="23">
        <f>IF(AND(ISNUMBER(VLOOKUP($A11,Rezepte,MATCH(Kalkulation!P$5,Rezepte!$5:$5,0),0)),ISNUMBER(VLOOKUP(P$5,Materialpreise,3,0))),VLOOKUP(P$5,Materialpreise,3,0)*VLOOKUP($A11,Rezepte,MATCH(Kalkulation!P$5,Rezepte!$5:$5,0),0),"")</f>
        <v>2.8241290322580646E-3</v>
      </c>
      <c r="Q11" s="23" t="str">
        <f>IF(AND(ISNUMBER(VLOOKUP($A11,Rezepte,MATCH(Kalkulation!Q$5,Rezepte!$5:$5,0),0)),ISNUMBER(VLOOKUP(Q$5,Materialpreise,3,0))),VLOOKUP(Q$5,Materialpreise,3,0)*VLOOKUP($A11,Rezepte,MATCH(Kalkulation!Q$5,Rezepte!$5:$5,0),0),"")</f>
        <v/>
      </c>
      <c r="R11" s="23" t="str">
        <f>IF(AND(ISNUMBER(VLOOKUP($A11,Rezepte,MATCH(Kalkulation!R$5,Rezepte!$5:$5,0),0)),ISNUMBER(VLOOKUP(R$5,Materialpreise,3,0))),VLOOKUP(R$5,Materialpreise,3,0)*VLOOKUP($A11,Rezepte,MATCH(Kalkulation!R$5,Rezepte!$5:$5,0),0),"")</f>
        <v/>
      </c>
      <c r="S11" s="23" t="str">
        <f>IF(AND(ISNUMBER(VLOOKUP($A11,Rezepte,MATCH(Kalkulation!S$5,Rezepte!$5:$5,0),0)),ISNUMBER(VLOOKUP(S$5,Materialpreise,3,0))),VLOOKUP(S$5,Materialpreise,3,0)*VLOOKUP($A11,Rezepte,MATCH(Kalkulation!S$5,Rezepte!$5:$5,0),0),"")</f>
        <v/>
      </c>
      <c r="T11" s="23" t="str">
        <f>IF(AND(ISNUMBER(VLOOKUP($A11,Rezepte,MATCH(Kalkulation!T$5,Rezepte!$5:$5,0),0)),ISNUMBER(VLOOKUP(T$5,Materialpreise,3,0))),VLOOKUP(T$5,Materialpreise,3,0)*VLOOKUP($A11,Rezepte,MATCH(Kalkulation!T$5,Rezepte!$5:$5,0),0),"")</f>
        <v/>
      </c>
      <c r="U11" s="23" t="str">
        <f>IF(AND(ISNUMBER(VLOOKUP($A11,Rezepte,MATCH(Kalkulation!U$5,Rezepte!$5:$5,0),0)),ISNUMBER(VLOOKUP(U$5,Materialpreise,3,0))),VLOOKUP(U$5,Materialpreise,3,0)*VLOOKUP($A11,Rezepte,MATCH(Kalkulation!U$5,Rezepte!$5:$5,0),0),"")</f>
        <v/>
      </c>
      <c r="V11" s="23" t="str">
        <f>IF(AND(ISNUMBER(VLOOKUP($A11,Rezepte,MATCH(Kalkulation!V$5,Rezepte!$5:$5,0),0)),ISNUMBER(VLOOKUP(V$5,Materialpreise,3,0))),VLOOKUP(V$5,Materialpreise,3,0)*VLOOKUP($A11,Rezepte,MATCH(Kalkulation!V$5,Rezepte!$5:$5,0),0),"")</f>
        <v/>
      </c>
      <c r="W11" s="23" t="str">
        <f>IF(AND(ISNUMBER(VLOOKUP($A11,Rezepte,MATCH(Kalkulation!W$5,Rezepte!$5:$5,0),0)),ISNUMBER(VLOOKUP(W$5,Materialpreise,3,0))),VLOOKUP(W$5,Materialpreise,3,0)*VLOOKUP($A11,Rezepte,MATCH(Kalkulation!W$5,Rezepte!$5:$5,0),0),"")</f>
        <v/>
      </c>
      <c r="X11" s="23" t="str">
        <f>IF(AND(ISNUMBER(VLOOKUP($A11,Rezepte,MATCH(Kalkulation!X$5,Rezepte!$5:$5,0),0)),ISNUMBER(VLOOKUP(X$5,Materialpreise,3,0))),VLOOKUP(X$5,Materialpreise,3,0)*VLOOKUP($A11,Rezepte,MATCH(Kalkulation!X$5,Rezepte!$5:$5,0),0),"")</f>
        <v/>
      </c>
      <c r="Y11" s="23" t="str">
        <f>IF(AND(ISNUMBER(VLOOKUP($A11,Rezepte,MATCH(Kalkulation!Y$5,Rezepte!$5:$5,0),0)),ISNUMBER(VLOOKUP(Y$5,Materialpreise,3,0))),VLOOKUP(Y$5,Materialpreise,3,0)*VLOOKUP($A11,Rezepte,MATCH(Kalkulation!Y$5,Rezepte!$5:$5,0),0),"")</f>
        <v/>
      </c>
      <c r="Z11" s="23" t="str">
        <f>IF(AND(ISNUMBER(VLOOKUP($A11,Rezepte,MATCH(Kalkulation!Z$5,Rezepte!$5:$5,0),0)),ISNUMBER(VLOOKUP(Z$5,Materialpreise,3,0))),VLOOKUP(Z$5,Materialpreise,3,0)*VLOOKUP($A11,Rezepte,MATCH(Kalkulation!Z$5,Rezepte!$5:$5,0),0),"")</f>
        <v/>
      </c>
      <c r="AA11" s="23" t="str">
        <f>IF(AND(ISNUMBER(VLOOKUP($A11,Rezepte,MATCH(Kalkulation!AA$5,Rezepte!$5:$5,0),0)),ISNUMBER(VLOOKUP(AA$5,Materialpreise,3,0))),VLOOKUP(AA$5,Materialpreise,3,0)*VLOOKUP($A11,Rezepte,MATCH(Kalkulation!AA$5,Rezepte!$5:$5,0),0),"")</f>
        <v/>
      </c>
      <c r="AB11" s="23" t="str">
        <f>IF(AND(ISNUMBER(VLOOKUP($A11,Rezepte,MATCH(Kalkulation!AB$5,Rezepte!$5:$5,0),0)),ISNUMBER(VLOOKUP(AB$5,Materialpreise,3,0))),VLOOKUP(AB$5,Materialpreise,3,0)*VLOOKUP($A11,Rezepte,MATCH(Kalkulation!AB$5,Rezepte!$5:$5,0),0),"")</f>
        <v/>
      </c>
      <c r="AC11" s="23" t="str">
        <f>IF(AND(ISNUMBER(VLOOKUP($A11,Rezepte,MATCH(Kalkulation!AC$5,Rezepte!$5:$5,0),0)),ISNUMBER(VLOOKUP(AC$5,Materialpreise,3,0))),VLOOKUP(AC$5,Materialpreise,3,0)*VLOOKUP($A11,Rezepte,MATCH(Kalkulation!AC$5,Rezepte!$5:$5,0),0),"")</f>
        <v/>
      </c>
      <c r="AD11" s="23" t="str">
        <f>IF(AND(ISNUMBER(VLOOKUP($A11,Rezepte,MATCH(Kalkulation!AD$5,Rezepte!$5:$5,0),0)),ISNUMBER(VLOOKUP(AD$5,Materialpreise,3,0))),VLOOKUP(AD$5,Materialpreise,3,0)*VLOOKUP($A11,Rezepte,MATCH(Kalkulation!AD$5,Rezepte!$5:$5,0),0),"")</f>
        <v/>
      </c>
      <c r="AE11" s="23" t="str">
        <f>IF(AND(ISNUMBER(VLOOKUP($A11,Rezepte,MATCH(Kalkulation!AE$5,Rezepte!$5:$5,0),0)),ISNUMBER(VLOOKUP(AE$5,Materialpreise,3,0))),VLOOKUP(AE$5,Materialpreise,3,0)*VLOOKUP($A11,Rezepte,MATCH(Kalkulation!AE$5,Rezepte!$5:$5,0),0),"")</f>
        <v/>
      </c>
      <c r="AF11" s="23" t="str">
        <f>IF(AND(ISNUMBER(VLOOKUP($A11,Rezepte,MATCH(Kalkulation!AF$5,Rezepte!$5:$5,0),0)),ISNUMBER(VLOOKUP(AF$5,Materialpreise,3,0))),VLOOKUP(AF$5,Materialpreise,3,0)*VLOOKUP($A11,Rezepte,MATCH(Kalkulation!AF$5,Rezepte!$5:$5,0),0),"")</f>
        <v/>
      </c>
      <c r="AG11" s="23" t="str">
        <f>IF(AND(ISNUMBER(VLOOKUP($A11,Rezepte,MATCH(Kalkulation!AG$5,Rezepte!$5:$5,0),0)),ISNUMBER(VLOOKUP(AG$5,Materialpreise,3,0))),VLOOKUP(AG$5,Materialpreise,3,0)*VLOOKUP($A11,Rezepte,MATCH(Kalkulation!AG$5,Rezepte!$5:$5,0),0),"")</f>
        <v/>
      </c>
      <c r="AH11" s="23" t="str">
        <f>IF(AND(ISNUMBER(VLOOKUP($A11,Rezepte,MATCH(Kalkulation!AH$5,Rezepte!$5:$5,0),0)),ISNUMBER(VLOOKUP(AH$5,Materialpreise,3,0))),VLOOKUP(AH$5,Materialpreise,3,0)*VLOOKUP($A11,Rezepte,MATCH(Kalkulation!AH$5,Rezepte!$5:$5,0),0),"")</f>
        <v/>
      </c>
      <c r="AI11" s="23" t="str">
        <f>IF(AND(ISNUMBER(VLOOKUP($A11,Rezepte,MATCH(Kalkulation!AI$5,Rezepte!$5:$5,0),0)),ISNUMBER(VLOOKUP(AI$5,Materialpreise,3,0))),VLOOKUP(AI$5,Materialpreise,3,0)*VLOOKUP($A11,Rezepte,MATCH(Kalkulation!AI$5,Rezepte!$5:$5,0),0),"")</f>
        <v/>
      </c>
      <c r="AJ11" s="23" t="str">
        <f>IF(AND(ISNUMBER(VLOOKUP($A11,Rezepte,MATCH(Kalkulation!AJ$5,Rezepte!$5:$5,0),0)),ISNUMBER(VLOOKUP(AJ$5,Materialpreise,3,0))),VLOOKUP(AJ$5,Materialpreise,3,0)*VLOOKUP($A11,Rezepte,MATCH(Kalkulation!AJ$5,Rezepte!$5:$5,0),0),"")</f>
        <v/>
      </c>
      <c r="AK11" s="23" t="str">
        <f>IF(AND(ISNUMBER(VLOOKUP($A11,Rezepte,MATCH(Kalkulation!AK$5,Rezepte!$5:$5,0),0)),ISNUMBER(VLOOKUP(AK$5,Materialpreise,3,0))),VLOOKUP(AK$5,Materialpreise,3,0)*VLOOKUP($A11,Rezepte,MATCH(Kalkulation!AK$5,Rezepte!$5:$5,0),0),"")</f>
        <v/>
      </c>
      <c r="AL11" s="23" t="str">
        <f>IF(AND(ISNUMBER(VLOOKUP($A11,Rezepte,MATCH(Kalkulation!AL$5,Rezepte!$5:$5,0),0)),ISNUMBER(VLOOKUP(AL$5,Materialpreise,3,0))),VLOOKUP(AL$5,Materialpreise,3,0)*VLOOKUP($A11,Rezepte,MATCH(Kalkulation!AL$5,Rezepte!$5:$5,0),0),"")</f>
        <v/>
      </c>
      <c r="AM11" s="23" t="str">
        <f>IF(AND(ISNUMBER(VLOOKUP($A11,Rezepte,MATCH(Kalkulation!AM$5,Rezepte!$5:$5,0),0)),ISNUMBER(VLOOKUP(AM$5,Materialpreise,3,0))),VLOOKUP(AM$5,Materialpreise,3,0)*VLOOKUP($A11,Rezepte,MATCH(Kalkulation!AM$5,Rezepte!$5:$5,0),0),"")</f>
        <v/>
      </c>
      <c r="AN11" s="23" t="str">
        <f>IF(AND(ISNUMBER(VLOOKUP($A11,Rezepte,MATCH(Kalkulation!AN$5,Rezepte!$5:$5,0),0)),ISNUMBER(VLOOKUP(AN$5,Materialpreise,3,0))),VLOOKUP(AN$5,Materialpreise,3,0)*VLOOKUP($A11,Rezepte,MATCH(Kalkulation!AN$5,Rezepte!$5:$5,0),0),"")</f>
        <v/>
      </c>
      <c r="AO11" s="23" t="str">
        <f>IF(AND(ISNUMBER(VLOOKUP($A11,Rezepte,MATCH(Kalkulation!AO$5,Rezepte!$5:$5,0),0)),ISNUMBER(VLOOKUP(AO$5,Materialpreise,3,0))),VLOOKUP(AO$5,Materialpreise,3,0)*VLOOKUP($A11,Rezepte,MATCH(Kalkulation!AO$5,Rezepte!$5:$5,0),0),"")</f>
        <v/>
      </c>
      <c r="AP11" s="23" t="str">
        <f>IF(AND(ISNUMBER(VLOOKUP($A11,Rezepte,MATCH(Kalkulation!AP$5,Rezepte!$5:$5,0),0)),ISNUMBER(VLOOKUP(AP$5,Materialpreise,3,0))),VLOOKUP(AP$5,Materialpreise,3,0)*VLOOKUP($A11,Rezepte,MATCH(Kalkulation!AP$5,Rezepte!$5:$5,0),0),"")</f>
        <v/>
      </c>
      <c r="AQ11" s="23" t="str">
        <f>IF(AND(ISNUMBER(VLOOKUP($A11,Rezepte,MATCH(Kalkulation!AQ$5,Rezepte!$5:$5,0),0)),ISNUMBER(VLOOKUP(AQ$5,Materialpreise,3,0))),VLOOKUP(AQ$5,Materialpreise,3,0)*VLOOKUP($A11,Rezepte,MATCH(Kalkulation!AQ$5,Rezepte!$5:$5,0),0),"")</f>
        <v/>
      </c>
      <c r="AR11" s="23" t="str">
        <f>IF(AND(ISNUMBER(VLOOKUP($A11,Rezepte,MATCH(Kalkulation!AR$5,Rezepte!$5:$5,0),0)),ISNUMBER(VLOOKUP(AR$5,Materialpreise,3,0))),VLOOKUP(AR$5,Materialpreise,3,0)*VLOOKUP($A11,Rezepte,MATCH(Kalkulation!AR$5,Rezepte!$5:$5,0),0),"")</f>
        <v/>
      </c>
      <c r="AS11" s="23" t="str">
        <f>IF(AND(ISNUMBER(VLOOKUP($A11,Rezepte,MATCH(Kalkulation!AS$5,Rezepte!$5:$5,0),0)),ISNUMBER(VLOOKUP(AS$5,Materialpreise,3,0))),VLOOKUP(AS$5,Materialpreise,3,0)*VLOOKUP($A11,Rezepte,MATCH(Kalkulation!AS$5,Rezepte!$5:$5,0),0),"")</f>
        <v/>
      </c>
      <c r="AT11" s="23" t="str">
        <f>IF(AND(ISNUMBER(VLOOKUP($A11,Rezepte,MATCH(Kalkulation!AT$5,Rezepte!$5:$5,0),0)),ISNUMBER(VLOOKUP(AT$5,Materialpreise,3,0))),VLOOKUP(AT$5,Materialpreise,3,0)*VLOOKUP($A11,Rezepte,MATCH(Kalkulation!AT$5,Rezepte!$5:$5,0),0),"")</f>
        <v/>
      </c>
      <c r="AU11" s="23" t="str">
        <f>IF(AND(ISNUMBER(VLOOKUP($A11,Rezepte,MATCH(Kalkulation!AU$5,Rezepte!$5:$5,0),0)),ISNUMBER(VLOOKUP(AU$5,Materialpreise,3,0))),VLOOKUP(AU$5,Materialpreise,3,0)*VLOOKUP($A11,Rezepte,MATCH(Kalkulation!AU$5,Rezepte!$5:$5,0),0),"")</f>
        <v/>
      </c>
      <c r="AV11" s="23" t="str">
        <f>IF(AND(ISNUMBER(VLOOKUP($A11,Rezepte,MATCH(Kalkulation!AV$5,Rezepte!$5:$5,0),0)),ISNUMBER(VLOOKUP(AV$5,Materialpreise,3,0))),VLOOKUP(AV$5,Materialpreise,3,0)*VLOOKUP($A11,Rezepte,MATCH(Kalkulation!AV$5,Rezepte!$5:$5,0),0),"")</f>
        <v/>
      </c>
      <c r="AW11" s="23" t="str">
        <f>IF(AND(ISNUMBER(VLOOKUP($A11,Rezepte,MATCH(Kalkulation!AW$5,Rezepte!$5:$5,0),0)),ISNUMBER(VLOOKUP(AW$5,Materialpreise,3,0))),VLOOKUP(AW$5,Materialpreise,3,0)*VLOOKUP($A11,Rezepte,MATCH(Kalkulation!AW$5,Rezepte!$5:$5,0),0),"")</f>
        <v/>
      </c>
      <c r="AX11" s="23" t="str">
        <f>IF(AND(ISNUMBER(VLOOKUP($A11,Rezepte,MATCH(Kalkulation!AX$5,Rezepte!$5:$5,0),0)),ISNUMBER(VLOOKUP(AX$5,Materialpreise,3,0))),VLOOKUP(AX$5,Materialpreise,3,0)*VLOOKUP($A11,Rezepte,MATCH(Kalkulation!AX$5,Rezepte!$5:$5,0),0),"")</f>
        <v/>
      </c>
      <c r="AY11" s="23" t="str">
        <f>IF(AND(ISNUMBER(VLOOKUP($A11,Rezepte,MATCH(Kalkulation!AY$5,Rezepte!$5:$5,0),0)),ISNUMBER(VLOOKUP(AY$5,Materialpreise,3,0))),VLOOKUP(AY$5,Materialpreise,3,0)*VLOOKUP($A11,Rezepte,MATCH(Kalkulation!AY$5,Rezepte!$5:$5,0),0),"")</f>
        <v/>
      </c>
      <c r="AZ11" s="23" t="str">
        <f>IF(AND(ISNUMBER(VLOOKUP($A11,Rezepte,MATCH(Kalkulation!AZ$5,Rezepte!$5:$5,0),0)),ISNUMBER(VLOOKUP(AZ$5,Materialpreise,3,0))),VLOOKUP(AZ$5,Materialpreise,3,0)*VLOOKUP($A11,Rezepte,MATCH(Kalkulation!AZ$5,Rezepte!$5:$5,0),0),"")</f>
        <v/>
      </c>
      <c r="BA11" s="23" t="str">
        <f>IF(AND(ISNUMBER(VLOOKUP($A11,Rezepte,MATCH(Kalkulation!BA$5,Rezepte!$5:$5,0),0)),ISNUMBER(VLOOKUP(BA$5,Materialpreise,3,0))),VLOOKUP(BA$5,Materialpreise,3,0)*VLOOKUP($A11,Rezepte,MATCH(Kalkulation!BA$5,Rezepte!$5:$5,0),0),"")</f>
        <v/>
      </c>
    </row>
    <row r="12" spans="1:53" x14ac:dyDescent="0.25">
      <c r="A12" t="str">
        <f t="array" ref="A12">IFERROR(INDEX(Rezepte!$A$6:$A$100,MATCH(1,(COUNTIF(A$6:A11,Rezepte!A$6:A$100)=0)*(Rezepte!A$6:A$100&lt;&gt;""),0)),"")</f>
        <v>Rosmarinfladen</v>
      </c>
      <c r="B12" s="23">
        <f t="shared" si="0"/>
        <v>0.11926571428571431</v>
      </c>
      <c r="C12" s="23">
        <f t="shared" si="1"/>
        <v>0.11926571428571431</v>
      </c>
      <c r="D12" s="23" t="str">
        <f>IF(AND(ISNUMBER(VLOOKUP($A12,Rezepte,MATCH(Kalkulation!D$5,Rezepte!$5:$5,0),0)),ISNUMBER(VLOOKUP(D$5,Materialpreise,3,0))),VLOOKUP(D$5,Materialpreise,3,0)*VLOOKUP($A12,Rezepte,MATCH(Kalkulation!D$5,Rezepte!$5:$5,0),0),"")</f>
        <v/>
      </c>
      <c r="E12" s="23" t="str">
        <f>IF(AND(ISNUMBER(VLOOKUP($A12,Rezepte,MATCH(Kalkulation!E$5,Rezepte!$5:$5,0),0)),ISNUMBER(VLOOKUP(E$5,Materialpreise,3,0))),VLOOKUP(E$5,Materialpreise,3,0)*VLOOKUP($A12,Rezepte,MATCH(Kalkulation!E$5,Rezepte!$5:$5,0),0),"")</f>
        <v/>
      </c>
      <c r="F12" s="23" t="str">
        <f>IF(AND(ISNUMBER(VLOOKUP($A12,Rezepte,MATCH(Kalkulation!F$5,Rezepte!$5:$5,0),0)),ISNUMBER(VLOOKUP(F$5,Materialpreise,3,0))),VLOOKUP(F$5,Materialpreise,3,0)*VLOOKUP($A12,Rezepte,MATCH(Kalkulation!F$5,Rezepte!$5:$5,0),0),"")</f>
        <v/>
      </c>
      <c r="G12" s="23" t="str">
        <f>IF(AND(ISNUMBER(VLOOKUP($A12,Rezepte,MATCH(Kalkulation!G$5,Rezepte!$5:$5,0),0)),ISNUMBER(VLOOKUP(G$5,Materialpreise,3,0))),VLOOKUP(G$5,Materialpreise,3,0)*VLOOKUP($A12,Rezepte,MATCH(Kalkulation!G$5,Rezepte!$5:$5,0),0),"")</f>
        <v/>
      </c>
      <c r="H12" s="23" t="str">
        <f>IF(AND(ISNUMBER(VLOOKUP($A12,Rezepte,MATCH(Kalkulation!H$5,Rezepte!$5:$5,0),0)),ISNUMBER(VLOOKUP(H$5,Materialpreise,3,0))),VLOOKUP(H$5,Materialpreise,3,0)*VLOOKUP($A12,Rezepte,MATCH(Kalkulation!H$5,Rezepte!$5:$5,0),0),"")</f>
        <v/>
      </c>
      <c r="I12" s="23">
        <f>IF(AND(ISNUMBER(VLOOKUP($A12,Rezepte,MATCH(Kalkulation!I$5,Rezepte!$5:$5,0),0)),ISNUMBER(VLOOKUP(I$5,Materialpreise,3,0))),VLOOKUP(I$5,Materialpreise,3,0)*VLOOKUP($A12,Rezepte,MATCH(Kalkulation!I$5,Rezepte!$5:$5,0),0),"")</f>
        <v>7.3828571428571438E-2</v>
      </c>
      <c r="J12" s="23" t="str">
        <f>IF(AND(ISNUMBER(VLOOKUP($A12,Rezepte,MATCH(Kalkulation!J$5,Rezepte!$5:$5,0),0)),ISNUMBER(VLOOKUP(J$5,Materialpreise,3,0))),VLOOKUP(J$5,Materialpreise,3,0)*VLOOKUP($A12,Rezepte,MATCH(Kalkulation!J$5,Rezepte!$5:$5,0),0),"")</f>
        <v/>
      </c>
      <c r="K12" s="23">
        <f>IF(AND(ISNUMBER(VLOOKUP($A12,Rezepte,MATCH(Kalkulation!K$5,Rezepte!$5:$5,0),0)),ISNUMBER(VLOOKUP(K$5,Materialpreise,3,0))),VLOOKUP(K$5,Materialpreise,3,0)*VLOOKUP($A12,Rezepte,MATCH(Kalkulation!K$5,Rezepte!$5:$5,0),0),"")</f>
        <v>1.9542857142857141E-4</v>
      </c>
      <c r="L12" s="23" t="str">
        <f>IF(AND(ISNUMBER(VLOOKUP($A12,Rezepte,MATCH(Kalkulation!L$5,Rezepte!$5:$5,0),0)),ISNUMBER(VLOOKUP(L$5,Materialpreise,3,0))),VLOOKUP(L$5,Materialpreise,3,0)*VLOOKUP($A12,Rezepte,MATCH(Kalkulation!L$5,Rezepte!$5:$5,0),0),"")</f>
        <v/>
      </c>
      <c r="M12" s="23" t="str">
        <f>IF(AND(ISNUMBER(VLOOKUP($A12,Rezepte,MATCH(Kalkulation!M$5,Rezepte!$5:$5,0),0)),ISNUMBER(VLOOKUP(M$5,Materialpreise,3,0))),VLOOKUP(M$5,Materialpreise,3,0)*VLOOKUP($A12,Rezepte,MATCH(Kalkulation!M$5,Rezepte!$5:$5,0),0),"")</f>
        <v/>
      </c>
      <c r="N12" s="23" t="str">
        <f>IF(AND(ISNUMBER(VLOOKUP($A12,Rezepte,MATCH(Kalkulation!N$5,Rezepte!$5:$5,0),0)),ISNUMBER(VLOOKUP(N$5,Materialpreise,3,0))),VLOOKUP(N$5,Materialpreise,3,0)*VLOOKUP($A12,Rezepte,MATCH(Kalkulation!N$5,Rezepte!$5:$5,0),0),"")</f>
        <v/>
      </c>
      <c r="O12" s="23">
        <f>IF(AND(ISNUMBER(VLOOKUP($A12,Rezepte,MATCH(Kalkulation!O$5,Rezepte!$5:$5,0),0)),ISNUMBER(VLOOKUP(O$5,Materialpreise,3,0))),VLOOKUP(O$5,Materialpreise,3,0)*VLOOKUP($A12,Rezepte,MATCH(Kalkulation!O$5,Rezepte!$5:$5,0),0),"")</f>
        <v>1.5634285714285711E-3</v>
      </c>
      <c r="P12" s="23">
        <f>IF(AND(ISNUMBER(VLOOKUP($A12,Rezepte,MATCH(Kalkulation!P$5,Rezepte!$5:$5,0),0)),ISNUMBER(VLOOKUP(P$5,Materialpreise,3,0))),VLOOKUP(P$5,Materialpreise,3,0)*VLOOKUP($A12,Rezepte,MATCH(Kalkulation!P$5,Rezepte!$5:$5,0),0),"")</f>
        <v>4.6685714285714288E-4</v>
      </c>
      <c r="Q12" s="23" t="str">
        <f>IF(AND(ISNUMBER(VLOOKUP($A12,Rezepte,MATCH(Kalkulation!Q$5,Rezepte!$5:$5,0),0)),ISNUMBER(VLOOKUP(Q$5,Materialpreise,3,0))),VLOOKUP(Q$5,Materialpreise,3,0)*VLOOKUP($A12,Rezepte,MATCH(Kalkulation!Q$5,Rezepte!$5:$5,0),0),"")</f>
        <v/>
      </c>
      <c r="R12" s="23" t="str">
        <f>IF(AND(ISNUMBER(VLOOKUP($A12,Rezepte,MATCH(Kalkulation!R$5,Rezepte!$5:$5,0),0)),ISNUMBER(VLOOKUP(R$5,Materialpreise,3,0))),VLOOKUP(R$5,Materialpreise,3,0)*VLOOKUP($A12,Rezepte,MATCH(Kalkulation!R$5,Rezepte!$5:$5,0),0),"")</f>
        <v/>
      </c>
      <c r="S12" s="23" t="str">
        <f>IF(AND(ISNUMBER(VLOOKUP($A12,Rezepte,MATCH(Kalkulation!S$5,Rezepte!$5:$5,0),0)),ISNUMBER(VLOOKUP(S$5,Materialpreise,3,0))),VLOOKUP(S$5,Materialpreise,3,0)*VLOOKUP($A12,Rezepte,MATCH(Kalkulation!S$5,Rezepte!$5:$5,0),0),"")</f>
        <v/>
      </c>
      <c r="T12" s="23" t="str">
        <f>IF(AND(ISNUMBER(VLOOKUP($A12,Rezepte,MATCH(Kalkulation!T$5,Rezepte!$5:$5,0),0)),ISNUMBER(VLOOKUP(T$5,Materialpreise,3,0))),VLOOKUP(T$5,Materialpreise,3,0)*VLOOKUP($A12,Rezepte,MATCH(Kalkulation!T$5,Rezepte!$5:$5,0),0),"")</f>
        <v/>
      </c>
      <c r="U12" s="23" t="str">
        <f>IF(AND(ISNUMBER(VLOOKUP($A12,Rezepte,MATCH(Kalkulation!U$5,Rezepte!$5:$5,0),0)),ISNUMBER(VLOOKUP(U$5,Materialpreise,3,0))),VLOOKUP(U$5,Materialpreise,3,0)*VLOOKUP($A12,Rezepte,MATCH(Kalkulation!U$5,Rezepte!$5:$5,0),0),"")</f>
        <v/>
      </c>
      <c r="V12" s="23" t="str">
        <f>IF(AND(ISNUMBER(VLOOKUP($A12,Rezepte,MATCH(Kalkulation!V$5,Rezepte!$5:$5,0),0)),ISNUMBER(VLOOKUP(V$5,Materialpreise,3,0))),VLOOKUP(V$5,Materialpreise,3,0)*VLOOKUP($A12,Rezepte,MATCH(Kalkulation!V$5,Rezepte!$5:$5,0),0),"")</f>
        <v/>
      </c>
      <c r="W12" s="23" t="str">
        <f>IF(AND(ISNUMBER(VLOOKUP($A12,Rezepte,MATCH(Kalkulation!W$5,Rezepte!$5:$5,0),0)),ISNUMBER(VLOOKUP(W$5,Materialpreise,3,0))),VLOOKUP(W$5,Materialpreise,3,0)*VLOOKUP($A12,Rezepte,MATCH(Kalkulation!W$5,Rezepte!$5:$5,0),0),"")</f>
        <v/>
      </c>
      <c r="X12" s="23" t="str">
        <f>IF(AND(ISNUMBER(VLOOKUP($A12,Rezepte,MATCH(Kalkulation!X$5,Rezepte!$5:$5,0),0)),ISNUMBER(VLOOKUP(X$5,Materialpreise,3,0))),VLOOKUP(X$5,Materialpreise,3,0)*VLOOKUP($A12,Rezepte,MATCH(Kalkulation!X$5,Rezepte!$5:$5,0),0),"")</f>
        <v/>
      </c>
      <c r="Y12" s="23" t="str">
        <f>IF(AND(ISNUMBER(VLOOKUP($A12,Rezepte,MATCH(Kalkulation!Y$5,Rezepte!$5:$5,0),0)),ISNUMBER(VLOOKUP(Y$5,Materialpreise,3,0))),VLOOKUP(Y$5,Materialpreise,3,0)*VLOOKUP($A12,Rezepte,MATCH(Kalkulation!Y$5,Rezepte!$5:$5,0),0),"")</f>
        <v/>
      </c>
      <c r="Z12" s="23">
        <f>IF(AND(ISNUMBER(VLOOKUP($A12,Rezepte,MATCH(Kalkulation!Z$5,Rezepte!$5:$5,0),0)),ISNUMBER(VLOOKUP(Z$5,Materialpreise,3,0))),VLOOKUP(Z$5,Materialpreise,3,0)*VLOOKUP($A12,Rezepte,MATCH(Kalkulation!Z$5,Rezepte!$5:$5,0),0),"")</f>
        <v>4.3211428571428581E-2</v>
      </c>
      <c r="AA12" s="23" t="str">
        <f>IF(AND(ISNUMBER(VLOOKUP($A12,Rezepte,MATCH(Kalkulation!AA$5,Rezepte!$5:$5,0),0)),ISNUMBER(VLOOKUP(AA$5,Materialpreise,3,0))),VLOOKUP(AA$5,Materialpreise,3,0)*VLOOKUP($A12,Rezepte,MATCH(Kalkulation!AA$5,Rezepte!$5:$5,0),0),"")</f>
        <v/>
      </c>
      <c r="AB12" s="23" t="str">
        <f>IF(AND(ISNUMBER(VLOOKUP($A12,Rezepte,MATCH(Kalkulation!AB$5,Rezepte!$5:$5,0),0)),ISNUMBER(VLOOKUP(AB$5,Materialpreise,3,0))),VLOOKUP(AB$5,Materialpreise,3,0)*VLOOKUP($A12,Rezepte,MATCH(Kalkulation!AB$5,Rezepte!$5:$5,0),0),"")</f>
        <v/>
      </c>
      <c r="AC12" s="23" t="str">
        <f>IF(AND(ISNUMBER(VLOOKUP($A12,Rezepte,MATCH(Kalkulation!AC$5,Rezepte!$5:$5,0),0)),ISNUMBER(VLOOKUP(AC$5,Materialpreise,3,0))),VLOOKUP(AC$5,Materialpreise,3,0)*VLOOKUP($A12,Rezepte,MATCH(Kalkulation!AC$5,Rezepte!$5:$5,0),0),"")</f>
        <v/>
      </c>
      <c r="AD12" s="23" t="str">
        <f>IF(AND(ISNUMBER(VLOOKUP($A12,Rezepte,MATCH(Kalkulation!AD$5,Rezepte!$5:$5,0),0)),ISNUMBER(VLOOKUP(AD$5,Materialpreise,3,0))),VLOOKUP(AD$5,Materialpreise,3,0)*VLOOKUP($A12,Rezepte,MATCH(Kalkulation!AD$5,Rezepte!$5:$5,0),0),"")</f>
        <v/>
      </c>
      <c r="AE12" s="23" t="str">
        <f>IF(AND(ISNUMBER(VLOOKUP($A12,Rezepte,MATCH(Kalkulation!AE$5,Rezepte!$5:$5,0),0)),ISNUMBER(VLOOKUP(AE$5,Materialpreise,3,0))),VLOOKUP(AE$5,Materialpreise,3,0)*VLOOKUP($A12,Rezepte,MATCH(Kalkulation!AE$5,Rezepte!$5:$5,0),0),"")</f>
        <v/>
      </c>
      <c r="AF12" s="23" t="str">
        <f>IF(AND(ISNUMBER(VLOOKUP($A12,Rezepte,MATCH(Kalkulation!AF$5,Rezepte!$5:$5,0),0)),ISNUMBER(VLOOKUP(AF$5,Materialpreise,3,0))),VLOOKUP(AF$5,Materialpreise,3,0)*VLOOKUP($A12,Rezepte,MATCH(Kalkulation!AF$5,Rezepte!$5:$5,0),0),"")</f>
        <v/>
      </c>
      <c r="AG12" s="23" t="str">
        <f>IF(AND(ISNUMBER(VLOOKUP($A12,Rezepte,MATCH(Kalkulation!AG$5,Rezepte!$5:$5,0),0)),ISNUMBER(VLOOKUP(AG$5,Materialpreise,3,0))),VLOOKUP(AG$5,Materialpreise,3,0)*VLOOKUP($A12,Rezepte,MATCH(Kalkulation!AG$5,Rezepte!$5:$5,0),0),"")</f>
        <v/>
      </c>
      <c r="AH12" s="23" t="str">
        <f>IF(AND(ISNUMBER(VLOOKUP($A12,Rezepte,MATCH(Kalkulation!AH$5,Rezepte!$5:$5,0),0)),ISNUMBER(VLOOKUP(AH$5,Materialpreise,3,0))),VLOOKUP(AH$5,Materialpreise,3,0)*VLOOKUP($A12,Rezepte,MATCH(Kalkulation!AH$5,Rezepte!$5:$5,0),0),"")</f>
        <v/>
      </c>
      <c r="AI12" s="23" t="str">
        <f>IF(AND(ISNUMBER(VLOOKUP($A12,Rezepte,MATCH(Kalkulation!AI$5,Rezepte!$5:$5,0),0)),ISNUMBER(VLOOKUP(AI$5,Materialpreise,3,0))),VLOOKUP(AI$5,Materialpreise,3,0)*VLOOKUP($A12,Rezepte,MATCH(Kalkulation!AI$5,Rezepte!$5:$5,0),0),"")</f>
        <v/>
      </c>
      <c r="AJ12" s="23" t="str">
        <f>IF(AND(ISNUMBER(VLOOKUP($A12,Rezepte,MATCH(Kalkulation!AJ$5,Rezepte!$5:$5,0),0)),ISNUMBER(VLOOKUP(AJ$5,Materialpreise,3,0))),VLOOKUP(AJ$5,Materialpreise,3,0)*VLOOKUP($A12,Rezepte,MATCH(Kalkulation!AJ$5,Rezepte!$5:$5,0),0),"")</f>
        <v/>
      </c>
      <c r="AK12" s="23" t="str">
        <f>IF(AND(ISNUMBER(VLOOKUP($A12,Rezepte,MATCH(Kalkulation!AK$5,Rezepte!$5:$5,0),0)),ISNUMBER(VLOOKUP(AK$5,Materialpreise,3,0))),VLOOKUP(AK$5,Materialpreise,3,0)*VLOOKUP($A12,Rezepte,MATCH(Kalkulation!AK$5,Rezepte!$5:$5,0),0),"")</f>
        <v/>
      </c>
      <c r="AL12" s="23" t="str">
        <f>IF(AND(ISNUMBER(VLOOKUP($A12,Rezepte,MATCH(Kalkulation!AL$5,Rezepte!$5:$5,0),0)),ISNUMBER(VLOOKUP(AL$5,Materialpreise,3,0))),VLOOKUP(AL$5,Materialpreise,3,0)*VLOOKUP($A12,Rezepte,MATCH(Kalkulation!AL$5,Rezepte!$5:$5,0),0),"")</f>
        <v/>
      </c>
      <c r="AM12" s="23" t="str">
        <f>IF(AND(ISNUMBER(VLOOKUP($A12,Rezepte,MATCH(Kalkulation!AM$5,Rezepte!$5:$5,0),0)),ISNUMBER(VLOOKUP(AM$5,Materialpreise,3,0))),VLOOKUP(AM$5,Materialpreise,3,0)*VLOOKUP($A12,Rezepte,MATCH(Kalkulation!AM$5,Rezepte!$5:$5,0),0),"")</f>
        <v/>
      </c>
      <c r="AN12" s="23" t="str">
        <f>IF(AND(ISNUMBER(VLOOKUP($A12,Rezepte,MATCH(Kalkulation!AN$5,Rezepte!$5:$5,0),0)),ISNUMBER(VLOOKUP(AN$5,Materialpreise,3,0))),VLOOKUP(AN$5,Materialpreise,3,0)*VLOOKUP($A12,Rezepte,MATCH(Kalkulation!AN$5,Rezepte!$5:$5,0),0),"")</f>
        <v/>
      </c>
      <c r="AO12" s="23" t="str">
        <f>IF(AND(ISNUMBER(VLOOKUP($A12,Rezepte,MATCH(Kalkulation!AO$5,Rezepte!$5:$5,0),0)),ISNUMBER(VLOOKUP(AO$5,Materialpreise,3,0))),VLOOKUP(AO$5,Materialpreise,3,0)*VLOOKUP($A12,Rezepte,MATCH(Kalkulation!AO$5,Rezepte!$5:$5,0),0),"")</f>
        <v/>
      </c>
      <c r="AP12" s="23" t="str">
        <f>IF(AND(ISNUMBER(VLOOKUP($A12,Rezepte,MATCH(Kalkulation!AP$5,Rezepte!$5:$5,0),0)),ISNUMBER(VLOOKUP(AP$5,Materialpreise,3,0))),VLOOKUP(AP$5,Materialpreise,3,0)*VLOOKUP($A12,Rezepte,MATCH(Kalkulation!AP$5,Rezepte!$5:$5,0),0),"")</f>
        <v/>
      </c>
      <c r="AQ12" s="23" t="str">
        <f>IF(AND(ISNUMBER(VLOOKUP($A12,Rezepte,MATCH(Kalkulation!AQ$5,Rezepte!$5:$5,0),0)),ISNUMBER(VLOOKUP(AQ$5,Materialpreise,3,0))),VLOOKUP(AQ$5,Materialpreise,3,0)*VLOOKUP($A12,Rezepte,MATCH(Kalkulation!AQ$5,Rezepte!$5:$5,0),0),"")</f>
        <v/>
      </c>
      <c r="AR12" s="23" t="str">
        <f>IF(AND(ISNUMBER(VLOOKUP($A12,Rezepte,MATCH(Kalkulation!AR$5,Rezepte!$5:$5,0),0)),ISNUMBER(VLOOKUP(AR$5,Materialpreise,3,0))),VLOOKUP(AR$5,Materialpreise,3,0)*VLOOKUP($A12,Rezepte,MATCH(Kalkulation!AR$5,Rezepte!$5:$5,0),0),"")</f>
        <v/>
      </c>
      <c r="AS12" s="23" t="str">
        <f>IF(AND(ISNUMBER(VLOOKUP($A12,Rezepte,MATCH(Kalkulation!AS$5,Rezepte!$5:$5,0),0)),ISNUMBER(VLOOKUP(AS$5,Materialpreise,3,0))),VLOOKUP(AS$5,Materialpreise,3,0)*VLOOKUP($A12,Rezepte,MATCH(Kalkulation!AS$5,Rezepte!$5:$5,0),0),"")</f>
        <v/>
      </c>
      <c r="AT12" s="23" t="str">
        <f>IF(AND(ISNUMBER(VLOOKUP($A12,Rezepte,MATCH(Kalkulation!AT$5,Rezepte!$5:$5,0),0)),ISNUMBER(VLOOKUP(AT$5,Materialpreise,3,0))),VLOOKUP(AT$5,Materialpreise,3,0)*VLOOKUP($A12,Rezepte,MATCH(Kalkulation!AT$5,Rezepte!$5:$5,0),0),"")</f>
        <v/>
      </c>
      <c r="AU12" s="23" t="str">
        <f>IF(AND(ISNUMBER(VLOOKUP($A12,Rezepte,MATCH(Kalkulation!AU$5,Rezepte!$5:$5,0),0)),ISNUMBER(VLOOKUP(AU$5,Materialpreise,3,0))),VLOOKUP(AU$5,Materialpreise,3,0)*VLOOKUP($A12,Rezepte,MATCH(Kalkulation!AU$5,Rezepte!$5:$5,0),0),"")</f>
        <v/>
      </c>
      <c r="AV12" s="23" t="str">
        <f>IF(AND(ISNUMBER(VLOOKUP($A12,Rezepte,MATCH(Kalkulation!AV$5,Rezepte!$5:$5,0),0)),ISNUMBER(VLOOKUP(AV$5,Materialpreise,3,0))),VLOOKUP(AV$5,Materialpreise,3,0)*VLOOKUP($A12,Rezepte,MATCH(Kalkulation!AV$5,Rezepte!$5:$5,0),0),"")</f>
        <v/>
      </c>
      <c r="AW12" s="23" t="str">
        <f>IF(AND(ISNUMBER(VLOOKUP($A12,Rezepte,MATCH(Kalkulation!AW$5,Rezepte!$5:$5,0),0)),ISNUMBER(VLOOKUP(AW$5,Materialpreise,3,0))),VLOOKUP(AW$5,Materialpreise,3,0)*VLOOKUP($A12,Rezepte,MATCH(Kalkulation!AW$5,Rezepte!$5:$5,0),0),"")</f>
        <v/>
      </c>
      <c r="AX12" s="23" t="str">
        <f>IF(AND(ISNUMBER(VLOOKUP($A12,Rezepte,MATCH(Kalkulation!AX$5,Rezepte!$5:$5,0),0)),ISNUMBER(VLOOKUP(AX$5,Materialpreise,3,0))),VLOOKUP(AX$5,Materialpreise,3,0)*VLOOKUP($A12,Rezepte,MATCH(Kalkulation!AX$5,Rezepte!$5:$5,0),0),"")</f>
        <v/>
      </c>
      <c r="AY12" s="23" t="str">
        <f>IF(AND(ISNUMBER(VLOOKUP($A12,Rezepte,MATCH(Kalkulation!AY$5,Rezepte!$5:$5,0),0)),ISNUMBER(VLOOKUP(AY$5,Materialpreise,3,0))),VLOOKUP(AY$5,Materialpreise,3,0)*VLOOKUP($A12,Rezepte,MATCH(Kalkulation!AY$5,Rezepte!$5:$5,0),0),"")</f>
        <v/>
      </c>
      <c r="AZ12" s="23" t="str">
        <f>IF(AND(ISNUMBER(VLOOKUP($A12,Rezepte,MATCH(Kalkulation!AZ$5,Rezepte!$5:$5,0),0)),ISNUMBER(VLOOKUP(AZ$5,Materialpreise,3,0))),VLOOKUP(AZ$5,Materialpreise,3,0)*VLOOKUP($A12,Rezepte,MATCH(Kalkulation!AZ$5,Rezepte!$5:$5,0),0),"")</f>
        <v/>
      </c>
      <c r="BA12" s="23" t="str">
        <f>IF(AND(ISNUMBER(VLOOKUP($A12,Rezepte,MATCH(Kalkulation!BA$5,Rezepte!$5:$5,0),0)),ISNUMBER(VLOOKUP(BA$5,Materialpreise,3,0))),VLOOKUP(BA$5,Materialpreise,3,0)*VLOOKUP($A12,Rezepte,MATCH(Kalkulation!BA$5,Rezepte!$5:$5,0),0),"")</f>
        <v/>
      </c>
    </row>
    <row r="13" spans="1:53" x14ac:dyDescent="0.25">
      <c r="A13" t="str">
        <f t="array" ref="A13">IFERROR(INDEX(Rezepte!$A$6:$A$100,MATCH(1,(COUNTIF(A$6:A12,Rezepte!A$6:A$100)=0)*(Rezepte!A$6:A$100&lt;&gt;""),0)),"")</f>
        <v>Milchbrötchen</v>
      </c>
      <c r="B13" s="23">
        <f t="shared" si="0"/>
        <v>0.10389399999999999</v>
      </c>
      <c r="C13" s="23">
        <f t="shared" si="1"/>
        <v>0.10389399999999999</v>
      </c>
      <c r="D13" s="23" t="str">
        <f>IF(AND(ISNUMBER(VLOOKUP($A13,Rezepte,MATCH(Kalkulation!D$5,Rezepte!$5:$5,0),0)),ISNUMBER(VLOOKUP(D$5,Materialpreise,3,0))),VLOOKUP(D$5,Materialpreise,3,0)*VLOOKUP($A13,Rezepte,MATCH(Kalkulation!D$5,Rezepte!$5:$5,0),0),"")</f>
        <v/>
      </c>
      <c r="E13" s="23" t="str">
        <f>IF(AND(ISNUMBER(VLOOKUP($A13,Rezepte,MATCH(Kalkulation!E$5,Rezepte!$5:$5,0),0)),ISNUMBER(VLOOKUP(E$5,Materialpreise,3,0))),VLOOKUP(E$5,Materialpreise,3,0)*VLOOKUP($A13,Rezepte,MATCH(Kalkulation!E$5,Rezepte!$5:$5,0),0),"")</f>
        <v/>
      </c>
      <c r="F13" s="23" t="str">
        <f>IF(AND(ISNUMBER(VLOOKUP($A13,Rezepte,MATCH(Kalkulation!F$5,Rezepte!$5:$5,0),0)),ISNUMBER(VLOOKUP(F$5,Materialpreise,3,0))),VLOOKUP(F$5,Materialpreise,3,0)*VLOOKUP($A13,Rezepte,MATCH(Kalkulation!F$5,Rezepte!$5:$5,0),0),"")</f>
        <v/>
      </c>
      <c r="G13" s="23" t="str">
        <f>IF(AND(ISNUMBER(VLOOKUP($A13,Rezepte,MATCH(Kalkulation!G$5,Rezepte!$5:$5,0),0)),ISNUMBER(VLOOKUP(G$5,Materialpreise,3,0))),VLOOKUP(G$5,Materialpreise,3,0)*VLOOKUP($A13,Rezepte,MATCH(Kalkulation!G$5,Rezepte!$5:$5,0),0),"")</f>
        <v/>
      </c>
      <c r="H13" s="23" t="str">
        <f>IF(AND(ISNUMBER(VLOOKUP($A13,Rezepte,MATCH(Kalkulation!H$5,Rezepte!$5:$5,0),0)),ISNUMBER(VLOOKUP(H$5,Materialpreise,3,0))),VLOOKUP(H$5,Materialpreise,3,0)*VLOOKUP($A13,Rezepte,MATCH(Kalkulation!H$5,Rezepte!$5:$5,0),0),"")</f>
        <v/>
      </c>
      <c r="I13" s="23">
        <f>IF(AND(ISNUMBER(VLOOKUP($A13,Rezepte,MATCH(Kalkulation!I$5,Rezepte!$5:$5,0),0)),ISNUMBER(VLOOKUP(I$5,Materialpreise,3,0))),VLOOKUP(I$5,Materialpreise,3,0)*VLOOKUP($A13,Rezepte,MATCH(Kalkulation!I$5,Rezepte!$5:$5,0),0),"")</f>
        <v>6.6299999999999998E-2</v>
      </c>
      <c r="J13" s="23" t="str">
        <f>IF(AND(ISNUMBER(VLOOKUP($A13,Rezepte,MATCH(Kalkulation!J$5,Rezepte!$5:$5,0),0)),ISNUMBER(VLOOKUP(J$5,Materialpreise,3,0))),VLOOKUP(J$5,Materialpreise,3,0)*VLOOKUP($A13,Rezepte,MATCH(Kalkulation!J$5,Rezepte!$5:$5,0),0),"")</f>
        <v/>
      </c>
      <c r="K13" s="23" t="str">
        <f>IF(AND(ISNUMBER(VLOOKUP($A13,Rezepte,MATCH(Kalkulation!K$5,Rezepte!$5:$5,0),0)),ISNUMBER(VLOOKUP(K$5,Materialpreise,3,0))),VLOOKUP(K$5,Materialpreise,3,0)*VLOOKUP($A13,Rezepte,MATCH(Kalkulation!K$5,Rezepte!$5:$5,0),0),"")</f>
        <v/>
      </c>
      <c r="L13" s="23" t="str">
        <f>IF(AND(ISNUMBER(VLOOKUP($A13,Rezepte,MATCH(Kalkulation!L$5,Rezepte!$5:$5,0),0)),ISNUMBER(VLOOKUP(L$5,Materialpreise,3,0))),VLOOKUP(L$5,Materialpreise,3,0)*VLOOKUP($A13,Rezepte,MATCH(Kalkulation!L$5,Rezepte!$5:$5,0),0),"")</f>
        <v/>
      </c>
      <c r="M13" s="23" t="str">
        <f>IF(AND(ISNUMBER(VLOOKUP($A13,Rezepte,MATCH(Kalkulation!M$5,Rezepte!$5:$5,0),0)),ISNUMBER(VLOOKUP(M$5,Materialpreise,3,0))),VLOOKUP(M$5,Materialpreise,3,0)*VLOOKUP($A13,Rezepte,MATCH(Kalkulation!M$5,Rezepte!$5:$5,0),0),"")</f>
        <v/>
      </c>
      <c r="N13" s="23" t="str">
        <f>IF(AND(ISNUMBER(VLOOKUP($A13,Rezepte,MATCH(Kalkulation!N$5,Rezepte!$5:$5,0),0)),ISNUMBER(VLOOKUP(N$5,Materialpreise,3,0))),VLOOKUP(N$5,Materialpreise,3,0)*VLOOKUP($A13,Rezepte,MATCH(Kalkulation!N$5,Rezepte!$5:$5,0),0),"")</f>
        <v/>
      </c>
      <c r="O13" s="23" t="str">
        <f>IF(AND(ISNUMBER(VLOOKUP($A13,Rezepte,MATCH(Kalkulation!O$5,Rezepte!$5:$5,0),0)),ISNUMBER(VLOOKUP(O$5,Materialpreise,3,0))),VLOOKUP(O$5,Materialpreise,3,0)*VLOOKUP($A13,Rezepte,MATCH(Kalkulation!O$5,Rezepte!$5:$5,0),0),"")</f>
        <v/>
      </c>
      <c r="P13" s="23">
        <f>IF(AND(ISNUMBER(VLOOKUP($A13,Rezepte,MATCH(Kalkulation!P$5,Rezepte!$5:$5,0),0)),ISNUMBER(VLOOKUP(P$5,Materialpreise,3,0))),VLOOKUP(P$5,Materialpreise,3,0)*VLOOKUP($A13,Rezepte,MATCH(Kalkulation!P$5,Rezepte!$5:$5,0),0),"")</f>
        <v>2.15E-3</v>
      </c>
      <c r="Q13" s="23" t="str">
        <f>IF(AND(ISNUMBER(VLOOKUP($A13,Rezepte,MATCH(Kalkulation!Q$5,Rezepte!$5:$5,0),0)),ISNUMBER(VLOOKUP(Q$5,Materialpreise,3,0))),VLOOKUP(Q$5,Materialpreise,3,0)*VLOOKUP($A13,Rezepte,MATCH(Kalkulation!Q$5,Rezepte!$5:$5,0),0),"")</f>
        <v/>
      </c>
      <c r="R13" s="23" t="str">
        <f>IF(AND(ISNUMBER(VLOOKUP($A13,Rezepte,MATCH(Kalkulation!R$5,Rezepte!$5:$5,0),0)),ISNUMBER(VLOOKUP(R$5,Materialpreise,3,0))),VLOOKUP(R$5,Materialpreise,3,0)*VLOOKUP($A13,Rezepte,MATCH(Kalkulation!R$5,Rezepte!$5:$5,0),0),"")</f>
        <v/>
      </c>
      <c r="S13" s="23" t="str">
        <f>IF(AND(ISNUMBER(VLOOKUP($A13,Rezepte,MATCH(Kalkulation!S$5,Rezepte!$5:$5,0),0)),ISNUMBER(VLOOKUP(S$5,Materialpreise,3,0))),VLOOKUP(S$5,Materialpreise,3,0)*VLOOKUP($A13,Rezepte,MATCH(Kalkulation!S$5,Rezepte!$5:$5,0),0),"")</f>
        <v/>
      </c>
      <c r="T13" s="23" t="str">
        <f>IF(AND(ISNUMBER(VLOOKUP($A13,Rezepte,MATCH(Kalkulation!T$5,Rezepte!$5:$5,0),0)),ISNUMBER(VLOOKUP(T$5,Materialpreise,3,0))),VLOOKUP(T$5,Materialpreise,3,0)*VLOOKUP($A13,Rezepte,MATCH(Kalkulation!T$5,Rezepte!$5:$5,0),0),"")</f>
        <v/>
      </c>
      <c r="U13" s="23" t="str">
        <f>IF(AND(ISNUMBER(VLOOKUP($A13,Rezepte,MATCH(Kalkulation!U$5,Rezepte!$5:$5,0),0)),ISNUMBER(VLOOKUP(U$5,Materialpreise,3,0))),VLOOKUP(U$5,Materialpreise,3,0)*VLOOKUP($A13,Rezepte,MATCH(Kalkulation!U$5,Rezepte!$5:$5,0),0),"")</f>
        <v/>
      </c>
      <c r="V13" s="23" t="str">
        <f>IF(AND(ISNUMBER(VLOOKUP($A13,Rezepte,MATCH(Kalkulation!V$5,Rezepte!$5:$5,0),0)),ISNUMBER(VLOOKUP(V$5,Materialpreise,3,0))),VLOOKUP(V$5,Materialpreise,3,0)*VLOOKUP($A13,Rezepte,MATCH(Kalkulation!V$5,Rezepte!$5:$5,0),0),"")</f>
        <v/>
      </c>
      <c r="W13" s="23" t="str">
        <f>IF(AND(ISNUMBER(VLOOKUP($A13,Rezepte,MATCH(Kalkulation!W$5,Rezepte!$5:$5,0),0)),ISNUMBER(VLOOKUP(W$5,Materialpreise,3,0))),VLOOKUP(W$5,Materialpreise,3,0)*VLOOKUP($A13,Rezepte,MATCH(Kalkulation!W$5,Rezepte!$5:$5,0),0),"")</f>
        <v/>
      </c>
      <c r="X13" s="23" t="str">
        <f>IF(AND(ISNUMBER(VLOOKUP($A13,Rezepte,MATCH(Kalkulation!X$5,Rezepte!$5:$5,0),0)),ISNUMBER(VLOOKUP(X$5,Materialpreise,3,0))),VLOOKUP(X$5,Materialpreise,3,0)*VLOOKUP($A13,Rezepte,MATCH(Kalkulation!X$5,Rezepte!$5:$5,0),0),"")</f>
        <v/>
      </c>
      <c r="Y13" s="23" t="str">
        <f>IF(AND(ISNUMBER(VLOOKUP($A13,Rezepte,MATCH(Kalkulation!Y$5,Rezepte!$5:$5,0),0)),ISNUMBER(VLOOKUP(Y$5,Materialpreise,3,0))),VLOOKUP(Y$5,Materialpreise,3,0)*VLOOKUP($A13,Rezepte,MATCH(Kalkulation!Y$5,Rezepte!$5:$5,0),0),"")</f>
        <v/>
      </c>
      <c r="Z13" s="23" t="str">
        <f>IF(AND(ISNUMBER(VLOOKUP($A13,Rezepte,MATCH(Kalkulation!Z$5,Rezepte!$5:$5,0),0)),ISNUMBER(VLOOKUP(Z$5,Materialpreise,3,0))),VLOOKUP(Z$5,Materialpreise,3,0)*VLOOKUP($A13,Rezepte,MATCH(Kalkulation!Z$5,Rezepte!$5:$5,0),0),"")</f>
        <v/>
      </c>
      <c r="AA13" s="23">
        <f>IF(AND(ISNUMBER(VLOOKUP($A13,Rezepte,MATCH(Kalkulation!AA$5,Rezepte!$5:$5,0),0)),ISNUMBER(VLOOKUP(AA$5,Materialpreise,3,0))),VLOOKUP(AA$5,Materialpreise,3,0)*VLOOKUP($A13,Rezepte,MATCH(Kalkulation!AA$5,Rezepte!$5:$5,0),0),"")</f>
        <v>5.3400000000000001E-3</v>
      </c>
      <c r="AB13" s="23">
        <f>IF(AND(ISNUMBER(VLOOKUP($A13,Rezepte,MATCH(Kalkulation!AB$5,Rezepte!$5:$5,0),0)),ISNUMBER(VLOOKUP(AB$5,Materialpreise,3,0))),VLOOKUP(AB$5,Materialpreise,3,0)*VLOOKUP($A13,Rezepte,MATCH(Kalkulation!AB$5,Rezepte!$5:$5,0),0),"")</f>
        <v>9.1000000000000004E-3</v>
      </c>
      <c r="AC13" s="23">
        <f>IF(AND(ISNUMBER(VLOOKUP($A13,Rezepte,MATCH(Kalkulation!AC$5,Rezepte!$5:$5,0),0)),ISNUMBER(VLOOKUP(AC$5,Materialpreise,3,0))),VLOOKUP(AC$5,Materialpreise,3,0)*VLOOKUP($A13,Rezepte,MATCH(Kalkulation!AC$5,Rezepte!$5:$5,0),0),"")</f>
        <v>1.5480000000000001E-2</v>
      </c>
      <c r="AD13" s="23" t="str">
        <f>IF(AND(ISNUMBER(VLOOKUP($A13,Rezepte,MATCH(Kalkulation!AD$5,Rezepte!$5:$5,0),0)),ISNUMBER(VLOOKUP(AD$5,Materialpreise,3,0))),VLOOKUP(AD$5,Materialpreise,3,0)*VLOOKUP($A13,Rezepte,MATCH(Kalkulation!AD$5,Rezepte!$5:$5,0),0),"")</f>
        <v/>
      </c>
      <c r="AE13" s="23">
        <f>IF(AND(ISNUMBER(VLOOKUP($A13,Rezepte,MATCH(Kalkulation!AE$5,Rezepte!$5:$5,0),0)),ISNUMBER(VLOOKUP(AE$5,Materialpreise,3,0))),VLOOKUP(AE$5,Materialpreise,3,0)*VLOOKUP($A13,Rezepte,MATCH(Kalkulation!AE$5,Rezepte!$5:$5,0),0),"")</f>
        <v>4.84E-4</v>
      </c>
      <c r="AF13" s="23">
        <f>IF(AND(ISNUMBER(VLOOKUP($A13,Rezepte,MATCH(Kalkulation!AF$5,Rezepte!$5:$5,0),0)),ISNUMBER(VLOOKUP(AF$5,Materialpreise,3,0))),VLOOKUP(AF$5,Materialpreise,3,0)*VLOOKUP($A13,Rezepte,MATCH(Kalkulation!AF$5,Rezepte!$5:$5,0),0),"")</f>
        <v>5.0399999999999993E-3</v>
      </c>
      <c r="AG13" s="23" t="str">
        <f>IF(AND(ISNUMBER(VLOOKUP($A13,Rezepte,MATCH(Kalkulation!AG$5,Rezepte!$5:$5,0),0)),ISNUMBER(VLOOKUP(AG$5,Materialpreise,3,0))),VLOOKUP(AG$5,Materialpreise,3,0)*VLOOKUP($A13,Rezepte,MATCH(Kalkulation!AG$5,Rezepte!$5:$5,0),0),"")</f>
        <v/>
      </c>
      <c r="AH13" s="23" t="str">
        <f>IF(AND(ISNUMBER(VLOOKUP($A13,Rezepte,MATCH(Kalkulation!AH$5,Rezepte!$5:$5,0),0)),ISNUMBER(VLOOKUP(AH$5,Materialpreise,3,0))),VLOOKUP(AH$5,Materialpreise,3,0)*VLOOKUP($A13,Rezepte,MATCH(Kalkulation!AH$5,Rezepte!$5:$5,0),0),"")</f>
        <v/>
      </c>
      <c r="AI13" s="23" t="str">
        <f>IF(AND(ISNUMBER(VLOOKUP($A13,Rezepte,MATCH(Kalkulation!AI$5,Rezepte!$5:$5,0),0)),ISNUMBER(VLOOKUP(AI$5,Materialpreise,3,0))),VLOOKUP(AI$5,Materialpreise,3,0)*VLOOKUP($A13,Rezepte,MATCH(Kalkulation!AI$5,Rezepte!$5:$5,0),0),"")</f>
        <v/>
      </c>
      <c r="AJ13" s="23" t="str">
        <f>IF(AND(ISNUMBER(VLOOKUP($A13,Rezepte,MATCH(Kalkulation!AJ$5,Rezepte!$5:$5,0),0)),ISNUMBER(VLOOKUP(AJ$5,Materialpreise,3,0))),VLOOKUP(AJ$5,Materialpreise,3,0)*VLOOKUP($A13,Rezepte,MATCH(Kalkulation!AJ$5,Rezepte!$5:$5,0),0),"")</f>
        <v/>
      </c>
      <c r="AK13" s="23" t="str">
        <f>IF(AND(ISNUMBER(VLOOKUP($A13,Rezepte,MATCH(Kalkulation!AK$5,Rezepte!$5:$5,0),0)),ISNUMBER(VLOOKUP(AK$5,Materialpreise,3,0))),VLOOKUP(AK$5,Materialpreise,3,0)*VLOOKUP($A13,Rezepte,MATCH(Kalkulation!AK$5,Rezepte!$5:$5,0),0),"")</f>
        <v/>
      </c>
      <c r="AL13" s="23" t="str">
        <f>IF(AND(ISNUMBER(VLOOKUP($A13,Rezepte,MATCH(Kalkulation!AL$5,Rezepte!$5:$5,0),0)),ISNUMBER(VLOOKUP(AL$5,Materialpreise,3,0))),VLOOKUP(AL$5,Materialpreise,3,0)*VLOOKUP($A13,Rezepte,MATCH(Kalkulation!AL$5,Rezepte!$5:$5,0),0),"")</f>
        <v/>
      </c>
      <c r="AM13" s="23" t="str">
        <f>IF(AND(ISNUMBER(VLOOKUP($A13,Rezepte,MATCH(Kalkulation!AM$5,Rezepte!$5:$5,0),0)),ISNUMBER(VLOOKUP(AM$5,Materialpreise,3,0))),VLOOKUP(AM$5,Materialpreise,3,0)*VLOOKUP($A13,Rezepte,MATCH(Kalkulation!AM$5,Rezepte!$5:$5,0),0),"")</f>
        <v/>
      </c>
      <c r="AN13" s="23" t="str">
        <f>IF(AND(ISNUMBER(VLOOKUP($A13,Rezepte,MATCH(Kalkulation!AN$5,Rezepte!$5:$5,0),0)),ISNUMBER(VLOOKUP(AN$5,Materialpreise,3,0))),VLOOKUP(AN$5,Materialpreise,3,0)*VLOOKUP($A13,Rezepte,MATCH(Kalkulation!AN$5,Rezepte!$5:$5,0),0),"")</f>
        <v/>
      </c>
      <c r="AO13" s="23" t="str">
        <f>IF(AND(ISNUMBER(VLOOKUP($A13,Rezepte,MATCH(Kalkulation!AO$5,Rezepte!$5:$5,0),0)),ISNUMBER(VLOOKUP(AO$5,Materialpreise,3,0))),VLOOKUP(AO$5,Materialpreise,3,0)*VLOOKUP($A13,Rezepte,MATCH(Kalkulation!AO$5,Rezepte!$5:$5,0),0),"")</f>
        <v/>
      </c>
      <c r="AP13" s="23" t="str">
        <f>IF(AND(ISNUMBER(VLOOKUP($A13,Rezepte,MATCH(Kalkulation!AP$5,Rezepte!$5:$5,0),0)),ISNUMBER(VLOOKUP(AP$5,Materialpreise,3,0))),VLOOKUP(AP$5,Materialpreise,3,0)*VLOOKUP($A13,Rezepte,MATCH(Kalkulation!AP$5,Rezepte!$5:$5,0),0),"")</f>
        <v/>
      </c>
      <c r="AQ13" s="23" t="str">
        <f>IF(AND(ISNUMBER(VLOOKUP($A13,Rezepte,MATCH(Kalkulation!AQ$5,Rezepte!$5:$5,0),0)),ISNUMBER(VLOOKUP(AQ$5,Materialpreise,3,0))),VLOOKUP(AQ$5,Materialpreise,3,0)*VLOOKUP($A13,Rezepte,MATCH(Kalkulation!AQ$5,Rezepte!$5:$5,0),0),"")</f>
        <v/>
      </c>
      <c r="AR13" s="23" t="str">
        <f>IF(AND(ISNUMBER(VLOOKUP($A13,Rezepte,MATCH(Kalkulation!AR$5,Rezepte!$5:$5,0),0)),ISNUMBER(VLOOKUP(AR$5,Materialpreise,3,0))),VLOOKUP(AR$5,Materialpreise,3,0)*VLOOKUP($A13,Rezepte,MATCH(Kalkulation!AR$5,Rezepte!$5:$5,0),0),"")</f>
        <v/>
      </c>
      <c r="AS13" s="23" t="str">
        <f>IF(AND(ISNUMBER(VLOOKUP($A13,Rezepte,MATCH(Kalkulation!AS$5,Rezepte!$5:$5,0),0)),ISNUMBER(VLOOKUP(AS$5,Materialpreise,3,0))),VLOOKUP(AS$5,Materialpreise,3,0)*VLOOKUP($A13,Rezepte,MATCH(Kalkulation!AS$5,Rezepte!$5:$5,0),0),"")</f>
        <v/>
      </c>
      <c r="AT13" s="23" t="str">
        <f>IF(AND(ISNUMBER(VLOOKUP($A13,Rezepte,MATCH(Kalkulation!AT$5,Rezepte!$5:$5,0),0)),ISNUMBER(VLOOKUP(AT$5,Materialpreise,3,0))),VLOOKUP(AT$5,Materialpreise,3,0)*VLOOKUP($A13,Rezepte,MATCH(Kalkulation!AT$5,Rezepte!$5:$5,0),0),"")</f>
        <v/>
      </c>
      <c r="AU13" s="23" t="str">
        <f>IF(AND(ISNUMBER(VLOOKUP($A13,Rezepte,MATCH(Kalkulation!AU$5,Rezepte!$5:$5,0),0)),ISNUMBER(VLOOKUP(AU$5,Materialpreise,3,0))),VLOOKUP(AU$5,Materialpreise,3,0)*VLOOKUP($A13,Rezepte,MATCH(Kalkulation!AU$5,Rezepte!$5:$5,0),0),"")</f>
        <v/>
      </c>
      <c r="AV13" s="23" t="str">
        <f>IF(AND(ISNUMBER(VLOOKUP($A13,Rezepte,MATCH(Kalkulation!AV$5,Rezepte!$5:$5,0),0)),ISNUMBER(VLOOKUP(AV$5,Materialpreise,3,0))),VLOOKUP(AV$5,Materialpreise,3,0)*VLOOKUP($A13,Rezepte,MATCH(Kalkulation!AV$5,Rezepte!$5:$5,0),0),"")</f>
        <v/>
      </c>
      <c r="AW13" s="23" t="str">
        <f>IF(AND(ISNUMBER(VLOOKUP($A13,Rezepte,MATCH(Kalkulation!AW$5,Rezepte!$5:$5,0),0)),ISNUMBER(VLOOKUP(AW$5,Materialpreise,3,0))),VLOOKUP(AW$5,Materialpreise,3,0)*VLOOKUP($A13,Rezepte,MATCH(Kalkulation!AW$5,Rezepte!$5:$5,0),0),"")</f>
        <v/>
      </c>
      <c r="AX13" s="23" t="str">
        <f>IF(AND(ISNUMBER(VLOOKUP($A13,Rezepte,MATCH(Kalkulation!AX$5,Rezepte!$5:$5,0),0)),ISNUMBER(VLOOKUP(AX$5,Materialpreise,3,0))),VLOOKUP(AX$5,Materialpreise,3,0)*VLOOKUP($A13,Rezepte,MATCH(Kalkulation!AX$5,Rezepte!$5:$5,0),0),"")</f>
        <v/>
      </c>
      <c r="AY13" s="23" t="str">
        <f>IF(AND(ISNUMBER(VLOOKUP($A13,Rezepte,MATCH(Kalkulation!AY$5,Rezepte!$5:$5,0),0)),ISNUMBER(VLOOKUP(AY$5,Materialpreise,3,0))),VLOOKUP(AY$5,Materialpreise,3,0)*VLOOKUP($A13,Rezepte,MATCH(Kalkulation!AY$5,Rezepte!$5:$5,0),0),"")</f>
        <v/>
      </c>
      <c r="AZ13" s="23" t="str">
        <f>IF(AND(ISNUMBER(VLOOKUP($A13,Rezepte,MATCH(Kalkulation!AZ$5,Rezepte!$5:$5,0),0)),ISNUMBER(VLOOKUP(AZ$5,Materialpreise,3,0))),VLOOKUP(AZ$5,Materialpreise,3,0)*VLOOKUP($A13,Rezepte,MATCH(Kalkulation!AZ$5,Rezepte!$5:$5,0),0),"")</f>
        <v/>
      </c>
      <c r="BA13" s="23" t="str">
        <f>IF(AND(ISNUMBER(VLOOKUP($A13,Rezepte,MATCH(Kalkulation!BA$5,Rezepte!$5:$5,0),0)),ISNUMBER(VLOOKUP(BA$5,Materialpreise,3,0))),VLOOKUP(BA$5,Materialpreise,3,0)*VLOOKUP($A13,Rezepte,MATCH(Kalkulation!BA$5,Rezepte!$5:$5,0),0),"")</f>
        <v/>
      </c>
    </row>
    <row r="14" spans="1:53" x14ac:dyDescent="0.25">
      <c r="A14" t="str">
        <f t="array" ref="A14">IFERROR(INDEX(Rezepte!$A$6:$A$100,MATCH(1,(COUNTIF(A$6:A13,Rezepte!A$6:A$100)=0)*(Rezepte!A$6:A$100&lt;&gt;""),0)),"")</f>
        <v>Quarktasche (Teig)</v>
      </c>
      <c r="B14" s="23">
        <f t="shared" si="0"/>
        <v>6.300420000000001E-2</v>
      </c>
      <c r="C14" s="23">
        <f t="shared" si="1"/>
        <v>6.300420000000001E-2</v>
      </c>
      <c r="D14" s="23" t="str">
        <f>IF(AND(ISNUMBER(VLOOKUP($A14,Rezepte,MATCH(Kalkulation!D$5,Rezepte!$5:$5,0),0)),ISNUMBER(VLOOKUP(D$5,Materialpreise,3,0))),VLOOKUP(D$5,Materialpreise,3,0)*VLOOKUP($A14,Rezepte,MATCH(Kalkulation!D$5,Rezepte!$5:$5,0),0),"")</f>
        <v/>
      </c>
      <c r="E14" s="23" t="str">
        <f>IF(AND(ISNUMBER(VLOOKUP($A14,Rezepte,MATCH(Kalkulation!E$5,Rezepte!$5:$5,0),0)),ISNUMBER(VLOOKUP(E$5,Materialpreise,3,0))),VLOOKUP(E$5,Materialpreise,3,0)*VLOOKUP($A14,Rezepte,MATCH(Kalkulation!E$5,Rezepte!$5:$5,0),0),"")</f>
        <v/>
      </c>
      <c r="F14" s="23" t="str">
        <f>IF(AND(ISNUMBER(VLOOKUP($A14,Rezepte,MATCH(Kalkulation!F$5,Rezepte!$5:$5,0),0)),ISNUMBER(VLOOKUP(F$5,Materialpreise,3,0))),VLOOKUP(F$5,Materialpreise,3,0)*VLOOKUP($A14,Rezepte,MATCH(Kalkulation!F$5,Rezepte!$5:$5,0),0),"")</f>
        <v/>
      </c>
      <c r="G14" s="23" t="str">
        <f>IF(AND(ISNUMBER(VLOOKUP($A14,Rezepte,MATCH(Kalkulation!G$5,Rezepte!$5:$5,0),0)),ISNUMBER(VLOOKUP(G$5,Materialpreise,3,0))),VLOOKUP(G$5,Materialpreise,3,0)*VLOOKUP($A14,Rezepte,MATCH(Kalkulation!G$5,Rezepte!$5:$5,0),0),"")</f>
        <v/>
      </c>
      <c r="H14" s="23" t="str">
        <f>IF(AND(ISNUMBER(VLOOKUP($A14,Rezepte,MATCH(Kalkulation!H$5,Rezepte!$5:$5,0),0)),ISNUMBER(VLOOKUP(H$5,Materialpreise,3,0))),VLOOKUP(H$5,Materialpreise,3,0)*VLOOKUP($A14,Rezepte,MATCH(Kalkulation!H$5,Rezepte!$5:$5,0),0),"")</f>
        <v/>
      </c>
      <c r="I14" s="23">
        <f>IF(AND(ISNUMBER(VLOOKUP($A14,Rezepte,MATCH(Kalkulation!I$5,Rezepte!$5:$5,0),0)),ISNUMBER(VLOOKUP(I$5,Materialpreise,3,0))),VLOOKUP(I$5,Materialpreise,3,0)*VLOOKUP($A14,Rezepte,MATCH(Kalkulation!I$5,Rezepte!$5:$5,0),0),"")</f>
        <v>3.9440000000000003E-2</v>
      </c>
      <c r="J14" s="23" t="str">
        <f>IF(AND(ISNUMBER(VLOOKUP($A14,Rezepte,MATCH(Kalkulation!J$5,Rezepte!$5:$5,0),0)),ISNUMBER(VLOOKUP(J$5,Materialpreise,3,0))),VLOOKUP(J$5,Materialpreise,3,0)*VLOOKUP($A14,Rezepte,MATCH(Kalkulation!J$5,Rezepte!$5:$5,0),0),"")</f>
        <v/>
      </c>
      <c r="K14" s="23" t="str">
        <f>IF(AND(ISNUMBER(VLOOKUP($A14,Rezepte,MATCH(Kalkulation!K$5,Rezepte!$5:$5,0),0)),ISNUMBER(VLOOKUP(K$5,Materialpreise,3,0))),VLOOKUP(K$5,Materialpreise,3,0)*VLOOKUP($A14,Rezepte,MATCH(Kalkulation!K$5,Rezepte!$5:$5,0),0),"")</f>
        <v/>
      </c>
      <c r="L14" s="23" t="str">
        <f>IF(AND(ISNUMBER(VLOOKUP($A14,Rezepte,MATCH(Kalkulation!L$5,Rezepte!$5:$5,0),0)),ISNUMBER(VLOOKUP(L$5,Materialpreise,3,0))),VLOOKUP(L$5,Materialpreise,3,0)*VLOOKUP($A14,Rezepte,MATCH(Kalkulation!L$5,Rezepte!$5:$5,0),0),"")</f>
        <v/>
      </c>
      <c r="M14" s="23" t="str">
        <f>IF(AND(ISNUMBER(VLOOKUP($A14,Rezepte,MATCH(Kalkulation!M$5,Rezepte!$5:$5,0),0)),ISNUMBER(VLOOKUP(M$5,Materialpreise,3,0))),VLOOKUP(M$5,Materialpreise,3,0)*VLOOKUP($A14,Rezepte,MATCH(Kalkulation!M$5,Rezepte!$5:$5,0),0),"")</f>
        <v/>
      </c>
      <c r="N14" s="23" t="str">
        <f>IF(AND(ISNUMBER(VLOOKUP($A14,Rezepte,MATCH(Kalkulation!N$5,Rezepte!$5:$5,0),0)),ISNUMBER(VLOOKUP(N$5,Materialpreise,3,0))),VLOOKUP(N$5,Materialpreise,3,0)*VLOOKUP($A14,Rezepte,MATCH(Kalkulation!N$5,Rezepte!$5:$5,0),0),"")</f>
        <v/>
      </c>
      <c r="O14" s="23" t="str">
        <f>IF(AND(ISNUMBER(VLOOKUP($A14,Rezepte,MATCH(Kalkulation!O$5,Rezepte!$5:$5,0),0)),ISNUMBER(VLOOKUP(O$5,Materialpreise,3,0))),VLOOKUP(O$5,Materialpreise,3,0)*VLOOKUP($A14,Rezepte,MATCH(Kalkulation!O$5,Rezepte!$5:$5,0),0),"")</f>
        <v/>
      </c>
      <c r="P14" s="23">
        <f>IF(AND(ISNUMBER(VLOOKUP($A14,Rezepte,MATCH(Kalkulation!P$5,Rezepte!$5:$5,0),0)),ISNUMBER(VLOOKUP(P$5,Materialpreise,3,0))),VLOOKUP(P$5,Materialpreise,3,0)*VLOOKUP($A14,Rezepte,MATCH(Kalkulation!P$5,Rezepte!$5:$5,0),0),"")</f>
        <v>1.7200000000000002E-3</v>
      </c>
      <c r="Q14" s="23" t="str">
        <f>IF(AND(ISNUMBER(VLOOKUP($A14,Rezepte,MATCH(Kalkulation!Q$5,Rezepte!$5:$5,0),0)),ISNUMBER(VLOOKUP(Q$5,Materialpreise,3,0))),VLOOKUP(Q$5,Materialpreise,3,0)*VLOOKUP($A14,Rezepte,MATCH(Kalkulation!Q$5,Rezepte!$5:$5,0),0),"")</f>
        <v/>
      </c>
      <c r="R14" s="23" t="str">
        <f>IF(AND(ISNUMBER(VLOOKUP($A14,Rezepte,MATCH(Kalkulation!R$5,Rezepte!$5:$5,0),0)),ISNUMBER(VLOOKUP(R$5,Materialpreise,3,0))),VLOOKUP(R$5,Materialpreise,3,0)*VLOOKUP($A14,Rezepte,MATCH(Kalkulation!R$5,Rezepte!$5:$5,0),0),"")</f>
        <v/>
      </c>
      <c r="S14" s="23" t="str">
        <f>IF(AND(ISNUMBER(VLOOKUP($A14,Rezepte,MATCH(Kalkulation!S$5,Rezepte!$5:$5,0),0)),ISNUMBER(VLOOKUP(S$5,Materialpreise,3,0))),VLOOKUP(S$5,Materialpreise,3,0)*VLOOKUP($A14,Rezepte,MATCH(Kalkulation!S$5,Rezepte!$5:$5,0),0),"")</f>
        <v/>
      </c>
      <c r="T14" s="23" t="str">
        <f>IF(AND(ISNUMBER(VLOOKUP($A14,Rezepte,MATCH(Kalkulation!T$5,Rezepte!$5:$5,0),0)),ISNUMBER(VLOOKUP(T$5,Materialpreise,3,0))),VLOOKUP(T$5,Materialpreise,3,0)*VLOOKUP($A14,Rezepte,MATCH(Kalkulation!T$5,Rezepte!$5:$5,0),0),"")</f>
        <v/>
      </c>
      <c r="U14" s="23" t="str">
        <f>IF(AND(ISNUMBER(VLOOKUP($A14,Rezepte,MATCH(Kalkulation!U$5,Rezepte!$5:$5,0),0)),ISNUMBER(VLOOKUP(U$5,Materialpreise,3,0))),VLOOKUP(U$5,Materialpreise,3,0)*VLOOKUP($A14,Rezepte,MATCH(Kalkulation!U$5,Rezepte!$5:$5,0),0),"")</f>
        <v/>
      </c>
      <c r="V14" s="23" t="str">
        <f>IF(AND(ISNUMBER(VLOOKUP($A14,Rezepte,MATCH(Kalkulation!V$5,Rezepte!$5:$5,0),0)),ISNUMBER(VLOOKUP(V$5,Materialpreise,3,0))),VLOOKUP(V$5,Materialpreise,3,0)*VLOOKUP($A14,Rezepte,MATCH(Kalkulation!V$5,Rezepte!$5:$5,0),0),"")</f>
        <v/>
      </c>
      <c r="W14" s="23" t="str">
        <f>IF(AND(ISNUMBER(VLOOKUP($A14,Rezepte,MATCH(Kalkulation!W$5,Rezepte!$5:$5,0),0)),ISNUMBER(VLOOKUP(W$5,Materialpreise,3,0))),VLOOKUP(W$5,Materialpreise,3,0)*VLOOKUP($A14,Rezepte,MATCH(Kalkulation!W$5,Rezepte!$5:$5,0),0),"")</f>
        <v/>
      </c>
      <c r="X14" s="23" t="str">
        <f>IF(AND(ISNUMBER(VLOOKUP($A14,Rezepte,MATCH(Kalkulation!X$5,Rezepte!$5:$5,0),0)),ISNUMBER(VLOOKUP(X$5,Materialpreise,3,0))),VLOOKUP(X$5,Materialpreise,3,0)*VLOOKUP($A14,Rezepte,MATCH(Kalkulation!X$5,Rezepte!$5:$5,0),0),"")</f>
        <v/>
      </c>
      <c r="Y14" s="23" t="str">
        <f>IF(AND(ISNUMBER(VLOOKUP($A14,Rezepte,MATCH(Kalkulation!Y$5,Rezepte!$5:$5,0),0)),ISNUMBER(VLOOKUP(Y$5,Materialpreise,3,0))),VLOOKUP(Y$5,Materialpreise,3,0)*VLOOKUP($A14,Rezepte,MATCH(Kalkulation!Y$5,Rezepte!$5:$5,0),0),"")</f>
        <v/>
      </c>
      <c r="Z14" s="23" t="str">
        <f>IF(AND(ISNUMBER(VLOOKUP($A14,Rezepte,MATCH(Kalkulation!Z$5,Rezepte!$5:$5,0),0)),ISNUMBER(VLOOKUP(Z$5,Materialpreise,3,0))),VLOOKUP(Z$5,Materialpreise,3,0)*VLOOKUP($A14,Rezepte,MATCH(Kalkulation!Z$5,Rezepte!$5:$5,0),0),"")</f>
        <v/>
      </c>
      <c r="AA14" s="23">
        <f>IF(AND(ISNUMBER(VLOOKUP($A14,Rezepte,MATCH(Kalkulation!AA$5,Rezepte!$5:$5,0),0)),ISNUMBER(VLOOKUP(AA$5,Materialpreise,3,0))),VLOOKUP(AA$5,Materialpreise,3,0)*VLOOKUP($A14,Rezepte,MATCH(Kalkulation!AA$5,Rezepte!$5:$5,0),0),"")</f>
        <v>3.5600000000000002E-3</v>
      </c>
      <c r="AB14" s="23">
        <f>IF(AND(ISNUMBER(VLOOKUP($A14,Rezepte,MATCH(Kalkulation!AB$5,Rezepte!$5:$5,0),0)),ISNUMBER(VLOOKUP(AB$5,Materialpreise,3,0))),VLOOKUP(AB$5,Materialpreise,3,0)*VLOOKUP($A14,Rezepte,MATCH(Kalkulation!AB$5,Rezepte!$5:$5,0),0),"")</f>
        <v>5.8499999999999993E-3</v>
      </c>
      <c r="AC14" s="23">
        <f>IF(AND(ISNUMBER(VLOOKUP($A14,Rezepte,MATCH(Kalkulation!AC$5,Rezepte!$5:$5,0),0)),ISNUMBER(VLOOKUP(AC$5,Materialpreise,3,0))),VLOOKUP(AC$5,Materialpreise,3,0)*VLOOKUP($A14,Rezepte,MATCH(Kalkulation!AC$5,Rezepte!$5:$5,0),0),"")</f>
        <v>9.2880000000000011E-3</v>
      </c>
      <c r="AD14" s="23" t="str">
        <f>IF(AND(ISNUMBER(VLOOKUP($A14,Rezepte,MATCH(Kalkulation!AD$5,Rezepte!$5:$5,0),0)),ISNUMBER(VLOOKUP(AD$5,Materialpreise,3,0))),VLOOKUP(AD$5,Materialpreise,3,0)*VLOOKUP($A14,Rezepte,MATCH(Kalkulation!AD$5,Rezepte!$5:$5,0),0),"")</f>
        <v/>
      </c>
      <c r="AE14" s="23">
        <f>IF(AND(ISNUMBER(VLOOKUP($A14,Rezepte,MATCH(Kalkulation!AE$5,Rezepte!$5:$5,0),0)),ISNUMBER(VLOOKUP(AE$5,Materialpreise,3,0))),VLOOKUP(AE$5,Materialpreise,3,0)*VLOOKUP($A14,Rezepte,MATCH(Kalkulation!AE$5,Rezepte!$5:$5,0),0),"")</f>
        <v>2.6619999999999997E-4</v>
      </c>
      <c r="AF14" s="23">
        <f>IF(AND(ISNUMBER(VLOOKUP($A14,Rezepte,MATCH(Kalkulation!AF$5,Rezepte!$5:$5,0),0)),ISNUMBER(VLOOKUP(AF$5,Materialpreise,3,0))),VLOOKUP(AF$5,Materialpreise,3,0)*VLOOKUP($A14,Rezepte,MATCH(Kalkulation!AF$5,Rezepte!$5:$5,0),0),"")</f>
        <v>2.8800000000000002E-3</v>
      </c>
      <c r="AG14" s="23" t="str">
        <f>IF(AND(ISNUMBER(VLOOKUP($A14,Rezepte,MATCH(Kalkulation!AG$5,Rezepte!$5:$5,0),0)),ISNUMBER(VLOOKUP(AG$5,Materialpreise,3,0))),VLOOKUP(AG$5,Materialpreise,3,0)*VLOOKUP($A14,Rezepte,MATCH(Kalkulation!AG$5,Rezepte!$5:$5,0),0),"")</f>
        <v/>
      </c>
      <c r="AH14" s="23" t="str">
        <f>IF(AND(ISNUMBER(VLOOKUP($A14,Rezepte,MATCH(Kalkulation!AH$5,Rezepte!$5:$5,0),0)),ISNUMBER(VLOOKUP(AH$5,Materialpreise,3,0))),VLOOKUP(AH$5,Materialpreise,3,0)*VLOOKUP($A14,Rezepte,MATCH(Kalkulation!AH$5,Rezepte!$5:$5,0),0),"")</f>
        <v/>
      </c>
      <c r="AI14" s="23" t="str">
        <f>IF(AND(ISNUMBER(VLOOKUP($A14,Rezepte,MATCH(Kalkulation!AI$5,Rezepte!$5:$5,0),0)),ISNUMBER(VLOOKUP(AI$5,Materialpreise,3,0))),VLOOKUP(AI$5,Materialpreise,3,0)*VLOOKUP($A14,Rezepte,MATCH(Kalkulation!AI$5,Rezepte!$5:$5,0),0),"")</f>
        <v/>
      </c>
      <c r="AJ14" s="23" t="str">
        <f>IF(AND(ISNUMBER(VLOOKUP($A14,Rezepte,MATCH(Kalkulation!AJ$5,Rezepte!$5:$5,0),0)),ISNUMBER(VLOOKUP(AJ$5,Materialpreise,3,0))),VLOOKUP(AJ$5,Materialpreise,3,0)*VLOOKUP($A14,Rezepte,MATCH(Kalkulation!AJ$5,Rezepte!$5:$5,0),0),"")</f>
        <v/>
      </c>
      <c r="AK14" s="23" t="str">
        <f>IF(AND(ISNUMBER(VLOOKUP($A14,Rezepte,MATCH(Kalkulation!AK$5,Rezepte!$5:$5,0),0)),ISNUMBER(VLOOKUP(AK$5,Materialpreise,3,0))),VLOOKUP(AK$5,Materialpreise,3,0)*VLOOKUP($A14,Rezepte,MATCH(Kalkulation!AK$5,Rezepte!$5:$5,0),0),"")</f>
        <v/>
      </c>
      <c r="AL14" s="23" t="str">
        <f>IF(AND(ISNUMBER(VLOOKUP($A14,Rezepte,MATCH(Kalkulation!AL$5,Rezepte!$5:$5,0),0)),ISNUMBER(VLOOKUP(AL$5,Materialpreise,3,0))),VLOOKUP(AL$5,Materialpreise,3,0)*VLOOKUP($A14,Rezepte,MATCH(Kalkulation!AL$5,Rezepte!$5:$5,0),0),"")</f>
        <v/>
      </c>
      <c r="AM14" s="23" t="str">
        <f>IF(AND(ISNUMBER(VLOOKUP($A14,Rezepte,MATCH(Kalkulation!AM$5,Rezepte!$5:$5,0),0)),ISNUMBER(VLOOKUP(AM$5,Materialpreise,3,0))),VLOOKUP(AM$5,Materialpreise,3,0)*VLOOKUP($A14,Rezepte,MATCH(Kalkulation!AM$5,Rezepte!$5:$5,0),0),"")</f>
        <v/>
      </c>
      <c r="AN14" s="23" t="str">
        <f>IF(AND(ISNUMBER(VLOOKUP($A14,Rezepte,MATCH(Kalkulation!AN$5,Rezepte!$5:$5,0),0)),ISNUMBER(VLOOKUP(AN$5,Materialpreise,3,0))),VLOOKUP(AN$5,Materialpreise,3,0)*VLOOKUP($A14,Rezepte,MATCH(Kalkulation!AN$5,Rezepte!$5:$5,0),0),"")</f>
        <v/>
      </c>
      <c r="AO14" s="23" t="str">
        <f>IF(AND(ISNUMBER(VLOOKUP($A14,Rezepte,MATCH(Kalkulation!AO$5,Rezepte!$5:$5,0),0)),ISNUMBER(VLOOKUP(AO$5,Materialpreise,3,0))),VLOOKUP(AO$5,Materialpreise,3,0)*VLOOKUP($A14,Rezepte,MATCH(Kalkulation!AO$5,Rezepte!$5:$5,0),0),"")</f>
        <v/>
      </c>
      <c r="AP14" s="23" t="str">
        <f>IF(AND(ISNUMBER(VLOOKUP($A14,Rezepte,MATCH(Kalkulation!AP$5,Rezepte!$5:$5,0),0)),ISNUMBER(VLOOKUP(AP$5,Materialpreise,3,0))),VLOOKUP(AP$5,Materialpreise,3,0)*VLOOKUP($A14,Rezepte,MATCH(Kalkulation!AP$5,Rezepte!$5:$5,0),0),"")</f>
        <v/>
      </c>
      <c r="AQ14" s="23" t="str">
        <f>IF(AND(ISNUMBER(VLOOKUP($A14,Rezepte,MATCH(Kalkulation!AQ$5,Rezepte!$5:$5,0),0)),ISNUMBER(VLOOKUP(AQ$5,Materialpreise,3,0))),VLOOKUP(AQ$5,Materialpreise,3,0)*VLOOKUP($A14,Rezepte,MATCH(Kalkulation!AQ$5,Rezepte!$5:$5,0),0),"")</f>
        <v/>
      </c>
      <c r="AR14" s="23" t="str">
        <f>IF(AND(ISNUMBER(VLOOKUP($A14,Rezepte,MATCH(Kalkulation!AR$5,Rezepte!$5:$5,0),0)),ISNUMBER(VLOOKUP(AR$5,Materialpreise,3,0))),VLOOKUP(AR$5,Materialpreise,3,0)*VLOOKUP($A14,Rezepte,MATCH(Kalkulation!AR$5,Rezepte!$5:$5,0),0),"")</f>
        <v/>
      </c>
      <c r="AS14" s="23" t="str">
        <f>IF(AND(ISNUMBER(VLOOKUP($A14,Rezepte,MATCH(Kalkulation!AS$5,Rezepte!$5:$5,0),0)),ISNUMBER(VLOOKUP(AS$5,Materialpreise,3,0))),VLOOKUP(AS$5,Materialpreise,3,0)*VLOOKUP($A14,Rezepte,MATCH(Kalkulation!AS$5,Rezepte!$5:$5,0),0),"")</f>
        <v/>
      </c>
      <c r="AT14" s="23" t="str">
        <f>IF(AND(ISNUMBER(VLOOKUP($A14,Rezepte,MATCH(Kalkulation!AT$5,Rezepte!$5:$5,0),0)),ISNUMBER(VLOOKUP(AT$5,Materialpreise,3,0))),VLOOKUP(AT$5,Materialpreise,3,0)*VLOOKUP($A14,Rezepte,MATCH(Kalkulation!AT$5,Rezepte!$5:$5,0),0),"")</f>
        <v/>
      </c>
      <c r="AU14" s="23" t="str">
        <f>IF(AND(ISNUMBER(VLOOKUP($A14,Rezepte,MATCH(Kalkulation!AU$5,Rezepte!$5:$5,0),0)),ISNUMBER(VLOOKUP(AU$5,Materialpreise,3,0))),VLOOKUP(AU$5,Materialpreise,3,0)*VLOOKUP($A14,Rezepte,MATCH(Kalkulation!AU$5,Rezepte!$5:$5,0),0),"")</f>
        <v/>
      </c>
      <c r="AV14" s="23" t="str">
        <f>IF(AND(ISNUMBER(VLOOKUP($A14,Rezepte,MATCH(Kalkulation!AV$5,Rezepte!$5:$5,0),0)),ISNUMBER(VLOOKUP(AV$5,Materialpreise,3,0))),VLOOKUP(AV$5,Materialpreise,3,0)*VLOOKUP($A14,Rezepte,MATCH(Kalkulation!AV$5,Rezepte!$5:$5,0),0),"")</f>
        <v/>
      </c>
      <c r="AW14" s="23" t="str">
        <f>IF(AND(ISNUMBER(VLOOKUP($A14,Rezepte,MATCH(Kalkulation!AW$5,Rezepte!$5:$5,0),0)),ISNUMBER(VLOOKUP(AW$5,Materialpreise,3,0))),VLOOKUP(AW$5,Materialpreise,3,0)*VLOOKUP($A14,Rezepte,MATCH(Kalkulation!AW$5,Rezepte!$5:$5,0),0),"")</f>
        <v/>
      </c>
      <c r="AX14" s="23" t="str">
        <f>IF(AND(ISNUMBER(VLOOKUP($A14,Rezepte,MATCH(Kalkulation!AX$5,Rezepte!$5:$5,0),0)),ISNUMBER(VLOOKUP(AX$5,Materialpreise,3,0))),VLOOKUP(AX$5,Materialpreise,3,0)*VLOOKUP($A14,Rezepte,MATCH(Kalkulation!AX$5,Rezepte!$5:$5,0),0),"")</f>
        <v/>
      </c>
      <c r="AY14" s="23" t="str">
        <f>IF(AND(ISNUMBER(VLOOKUP($A14,Rezepte,MATCH(Kalkulation!AY$5,Rezepte!$5:$5,0),0)),ISNUMBER(VLOOKUP(AY$5,Materialpreise,3,0))),VLOOKUP(AY$5,Materialpreise,3,0)*VLOOKUP($A14,Rezepte,MATCH(Kalkulation!AY$5,Rezepte!$5:$5,0),0),"")</f>
        <v/>
      </c>
      <c r="AZ14" s="23" t="str">
        <f>IF(AND(ISNUMBER(VLOOKUP($A14,Rezepte,MATCH(Kalkulation!AZ$5,Rezepte!$5:$5,0),0)),ISNUMBER(VLOOKUP(AZ$5,Materialpreise,3,0))),VLOOKUP(AZ$5,Materialpreise,3,0)*VLOOKUP($A14,Rezepte,MATCH(Kalkulation!AZ$5,Rezepte!$5:$5,0),0),"")</f>
        <v/>
      </c>
      <c r="BA14" s="23" t="str">
        <f>IF(AND(ISNUMBER(VLOOKUP($A14,Rezepte,MATCH(Kalkulation!BA$5,Rezepte!$5:$5,0),0)),ISNUMBER(VLOOKUP(BA$5,Materialpreise,3,0))),VLOOKUP(BA$5,Materialpreise,3,0)*VLOOKUP($A14,Rezepte,MATCH(Kalkulation!BA$5,Rezepte!$5:$5,0),0),"")</f>
        <v/>
      </c>
    </row>
    <row r="15" spans="1:53" x14ac:dyDescent="0.25">
      <c r="A15" t="str">
        <f t="array" ref="A15">IFERROR(INDEX(Rezepte!$A$6:$A$100,MATCH(1,(COUNTIF(A$6:A14,Rezepte!A$6:A$100)=0)*(Rezepte!A$6:A$100&lt;&gt;""),0)),"")</f>
        <v>Quarktasche (Quarkmasse)</v>
      </c>
      <c r="B15" s="23">
        <f t="shared" si="0"/>
        <v>6.0758E-2</v>
      </c>
      <c r="C15" s="23">
        <f t="shared" si="1"/>
        <v>6.0758E-2</v>
      </c>
      <c r="D15" s="23" t="str">
        <f>IF(AND(ISNUMBER(VLOOKUP($A15,Rezepte,MATCH(Kalkulation!D$5,Rezepte!$5:$5,0),0)),ISNUMBER(VLOOKUP(D$5,Materialpreise,3,0))),VLOOKUP(D$5,Materialpreise,3,0)*VLOOKUP($A15,Rezepte,MATCH(Kalkulation!D$5,Rezepte!$5:$5,0),0),"")</f>
        <v/>
      </c>
      <c r="E15" s="23" t="str">
        <f>IF(AND(ISNUMBER(VLOOKUP($A15,Rezepte,MATCH(Kalkulation!E$5,Rezepte!$5:$5,0),0)),ISNUMBER(VLOOKUP(E$5,Materialpreise,3,0))),VLOOKUP(E$5,Materialpreise,3,0)*VLOOKUP($A15,Rezepte,MATCH(Kalkulation!E$5,Rezepte!$5:$5,0),0),"")</f>
        <v/>
      </c>
      <c r="F15" s="23" t="str">
        <f>IF(AND(ISNUMBER(VLOOKUP($A15,Rezepte,MATCH(Kalkulation!F$5,Rezepte!$5:$5,0),0)),ISNUMBER(VLOOKUP(F$5,Materialpreise,3,0))),VLOOKUP(F$5,Materialpreise,3,0)*VLOOKUP($A15,Rezepte,MATCH(Kalkulation!F$5,Rezepte!$5:$5,0),0),"")</f>
        <v/>
      </c>
      <c r="G15" s="23" t="str">
        <f>IF(AND(ISNUMBER(VLOOKUP($A15,Rezepte,MATCH(Kalkulation!G$5,Rezepte!$5:$5,0),0)),ISNUMBER(VLOOKUP(G$5,Materialpreise,3,0))),VLOOKUP(G$5,Materialpreise,3,0)*VLOOKUP($A15,Rezepte,MATCH(Kalkulation!G$5,Rezepte!$5:$5,0),0),"")</f>
        <v/>
      </c>
      <c r="H15" s="23" t="str">
        <f>IF(AND(ISNUMBER(VLOOKUP($A15,Rezepte,MATCH(Kalkulation!H$5,Rezepte!$5:$5,0),0)),ISNUMBER(VLOOKUP(H$5,Materialpreise,3,0))),VLOOKUP(H$5,Materialpreise,3,0)*VLOOKUP($A15,Rezepte,MATCH(Kalkulation!H$5,Rezepte!$5:$5,0),0),"")</f>
        <v/>
      </c>
      <c r="I15" s="23" t="str">
        <f>IF(AND(ISNUMBER(VLOOKUP($A15,Rezepte,MATCH(Kalkulation!I$5,Rezepte!$5:$5,0),0)),ISNUMBER(VLOOKUP(I$5,Materialpreise,3,0))),VLOOKUP(I$5,Materialpreise,3,0)*VLOOKUP($A15,Rezepte,MATCH(Kalkulation!I$5,Rezepte!$5:$5,0),0),"")</f>
        <v/>
      </c>
      <c r="J15" s="23" t="str">
        <f>IF(AND(ISNUMBER(VLOOKUP($A15,Rezepte,MATCH(Kalkulation!J$5,Rezepte!$5:$5,0),0)),ISNUMBER(VLOOKUP(J$5,Materialpreise,3,0))),VLOOKUP(J$5,Materialpreise,3,0)*VLOOKUP($A15,Rezepte,MATCH(Kalkulation!J$5,Rezepte!$5:$5,0),0),"")</f>
        <v/>
      </c>
      <c r="K15" s="23" t="str">
        <f>IF(AND(ISNUMBER(VLOOKUP($A15,Rezepte,MATCH(Kalkulation!K$5,Rezepte!$5:$5,0),0)),ISNUMBER(VLOOKUP(K$5,Materialpreise,3,0))),VLOOKUP(K$5,Materialpreise,3,0)*VLOOKUP($A15,Rezepte,MATCH(Kalkulation!K$5,Rezepte!$5:$5,0),0),"")</f>
        <v/>
      </c>
      <c r="L15" s="23" t="str">
        <f>IF(AND(ISNUMBER(VLOOKUP($A15,Rezepte,MATCH(Kalkulation!L$5,Rezepte!$5:$5,0),0)),ISNUMBER(VLOOKUP(L$5,Materialpreise,3,0))),VLOOKUP(L$5,Materialpreise,3,0)*VLOOKUP($A15,Rezepte,MATCH(Kalkulation!L$5,Rezepte!$5:$5,0),0),"")</f>
        <v/>
      </c>
      <c r="M15" s="23" t="str">
        <f>IF(AND(ISNUMBER(VLOOKUP($A15,Rezepte,MATCH(Kalkulation!M$5,Rezepte!$5:$5,0),0)),ISNUMBER(VLOOKUP(M$5,Materialpreise,3,0))),VLOOKUP(M$5,Materialpreise,3,0)*VLOOKUP($A15,Rezepte,MATCH(Kalkulation!M$5,Rezepte!$5:$5,0),0),"")</f>
        <v/>
      </c>
      <c r="N15" s="23" t="str">
        <f>IF(AND(ISNUMBER(VLOOKUP($A15,Rezepte,MATCH(Kalkulation!N$5,Rezepte!$5:$5,0),0)),ISNUMBER(VLOOKUP(N$5,Materialpreise,3,0))),VLOOKUP(N$5,Materialpreise,3,0)*VLOOKUP($A15,Rezepte,MATCH(Kalkulation!N$5,Rezepte!$5:$5,0),0),"")</f>
        <v/>
      </c>
      <c r="O15" s="23" t="str">
        <f>IF(AND(ISNUMBER(VLOOKUP($A15,Rezepte,MATCH(Kalkulation!O$5,Rezepte!$5:$5,0),0)),ISNUMBER(VLOOKUP(O$5,Materialpreise,3,0))),VLOOKUP(O$5,Materialpreise,3,0)*VLOOKUP($A15,Rezepte,MATCH(Kalkulation!O$5,Rezepte!$5:$5,0),0),"")</f>
        <v/>
      </c>
      <c r="P15" s="23" t="str">
        <f>IF(AND(ISNUMBER(VLOOKUP($A15,Rezepte,MATCH(Kalkulation!P$5,Rezepte!$5:$5,0),0)),ISNUMBER(VLOOKUP(P$5,Materialpreise,3,0))),VLOOKUP(P$5,Materialpreise,3,0)*VLOOKUP($A15,Rezepte,MATCH(Kalkulation!P$5,Rezepte!$5:$5,0),0),"")</f>
        <v/>
      </c>
      <c r="Q15" s="23" t="str">
        <f>IF(AND(ISNUMBER(VLOOKUP($A15,Rezepte,MATCH(Kalkulation!Q$5,Rezepte!$5:$5,0),0)),ISNUMBER(VLOOKUP(Q$5,Materialpreise,3,0))),VLOOKUP(Q$5,Materialpreise,3,0)*VLOOKUP($A15,Rezepte,MATCH(Kalkulation!Q$5,Rezepte!$5:$5,0),0),"")</f>
        <v/>
      </c>
      <c r="R15" s="23" t="str">
        <f>IF(AND(ISNUMBER(VLOOKUP($A15,Rezepte,MATCH(Kalkulation!R$5,Rezepte!$5:$5,0),0)),ISNUMBER(VLOOKUP(R$5,Materialpreise,3,0))),VLOOKUP(R$5,Materialpreise,3,0)*VLOOKUP($A15,Rezepte,MATCH(Kalkulation!R$5,Rezepte!$5:$5,0),0),"")</f>
        <v/>
      </c>
      <c r="S15" s="23" t="str">
        <f>IF(AND(ISNUMBER(VLOOKUP($A15,Rezepte,MATCH(Kalkulation!S$5,Rezepte!$5:$5,0),0)),ISNUMBER(VLOOKUP(S$5,Materialpreise,3,0))),VLOOKUP(S$5,Materialpreise,3,0)*VLOOKUP($A15,Rezepte,MATCH(Kalkulation!S$5,Rezepte!$5:$5,0),0),"")</f>
        <v/>
      </c>
      <c r="T15" s="23" t="str">
        <f>IF(AND(ISNUMBER(VLOOKUP($A15,Rezepte,MATCH(Kalkulation!T$5,Rezepte!$5:$5,0),0)),ISNUMBER(VLOOKUP(T$5,Materialpreise,3,0))),VLOOKUP(T$5,Materialpreise,3,0)*VLOOKUP($A15,Rezepte,MATCH(Kalkulation!T$5,Rezepte!$5:$5,0),0),"")</f>
        <v/>
      </c>
      <c r="U15" s="23" t="str">
        <f>IF(AND(ISNUMBER(VLOOKUP($A15,Rezepte,MATCH(Kalkulation!U$5,Rezepte!$5:$5,0),0)),ISNUMBER(VLOOKUP(U$5,Materialpreise,3,0))),VLOOKUP(U$5,Materialpreise,3,0)*VLOOKUP($A15,Rezepte,MATCH(Kalkulation!U$5,Rezepte!$5:$5,0),0),"")</f>
        <v/>
      </c>
      <c r="V15" s="23" t="str">
        <f>IF(AND(ISNUMBER(VLOOKUP($A15,Rezepte,MATCH(Kalkulation!V$5,Rezepte!$5:$5,0),0)),ISNUMBER(VLOOKUP(V$5,Materialpreise,3,0))),VLOOKUP(V$5,Materialpreise,3,0)*VLOOKUP($A15,Rezepte,MATCH(Kalkulation!V$5,Rezepte!$5:$5,0),0),"")</f>
        <v/>
      </c>
      <c r="W15" s="23" t="str">
        <f>IF(AND(ISNUMBER(VLOOKUP($A15,Rezepte,MATCH(Kalkulation!W$5,Rezepte!$5:$5,0),0)),ISNUMBER(VLOOKUP(W$5,Materialpreise,3,0))),VLOOKUP(W$5,Materialpreise,3,0)*VLOOKUP($A15,Rezepte,MATCH(Kalkulation!W$5,Rezepte!$5:$5,0),0),"")</f>
        <v/>
      </c>
      <c r="X15" s="23" t="str">
        <f>IF(AND(ISNUMBER(VLOOKUP($A15,Rezepte,MATCH(Kalkulation!X$5,Rezepte!$5:$5,0),0)),ISNUMBER(VLOOKUP(X$5,Materialpreise,3,0))),VLOOKUP(X$5,Materialpreise,3,0)*VLOOKUP($A15,Rezepte,MATCH(Kalkulation!X$5,Rezepte!$5:$5,0),0),"")</f>
        <v/>
      </c>
      <c r="Y15" s="23" t="str">
        <f>IF(AND(ISNUMBER(VLOOKUP($A15,Rezepte,MATCH(Kalkulation!Y$5,Rezepte!$5:$5,0),0)),ISNUMBER(VLOOKUP(Y$5,Materialpreise,3,0))),VLOOKUP(Y$5,Materialpreise,3,0)*VLOOKUP($A15,Rezepte,MATCH(Kalkulation!Y$5,Rezepte!$5:$5,0),0),"")</f>
        <v/>
      </c>
      <c r="Z15" s="23" t="str">
        <f>IF(AND(ISNUMBER(VLOOKUP($A15,Rezepte,MATCH(Kalkulation!Z$5,Rezepte!$5:$5,0),0)),ISNUMBER(VLOOKUP(Z$5,Materialpreise,3,0))),VLOOKUP(Z$5,Materialpreise,3,0)*VLOOKUP($A15,Rezepte,MATCH(Kalkulation!Z$5,Rezepte!$5:$5,0),0),"")</f>
        <v/>
      </c>
      <c r="AA15" s="23">
        <f>IF(AND(ISNUMBER(VLOOKUP($A15,Rezepte,MATCH(Kalkulation!AA$5,Rezepte!$5:$5,0),0)),ISNUMBER(VLOOKUP(AA$5,Materialpreise,3,0))),VLOOKUP(AA$5,Materialpreise,3,0)*VLOOKUP($A15,Rezepte,MATCH(Kalkulation!AA$5,Rezepte!$5:$5,0),0),"")</f>
        <v>4.45E-3</v>
      </c>
      <c r="AB15" s="23" t="str">
        <f>IF(AND(ISNUMBER(VLOOKUP($A15,Rezepte,MATCH(Kalkulation!AB$5,Rezepte!$5:$5,0),0)),ISNUMBER(VLOOKUP(AB$5,Materialpreise,3,0))),VLOOKUP(AB$5,Materialpreise,3,0)*VLOOKUP($A15,Rezepte,MATCH(Kalkulation!AB$5,Rezepte!$5:$5,0),0),"")</f>
        <v/>
      </c>
      <c r="AC15" s="23">
        <f>IF(AND(ISNUMBER(VLOOKUP($A15,Rezepte,MATCH(Kalkulation!AC$5,Rezepte!$5:$5,0),0)),ISNUMBER(VLOOKUP(AC$5,Materialpreise,3,0))),VLOOKUP(AC$5,Materialpreise,3,0)*VLOOKUP($A15,Rezepte,MATCH(Kalkulation!AC$5,Rezepte!$5:$5,0),0),"")</f>
        <v>2.5800000000000003E-2</v>
      </c>
      <c r="AD15" s="23" t="str">
        <f>IF(AND(ISNUMBER(VLOOKUP($A15,Rezepte,MATCH(Kalkulation!AD$5,Rezepte!$5:$5,0),0)),ISNUMBER(VLOOKUP(AD$5,Materialpreise,3,0))),VLOOKUP(AD$5,Materialpreise,3,0)*VLOOKUP($A15,Rezepte,MATCH(Kalkulation!AD$5,Rezepte!$5:$5,0),0),"")</f>
        <v/>
      </c>
      <c r="AE15" s="23">
        <f>IF(AND(ISNUMBER(VLOOKUP($A15,Rezepte,MATCH(Kalkulation!AE$5,Rezepte!$5:$5,0),0)),ISNUMBER(VLOOKUP(AE$5,Materialpreise,3,0))),VLOOKUP(AE$5,Materialpreise,3,0)*VLOOKUP($A15,Rezepte,MATCH(Kalkulation!AE$5,Rezepte!$5:$5,0),0),"")</f>
        <v>9.68E-4</v>
      </c>
      <c r="AF15" s="23">
        <f>IF(AND(ISNUMBER(VLOOKUP($A15,Rezepte,MATCH(Kalkulation!AF$5,Rezepte!$5:$5,0),0)),ISNUMBER(VLOOKUP(AF$5,Materialpreise,3,0))),VLOOKUP(AF$5,Materialpreise,3,0)*VLOOKUP($A15,Rezepte,MATCH(Kalkulation!AF$5,Rezepte!$5:$5,0),0),"")</f>
        <v>5.4000000000000003E-3</v>
      </c>
      <c r="AG15" s="23">
        <f>IF(AND(ISNUMBER(VLOOKUP($A15,Rezepte,MATCH(Kalkulation!AG$5,Rezepte!$5:$5,0),0)),ISNUMBER(VLOOKUP(AG$5,Materialpreise,3,0))),VLOOKUP(AG$5,Materialpreise,3,0)*VLOOKUP($A15,Rezepte,MATCH(Kalkulation!AG$5,Rezepte!$5:$5,0),0),"")</f>
        <v>2.0999999999999998E-2</v>
      </c>
      <c r="AH15" s="23">
        <f>IF(AND(ISNUMBER(VLOOKUP($A15,Rezepte,MATCH(Kalkulation!AH$5,Rezepte!$5:$5,0),0)),ISNUMBER(VLOOKUP(AH$5,Materialpreise,3,0))),VLOOKUP(AH$5,Materialpreise,3,0)*VLOOKUP($A15,Rezepte,MATCH(Kalkulation!AH$5,Rezepte!$5:$5,0),0),"")</f>
        <v>3.14E-3</v>
      </c>
      <c r="AI15" s="23" t="str">
        <f>IF(AND(ISNUMBER(VLOOKUP($A15,Rezepte,MATCH(Kalkulation!AI$5,Rezepte!$5:$5,0),0)),ISNUMBER(VLOOKUP(AI$5,Materialpreise,3,0))),VLOOKUP(AI$5,Materialpreise,3,0)*VLOOKUP($A15,Rezepte,MATCH(Kalkulation!AI$5,Rezepte!$5:$5,0),0),"")</f>
        <v/>
      </c>
      <c r="AJ15" s="23" t="str">
        <f>IF(AND(ISNUMBER(VLOOKUP($A15,Rezepte,MATCH(Kalkulation!AJ$5,Rezepte!$5:$5,0),0)),ISNUMBER(VLOOKUP(AJ$5,Materialpreise,3,0))),VLOOKUP(AJ$5,Materialpreise,3,0)*VLOOKUP($A15,Rezepte,MATCH(Kalkulation!AJ$5,Rezepte!$5:$5,0),0),"")</f>
        <v/>
      </c>
      <c r="AK15" s="23" t="str">
        <f>IF(AND(ISNUMBER(VLOOKUP($A15,Rezepte,MATCH(Kalkulation!AK$5,Rezepte!$5:$5,0),0)),ISNUMBER(VLOOKUP(AK$5,Materialpreise,3,0))),VLOOKUP(AK$5,Materialpreise,3,0)*VLOOKUP($A15,Rezepte,MATCH(Kalkulation!AK$5,Rezepte!$5:$5,0),0),"")</f>
        <v/>
      </c>
      <c r="AL15" s="23" t="str">
        <f>IF(AND(ISNUMBER(VLOOKUP($A15,Rezepte,MATCH(Kalkulation!AL$5,Rezepte!$5:$5,0),0)),ISNUMBER(VLOOKUP(AL$5,Materialpreise,3,0))),VLOOKUP(AL$5,Materialpreise,3,0)*VLOOKUP($A15,Rezepte,MATCH(Kalkulation!AL$5,Rezepte!$5:$5,0),0),"")</f>
        <v/>
      </c>
      <c r="AM15" s="23" t="str">
        <f>IF(AND(ISNUMBER(VLOOKUP($A15,Rezepte,MATCH(Kalkulation!AM$5,Rezepte!$5:$5,0),0)),ISNUMBER(VLOOKUP(AM$5,Materialpreise,3,0))),VLOOKUP(AM$5,Materialpreise,3,0)*VLOOKUP($A15,Rezepte,MATCH(Kalkulation!AM$5,Rezepte!$5:$5,0),0),"")</f>
        <v/>
      </c>
      <c r="AN15" s="23" t="str">
        <f>IF(AND(ISNUMBER(VLOOKUP($A15,Rezepte,MATCH(Kalkulation!AN$5,Rezepte!$5:$5,0),0)),ISNUMBER(VLOOKUP(AN$5,Materialpreise,3,0))),VLOOKUP(AN$5,Materialpreise,3,0)*VLOOKUP($A15,Rezepte,MATCH(Kalkulation!AN$5,Rezepte!$5:$5,0),0),"")</f>
        <v/>
      </c>
      <c r="AO15" s="23" t="str">
        <f>IF(AND(ISNUMBER(VLOOKUP($A15,Rezepte,MATCH(Kalkulation!AO$5,Rezepte!$5:$5,0),0)),ISNUMBER(VLOOKUP(AO$5,Materialpreise,3,0))),VLOOKUP(AO$5,Materialpreise,3,0)*VLOOKUP($A15,Rezepte,MATCH(Kalkulation!AO$5,Rezepte!$5:$5,0),0),"")</f>
        <v/>
      </c>
      <c r="AP15" s="23" t="str">
        <f>IF(AND(ISNUMBER(VLOOKUP($A15,Rezepte,MATCH(Kalkulation!AP$5,Rezepte!$5:$5,0),0)),ISNUMBER(VLOOKUP(AP$5,Materialpreise,3,0))),VLOOKUP(AP$5,Materialpreise,3,0)*VLOOKUP($A15,Rezepte,MATCH(Kalkulation!AP$5,Rezepte!$5:$5,0),0),"")</f>
        <v/>
      </c>
      <c r="AQ15" s="23" t="str">
        <f>IF(AND(ISNUMBER(VLOOKUP($A15,Rezepte,MATCH(Kalkulation!AQ$5,Rezepte!$5:$5,0),0)),ISNUMBER(VLOOKUP(AQ$5,Materialpreise,3,0))),VLOOKUP(AQ$5,Materialpreise,3,0)*VLOOKUP($A15,Rezepte,MATCH(Kalkulation!AQ$5,Rezepte!$5:$5,0),0),"")</f>
        <v/>
      </c>
      <c r="AR15" s="23" t="str">
        <f>IF(AND(ISNUMBER(VLOOKUP($A15,Rezepte,MATCH(Kalkulation!AR$5,Rezepte!$5:$5,0),0)),ISNUMBER(VLOOKUP(AR$5,Materialpreise,3,0))),VLOOKUP(AR$5,Materialpreise,3,0)*VLOOKUP($A15,Rezepte,MATCH(Kalkulation!AR$5,Rezepte!$5:$5,0),0),"")</f>
        <v/>
      </c>
      <c r="AS15" s="23" t="str">
        <f>IF(AND(ISNUMBER(VLOOKUP($A15,Rezepte,MATCH(Kalkulation!AS$5,Rezepte!$5:$5,0),0)),ISNUMBER(VLOOKUP(AS$5,Materialpreise,3,0))),VLOOKUP(AS$5,Materialpreise,3,0)*VLOOKUP($A15,Rezepte,MATCH(Kalkulation!AS$5,Rezepte!$5:$5,0),0),"")</f>
        <v/>
      </c>
      <c r="AT15" s="23" t="str">
        <f>IF(AND(ISNUMBER(VLOOKUP($A15,Rezepte,MATCH(Kalkulation!AT$5,Rezepte!$5:$5,0),0)),ISNUMBER(VLOOKUP(AT$5,Materialpreise,3,0))),VLOOKUP(AT$5,Materialpreise,3,0)*VLOOKUP($A15,Rezepte,MATCH(Kalkulation!AT$5,Rezepte!$5:$5,0),0),"")</f>
        <v/>
      </c>
      <c r="AU15" s="23" t="str">
        <f>IF(AND(ISNUMBER(VLOOKUP($A15,Rezepte,MATCH(Kalkulation!AU$5,Rezepte!$5:$5,0),0)),ISNUMBER(VLOOKUP(AU$5,Materialpreise,3,0))),VLOOKUP(AU$5,Materialpreise,3,0)*VLOOKUP($A15,Rezepte,MATCH(Kalkulation!AU$5,Rezepte!$5:$5,0),0),"")</f>
        <v/>
      </c>
      <c r="AV15" s="23" t="str">
        <f>IF(AND(ISNUMBER(VLOOKUP($A15,Rezepte,MATCH(Kalkulation!AV$5,Rezepte!$5:$5,0),0)),ISNUMBER(VLOOKUP(AV$5,Materialpreise,3,0))),VLOOKUP(AV$5,Materialpreise,3,0)*VLOOKUP($A15,Rezepte,MATCH(Kalkulation!AV$5,Rezepte!$5:$5,0),0),"")</f>
        <v/>
      </c>
      <c r="AW15" s="23" t="str">
        <f>IF(AND(ISNUMBER(VLOOKUP($A15,Rezepte,MATCH(Kalkulation!AW$5,Rezepte!$5:$5,0),0)),ISNUMBER(VLOOKUP(AW$5,Materialpreise,3,0))),VLOOKUP(AW$5,Materialpreise,3,0)*VLOOKUP($A15,Rezepte,MATCH(Kalkulation!AW$5,Rezepte!$5:$5,0),0),"")</f>
        <v/>
      </c>
      <c r="AX15" s="23" t="str">
        <f>IF(AND(ISNUMBER(VLOOKUP($A15,Rezepte,MATCH(Kalkulation!AX$5,Rezepte!$5:$5,0),0)),ISNUMBER(VLOOKUP(AX$5,Materialpreise,3,0))),VLOOKUP(AX$5,Materialpreise,3,0)*VLOOKUP($A15,Rezepte,MATCH(Kalkulation!AX$5,Rezepte!$5:$5,0),0),"")</f>
        <v/>
      </c>
      <c r="AY15" s="23" t="str">
        <f>IF(AND(ISNUMBER(VLOOKUP($A15,Rezepte,MATCH(Kalkulation!AY$5,Rezepte!$5:$5,0),0)),ISNUMBER(VLOOKUP(AY$5,Materialpreise,3,0))),VLOOKUP(AY$5,Materialpreise,3,0)*VLOOKUP($A15,Rezepte,MATCH(Kalkulation!AY$5,Rezepte!$5:$5,0),0),"")</f>
        <v/>
      </c>
      <c r="AZ15" s="23" t="str">
        <f>IF(AND(ISNUMBER(VLOOKUP($A15,Rezepte,MATCH(Kalkulation!AZ$5,Rezepte!$5:$5,0),0)),ISNUMBER(VLOOKUP(AZ$5,Materialpreise,3,0))),VLOOKUP(AZ$5,Materialpreise,3,0)*VLOOKUP($A15,Rezepte,MATCH(Kalkulation!AZ$5,Rezepte!$5:$5,0),0),"")</f>
        <v/>
      </c>
      <c r="BA15" s="23" t="str">
        <f>IF(AND(ISNUMBER(VLOOKUP($A15,Rezepte,MATCH(Kalkulation!BA$5,Rezepte!$5:$5,0),0)),ISNUMBER(VLOOKUP(BA$5,Materialpreise,3,0))),VLOOKUP(BA$5,Materialpreise,3,0)*VLOOKUP($A15,Rezepte,MATCH(Kalkulation!BA$5,Rezepte!$5:$5,0),0),"")</f>
        <v/>
      </c>
    </row>
    <row r="16" spans="1:53" x14ac:dyDescent="0.25">
      <c r="A16" t="str">
        <f t="array" ref="A16">IFERROR(INDEX(Rezepte!$A$6:$A$100,MATCH(1,(COUNTIF(A$6:A15,Rezepte!A$6:A$100)=0)*(Rezepte!A$6:A$100&lt;&gt;""),0)),"")</f>
        <v>Roggenbrötchen</v>
      </c>
      <c r="B16" s="23">
        <f t="shared" si="0"/>
        <v>3.3915648484848487E-2</v>
      </c>
      <c r="C16" s="23">
        <f t="shared" si="1"/>
        <v>3.3915648484848487E-2</v>
      </c>
      <c r="D16" s="23" t="str">
        <f>IF(AND(ISNUMBER(VLOOKUP($A16,Rezepte,MATCH(Kalkulation!D$5,Rezepte!$5:$5,0),0)),ISNUMBER(VLOOKUP(D$5,Materialpreise,3,0))),VLOOKUP(D$5,Materialpreise,3,0)*VLOOKUP($A16,Rezepte,MATCH(Kalkulation!D$5,Rezepte!$5:$5,0),0),"")</f>
        <v/>
      </c>
      <c r="E16" s="23" t="str">
        <f>IF(AND(ISNUMBER(VLOOKUP($A16,Rezepte,MATCH(Kalkulation!E$5,Rezepte!$5:$5,0),0)),ISNUMBER(VLOOKUP(E$5,Materialpreise,3,0))),VLOOKUP(E$5,Materialpreise,3,0)*VLOOKUP($A16,Rezepte,MATCH(Kalkulation!E$5,Rezepte!$5:$5,0),0),"")</f>
        <v/>
      </c>
      <c r="F16" s="23" t="str">
        <f>IF(AND(ISNUMBER(VLOOKUP($A16,Rezepte,MATCH(Kalkulation!F$5,Rezepte!$5:$5,0),0)),ISNUMBER(VLOOKUP(F$5,Materialpreise,3,0))),VLOOKUP(F$5,Materialpreise,3,0)*VLOOKUP($A16,Rezepte,MATCH(Kalkulation!F$5,Rezepte!$5:$5,0),0),"")</f>
        <v/>
      </c>
      <c r="G16" s="23" t="str">
        <f>IF(AND(ISNUMBER(VLOOKUP($A16,Rezepte,MATCH(Kalkulation!G$5,Rezepte!$5:$5,0),0)),ISNUMBER(VLOOKUP(G$5,Materialpreise,3,0))),VLOOKUP(G$5,Materialpreise,3,0)*VLOOKUP($A16,Rezepte,MATCH(Kalkulation!G$5,Rezepte!$5:$5,0),0),"")</f>
        <v/>
      </c>
      <c r="H16" s="23" t="str">
        <f>IF(AND(ISNUMBER(VLOOKUP($A16,Rezepte,MATCH(Kalkulation!H$5,Rezepte!$5:$5,0),0)),ISNUMBER(VLOOKUP(H$5,Materialpreise,3,0))),VLOOKUP(H$5,Materialpreise,3,0)*VLOOKUP($A16,Rezepte,MATCH(Kalkulation!H$5,Rezepte!$5:$5,0),0),"")</f>
        <v/>
      </c>
      <c r="I16" s="23">
        <f>IF(AND(ISNUMBER(VLOOKUP($A16,Rezepte,MATCH(Kalkulation!I$5,Rezepte!$5:$5,0),0)),ISNUMBER(VLOOKUP(I$5,Materialpreise,3,0))),VLOOKUP(I$5,Materialpreise,3,0)*VLOOKUP($A16,Rezepte,MATCH(Kalkulation!I$5,Rezepte!$5:$5,0),0),"")</f>
        <v>6.2900000000000005E-3</v>
      </c>
      <c r="J16" s="23" t="str">
        <f>IF(AND(ISNUMBER(VLOOKUP($A16,Rezepte,MATCH(Kalkulation!J$5,Rezepte!$5:$5,0),0)),ISNUMBER(VLOOKUP(J$5,Materialpreise,3,0))),VLOOKUP(J$5,Materialpreise,3,0)*VLOOKUP($A16,Rezepte,MATCH(Kalkulation!J$5,Rezepte!$5:$5,0),0),"")</f>
        <v/>
      </c>
      <c r="K16" s="23">
        <f>IF(AND(ISNUMBER(VLOOKUP($A16,Rezepte,MATCH(Kalkulation!K$5,Rezepte!$5:$5,0),0)),ISNUMBER(VLOOKUP(K$5,Materialpreise,3,0))),VLOOKUP(K$5,Materialpreise,3,0)*VLOOKUP($A16,Rezepte,MATCH(Kalkulation!K$5,Rezepte!$5:$5,0),0),"")</f>
        <v>1.1534545454545457E-4</v>
      </c>
      <c r="L16" s="23" t="str">
        <f>IF(AND(ISNUMBER(VLOOKUP($A16,Rezepte,MATCH(Kalkulation!L$5,Rezepte!$5:$5,0),0)),ISNUMBER(VLOOKUP(L$5,Materialpreise,3,0))),VLOOKUP(L$5,Materialpreise,3,0)*VLOOKUP($A16,Rezepte,MATCH(Kalkulation!L$5,Rezepte!$5:$5,0),0),"")</f>
        <v/>
      </c>
      <c r="M16" s="23">
        <f>IF(AND(ISNUMBER(VLOOKUP($A16,Rezepte,MATCH(Kalkulation!M$5,Rezepte!$5:$5,0),0)),ISNUMBER(VLOOKUP(M$5,Materialpreise,3,0))),VLOOKUP(M$5,Materialpreise,3,0)*VLOOKUP($A16,Rezepte,MATCH(Kalkulation!M$5,Rezepte!$5:$5,0),0),"")</f>
        <v>1.0200000000000001E-2</v>
      </c>
      <c r="N16" s="23">
        <f>IF(AND(ISNUMBER(VLOOKUP($A16,Rezepte,MATCH(Kalkulation!N$5,Rezepte!$5:$5,0),0)),ISNUMBER(VLOOKUP(N$5,Materialpreise,3,0))),VLOOKUP(N$5,Materialpreise,3,0)*VLOOKUP($A16,Rezepte,MATCH(Kalkulation!N$5,Rezepte!$5:$5,0),0),"")</f>
        <v>1.0400000000000001E-2</v>
      </c>
      <c r="O16" s="23">
        <f>IF(AND(ISNUMBER(VLOOKUP($A16,Rezepte,MATCH(Kalkulation!O$5,Rezepte!$5:$5,0),0)),ISNUMBER(VLOOKUP(O$5,Materialpreise,3,0))),VLOOKUP(O$5,Materialpreise,3,0)*VLOOKUP($A16,Rezepte,MATCH(Kalkulation!O$5,Rezepte!$5:$5,0),0),"")</f>
        <v>1.3309090909090909E-3</v>
      </c>
      <c r="P16" s="23">
        <f>IF(AND(ISNUMBER(VLOOKUP($A16,Rezepte,MATCH(Kalkulation!P$5,Rezepte!$5:$5,0),0)),ISNUMBER(VLOOKUP(P$5,Materialpreise,3,0))),VLOOKUP(P$5,Materialpreise,3,0)*VLOOKUP($A16,Rezepte,MATCH(Kalkulation!P$5,Rezepte!$5:$5,0),0),"")</f>
        <v>3.1793939393939393E-3</v>
      </c>
      <c r="Q16" s="23" t="str">
        <f>IF(AND(ISNUMBER(VLOOKUP($A16,Rezepte,MATCH(Kalkulation!Q$5,Rezepte!$5:$5,0),0)),ISNUMBER(VLOOKUP(Q$5,Materialpreise,3,0))),VLOOKUP(Q$5,Materialpreise,3,0)*VLOOKUP($A16,Rezepte,MATCH(Kalkulation!Q$5,Rezepte!$5:$5,0),0),"")</f>
        <v/>
      </c>
      <c r="R16" s="23" t="str">
        <f>IF(AND(ISNUMBER(VLOOKUP($A16,Rezepte,MATCH(Kalkulation!R$5,Rezepte!$5:$5,0),0)),ISNUMBER(VLOOKUP(R$5,Materialpreise,3,0))),VLOOKUP(R$5,Materialpreise,3,0)*VLOOKUP($A16,Rezepte,MATCH(Kalkulation!R$5,Rezepte!$5:$5,0),0),"")</f>
        <v/>
      </c>
      <c r="S16" s="23">
        <f>IF(AND(ISNUMBER(VLOOKUP($A16,Rezepte,MATCH(Kalkulation!S$5,Rezepte!$5:$5,0),0)),ISNUMBER(VLOOKUP(S$5,Materialpreise,3,0))),VLOOKUP(S$5,Materialpreise,3,0)*VLOOKUP($A16,Rezepte,MATCH(Kalkulation!S$5,Rezepte!$5:$5,0),0),"")</f>
        <v>2.4000000000000002E-3</v>
      </c>
      <c r="T16" s="23" t="str">
        <f>IF(AND(ISNUMBER(VLOOKUP($A16,Rezepte,MATCH(Kalkulation!T$5,Rezepte!$5:$5,0),0)),ISNUMBER(VLOOKUP(T$5,Materialpreise,3,0))),VLOOKUP(T$5,Materialpreise,3,0)*VLOOKUP($A16,Rezepte,MATCH(Kalkulation!T$5,Rezepte!$5:$5,0),0),"")</f>
        <v/>
      </c>
      <c r="U16" s="23" t="str">
        <f>IF(AND(ISNUMBER(VLOOKUP($A16,Rezepte,MATCH(Kalkulation!U$5,Rezepte!$5:$5,0),0)),ISNUMBER(VLOOKUP(U$5,Materialpreise,3,0))),VLOOKUP(U$5,Materialpreise,3,0)*VLOOKUP($A16,Rezepte,MATCH(Kalkulation!U$5,Rezepte!$5:$5,0),0),"")</f>
        <v/>
      </c>
      <c r="V16" s="23" t="str">
        <f>IF(AND(ISNUMBER(VLOOKUP($A16,Rezepte,MATCH(Kalkulation!V$5,Rezepte!$5:$5,0),0)),ISNUMBER(VLOOKUP(V$5,Materialpreise,3,0))),VLOOKUP(V$5,Materialpreise,3,0)*VLOOKUP($A16,Rezepte,MATCH(Kalkulation!V$5,Rezepte!$5:$5,0),0),"")</f>
        <v/>
      </c>
      <c r="W16" s="23" t="str">
        <f>IF(AND(ISNUMBER(VLOOKUP($A16,Rezepte,MATCH(Kalkulation!W$5,Rezepte!$5:$5,0),0)),ISNUMBER(VLOOKUP(W$5,Materialpreise,3,0))),VLOOKUP(W$5,Materialpreise,3,0)*VLOOKUP($A16,Rezepte,MATCH(Kalkulation!W$5,Rezepte!$5:$5,0),0),"")</f>
        <v/>
      </c>
      <c r="X16" s="23" t="str">
        <f>IF(AND(ISNUMBER(VLOOKUP($A16,Rezepte,MATCH(Kalkulation!X$5,Rezepte!$5:$5,0),0)),ISNUMBER(VLOOKUP(X$5,Materialpreise,3,0))),VLOOKUP(X$5,Materialpreise,3,0)*VLOOKUP($A16,Rezepte,MATCH(Kalkulation!X$5,Rezepte!$5:$5,0),0),"")</f>
        <v/>
      </c>
      <c r="Y16" s="23" t="str">
        <f>IF(AND(ISNUMBER(VLOOKUP($A16,Rezepte,MATCH(Kalkulation!Y$5,Rezepte!$5:$5,0),0)),ISNUMBER(VLOOKUP(Y$5,Materialpreise,3,0))),VLOOKUP(Y$5,Materialpreise,3,0)*VLOOKUP($A16,Rezepte,MATCH(Kalkulation!Y$5,Rezepte!$5:$5,0),0),"")</f>
        <v/>
      </c>
      <c r="Z16" s="23" t="str">
        <f>IF(AND(ISNUMBER(VLOOKUP($A16,Rezepte,MATCH(Kalkulation!Z$5,Rezepte!$5:$5,0),0)),ISNUMBER(VLOOKUP(Z$5,Materialpreise,3,0))),VLOOKUP(Z$5,Materialpreise,3,0)*VLOOKUP($A16,Rezepte,MATCH(Kalkulation!Z$5,Rezepte!$5:$5,0),0),"")</f>
        <v/>
      </c>
      <c r="AA16" s="23" t="str">
        <f>IF(AND(ISNUMBER(VLOOKUP($A16,Rezepte,MATCH(Kalkulation!AA$5,Rezepte!$5:$5,0),0)),ISNUMBER(VLOOKUP(AA$5,Materialpreise,3,0))),VLOOKUP(AA$5,Materialpreise,3,0)*VLOOKUP($A16,Rezepte,MATCH(Kalkulation!AA$5,Rezepte!$5:$5,0),0),"")</f>
        <v/>
      </c>
      <c r="AB16" s="23" t="str">
        <f>IF(AND(ISNUMBER(VLOOKUP($A16,Rezepte,MATCH(Kalkulation!AB$5,Rezepte!$5:$5,0),0)),ISNUMBER(VLOOKUP(AB$5,Materialpreise,3,0))),VLOOKUP(AB$5,Materialpreise,3,0)*VLOOKUP($A16,Rezepte,MATCH(Kalkulation!AB$5,Rezepte!$5:$5,0),0),"")</f>
        <v/>
      </c>
      <c r="AC16" s="23" t="str">
        <f>IF(AND(ISNUMBER(VLOOKUP($A16,Rezepte,MATCH(Kalkulation!AC$5,Rezepte!$5:$5,0),0)),ISNUMBER(VLOOKUP(AC$5,Materialpreise,3,0))),VLOOKUP(AC$5,Materialpreise,3,0)*VLOOKUP($A16,Rezepte,MATCH(Kalkulation!AC$5,Rezepte!$5:$5,0),0),"")</f>
        <v/>
      </c>
      <c r="AD16" s="23" t="str">
        <f>IF(AND(ISNUMBER(VLOOKUP($A16,Rezepte,MATCH(Kalkulation!AD$5,Rezepte!$5:$5,0),0)),ISNUMBER(VLOOKUP(AD$5,Materialpreise,3,0))),VLOOKUP(AD$5,Materialpreise,3,0)*VLOOKUP($A16,Rezepte,MATCH(Kalkulation!AD$5,Rezepte!$5:$5,0),0),"")</f>
        <v/>
      </c>
      <c r="AE16" s="23" t="str">
        <f>IF(AND(ISNUMBER(VLOOKUP($A16,Rezepte,MATCH(Kalkulation!AE$5,Rezepte!$5:$5,0),0)),ISNUMBER(VLOOKUP(AE$5,Materialpreise,3,0))),VLOOKUP(AE$5,Materialpreise,3,0)*VLOOKUP($A16,Rezepte,MATCH(Kalkulation!AE$5,Rezepte!$5:$5,0),0),"")</f>
        <v/>
      </c>
      <c r="AF16" s="23" t="str">
        <f>IF(AND(ISNUMBER(VLOOKUP($A16,Rezepte,MATCH(Kalkulation!AF$5,Rezepte!$5:$5,0),0)),ISNUMBER(VLOOKUP(AF$5,Materialpreise,3,0))),VLOOKUP(AF$5,Materialpreise,3,0)*VLOOKUP($A16,Rezepte,MATCH(Kalkulation!AF$5,Rezepte!$5:$5,0),0),"")</f>
        <v/>
      </c>
      <c r="AG16" s="23" t="str">
        <f>IF(AND(ISNUMBER(VLOOKUP($A16,Rezepte,MATCH(Kalkulation!AG$5,Rezepte!$5:$5,0),0)),ISNUMBER(VLOOKUP(AG$5,Materialpreise,3,0))),VLOOKUP(AG$5,Materialpreise,3,0)*VLOOKUP($A16,Rezepte,MATCH(Kalkulation!AG$5,Rezepte!$5:$5,0),0),"")</f>
        <v/>
      </c>
      <c r="AH16" s="23" t="str">
        <f>IF(AND(ISNUMBER(VLOOKUP($A16,Rezepte,MATCH(Kalkulation!AH$5,Rezepte!$5:$5,0),0)),ISNUMBER(VLOOKUP(AH$5,Materialpreise,3,0))),VLOOKUP(AH$5,Materialpreise,3,0)*VLOOKUP($A16,Rezepte,MATCH(Kalkulation!AH$5,Rezepte!$5:$5,0),0),"")</f>
        <v/>
      </c>
      <c r="AI16" s="23" t="str">
        <f>IF(AND(ISNUMBER(VLOOKUP($A16,Rezepte,MATCH(Kalkulation!AI$5,Rezepte!$5:$5,0),0)),ISNUMBER(VLOOKUP(AI$5,Materialpreise,3,0))),VLOOKUP(AI$5,Materialpreise,3,0)*VLOOKUP($A16,Rezepte,MATCH(Kalkulation!AI$5,Rezepte!$5:$5,0),0),"")</f>
        <v/>
      </c>
      <c r="AJ16" s="23" t="str">
        <f>IF(AND(ISNUMBER(VLOOKUP($A16,Rezepte,MATCH(Kalkulation!AJ$5,Rezepte!$5:$5,0),0)),ISNUMBER(VLOOKUP(AJ$5,Materialpreise,3,0))),VLOOKUP(AJ$5,Materialpreise,3,0)*VLOOKUP($A16,Rezepte,MATCH(Kalkulation!AJ$5,Rezepte!$5:$5,0),0),"")</f>
        <v/>
      </c>
      <c r="AK16" s="23" t="str">
        <f>IF(AND(ISNUMBER(VLOOKUP($A16,Rezepte,MATCH(Kalkulation!AK$5,Rezepte!$5:$5,0),0)),ISNUMBER(VLOOKUP(AK$5,Materialpreise,3,0))),VLOOKUP(AK$5,Materialpreise,3,0)*VLOOKUP($A16,Rezepte,MATCH(Kalkulation!AK$5,Rezepte!$5:$5,0),0),"")</f>
        <v/>
      </c>
      <c r="AL16" s="23" t="str">
        <f>IF(AND(ISNUMBER(VLOOKUP($A16,Rezepte,MATCH(Kalkulation!AL$5,Rezepte!$5:$5,0),0)),ISNUMBER(VLOOKUP(AL$5,Materialpreise,3,0))),VLOOKUP(AL$5,Materialpreise,3,0)*VLOOKUP($A16,Rezepte,MATCH(Kalkulation!AL$5,Rezepte!$5:$5,0),0),"")</f>
        <v/>
      </c>
      <c r="AM16" s="23" t="str">
        <f>IF(AND(ISNUMBER(VLOOKUP($A16,Rezepte,MATCH(Kalkulation!AM$5,Rezepte!$5:$5,0),0)),ISNUMBER(VLOOKUP(AM$5,Materialpreise,3,0))),VLOOKUP(AM$5,Materialpreise,3,0)*VLOOKUP($A16,Rezepte,MATCH(Kalkulation!AM$5,Rezepte!$5:$5,0),0),"")</f>
        <v/>
      </c>
      <c r="AN16" s="23" t="str">
        <f>IF(AND(ISNUMBER(VLOOKUP($A16,Rezepte,MATCH(Kalkulation!AN$5,Rezepte!$5:$5,0),0)),ISNUMBER(VLOOKUP(AN$5,Materialpreise,3,0))),VLOOKUP(AN$5,Materialpreise,3,0)*VLOOKUP($A16,Rezepte,MATCH(Kalkulation!AN$5,Rezepte!$5:$5,0),0),"")</f>
        <v/>
      </c>
      <c r="AO16" s="23" t="str">
        <f>IF(AND(ISNUMBER(VLOOKUP($A16,Rezepte,MATCH(Kalkulation!AO$5,Rezepte!$5:$5,0),0)),ISNUMBER(VLOOKUP(AO$5,Materialpreise,3,0))),VLOOKUP(AO$5,Materialpreise,3,0)*VLOOKUP($A16,Rezepte,MATCH(Kalkulation!AO$5,Rezepte!$5:$5,0),0),"")</f>
        <v/>
      </c>
      <c r="AP16" s="23" t="str">
        <f>IF(AND(ISNUMBER(VLOOKUP($A16,Rezepte,MATCH(Kalkulation!AP$5,Rezepte!$5:$5,0),0)),ISNUMBER(VLOOKUP(AP$5,Materialpreise,3,0))),VLOOKUP(AP$5,Materialpreise,3,0)*VLOOKUP($A16,Rezepte,MATCH(Kalkulation!AP$5,Rezepte!$5:$5,0),0),"")</f>
        <v/>
      </c>
      <c r="AQ16" s="23" t="str">
        <f>IF(AND(ISNUMBER(VLOOKUP($A16,Rezepte,MATCH(Kalkulation!AQ$5,Rezepte!$5:$5,0),0)),ISNUMBER(VLOOKUP(AQ$5,Materialpreise,3,0))),VLOOKUP(AQ$5,Materialpreise,3,0)*VLOOKUP($A16,Rezepte,MATCH(Kalkulation!AQ$5,Rezepte!$5:$5,0),0),"")</f>
        <v/>
      </c>
      <c r="AR16" s="23" t="str">
        <f>IF(AND(ISNUMBER(VLOOKUP($A16,Rezepte,MATCH(Kalkulation!AR$5,Rezepte!$5:$5,0),0)),ISNUMBER(VLOOKUP(AR$5,Materialpreise,3,0))),VLOOKUP(AR$5,Materialpreise,3,0)*VLOOKUP($A16,Rezepte,MATCH(Kalkulation!AR$5,Rezepte!$5:$5,0),0),"")</f>
        <v/>
      </c>
      <c r="AS16" s="23" t="str">
        <f>IF(AND(ISNUMBER(VLOOKUP($A16,Rezepte,MATCH(Kalkulation!AS$5,Rezepte!$5:$5,0),0)),ISNUMBER(VLOOKUP(AS$5,Materialpreise,3,0))),VLOOKUP(AS$5,Materialpreise,3,0)*VLOOKUP($A16,Rezepte,MATCH(Kalkulation!AS$5,Rezepte!$5:$5,0),0),"")</f>
        <v/>
      </c>
      <c r="AT16" s="23" t="str">
        <f>IF(AND(ISNUMBER(VLOOKUP($A16,Rezepte,MATCH(Kalkulation!AT$5,Rezepte!$5:$5,0),0)),ISNUMBER(VLOOKUP(AT$5,Materialpreise,3,0))),VLOOKUP(AT$5,Materialpreise,3,0)*VLOOKUP($A16,Rezepte,MATCH(Kalkulation!AT$5,Rezepte!$5:$5,0),0),"")</f>
        <v/>
      </c>
      <c r="AU16" s="23" t="str">
        <f>IF(AND(ISNUMBER(VLOOKUP($A16,Rezepte,MATCH(Kalkulation!AU$5,Rezepte!$5:$5,0),0)),ISNUMBER(VLOOKUP(AU$5,Materialpreise,3,0))),VLOOKUP(AU$5,Materialpreise,3,0)*VLOOKUP($A16,Rezepte,MATCH(Kalkulation!AU$5,Rezepte!$5:$5,0),0),"")</f>
        <v/>
      </c>
      <c r="AV16" s="23" t="str">
        <f>IF(AND(ISNUMBER(VLOOKUP($A16,Rezepte,MATCH(Kalkulation!AV$5,Rezepte!$5:$5,0),0)),ISNUMBER(VLOOKUP(AV$5,Materialpreise,3,0))),VLOOKUP(AV$5,Materialpreise,3,0)*VLOOKUP($A16,Rezepte,MATCH(Kalkulation!AV$5,Rezepte!$5:$5,0),0),"")</f>
        <v/>
      </c>
      <c r="AW16" s="23" t="str">
        <f>IF(AND(ISNUMBER(VLOOKUP($A16,Rezepte,MATCH(Kalkulation!AW$5,Rezepte!$5:$5,0),0)),ISNUMBER(VLOOKUP(AW$5,Materialpreise,3,0))),VLOOKUP(AW$5,Materialpreise,3,0)*VLOOKUP($A16,Rezepte,MATCH(Kalkulation!AW$5,Rezepte!$5:$5,0),0),"")</f>
        <v/>
      </c>
      <c r="AX16" s="23" t="str">
        <f>IF(AND(ISNUMBER(VLOOKUP($A16,Rezepte,MATCH(Kalkulation!AX$5,Rezepte!$5:$5,0),0)),ISNUMBER(VLOOKUP(AX$5,Materialpreise,3,0))),VLOOKUP(AX$5,Materialpreise,3,0)*VLOOKUP($A16,Rezepte,MATCH(Kalkulation!AX$5,Rezepte!$5:$5,0),0),"")</f>
        <v/>
      </c>
      <c r="AY16" s="23" t="str">
        <f>IF(AND(ISNUMBER(VLOOKUP($A16,Rezepte,MATCH(Kalkulation!AY$5,Rezepte!$5:$5,0),0)),ISNUMBER(VLOOKUP(AY$5,Materialpreise,3,0))),VLOOKUP(AY$5,Materialpreise,3,0)*VLOOKUP($A16,Rezepte,MATCH(Kalkulation!AY$5,Rezepte!$5:$5,0),0),"")</f>
        <v/>
      </c>
      <c r="AZ16" s="23" t="str">
        <f>IF(AND(ISNUMBER(VLOOKUP($A16,Rezepte,MATCH(Kalkulation!AZ$5,Rezepte!$5:$5,0),0)),ISNUMBER(VLOOKUP(AZ$5,Materialpreise,3,0))),VLOOKUP(AZ$5,Materialpreise,3,0)*VLOOKUP($A16,Rezepte,MATCH(Kalkulation!AZ$5,Rezepte!$5:$5,0),0),"")</f>
        <v/>
      </c>
      <c r="BA16" s="23" t="str">
        <f>IF(AND(ISNUMBER(VLOOKUP($A16,Rezepte,MATCH(Kalkulation!BA$5,Rezepte!$5:$5,0),0)),ISNUMBER(VLOOKUP(BA$5,Materialpreise,3,0))),VLOOKUP(BA$5,Materialpreise,3,0)*VLOOKUP($A16,Rezepte,MATCH(Kalkulation!BA$5,Rezepte!$5:$5,0),0),"")</f>
        <v/>
      </c>
    </row>
    <row r="17" spans="1:53" x14ac:dyDescent="0.25">
      <c r="A17" t="str">
        <f t="array" ref="A17">IFERROR(INDEX(Rezepte!$A$6:$A$100,MATCH(1,(COUNTIF(A$6:A16,Rezepte!A$6:A$100)=0)*(Rezepte!A$6:A$100&lt;&gt;""),0)),"")</f>
        <v>Amerikaner</v>
      </c>
      <c r="B17" s="23">
        <f t="shared" si="0"/>
        <v>9.1266666666666663E-2</v>
      </c>
      <c r="C17" s="23">
        <f t="shared" si="1"/>
        <v>9.1266666666666663E-2</v>
      </c>
      <c r="D17" s="23" t="str">
        <f>IF(AND(ISNUMBER(VLOOKUP($A17,Rezepte,MATCH(Kalkulation!D$5,Rezepte!$5:$5,0),0)),ISNUMBER(VLOOKUP(D$5,Materialpreise,3,0))),VLOOKUP(D$5,Materialpreise,3,0)*VLOOKUP($A17,Rezepte,MATCH(Kalkulation!D$5,Rezepte!$5:$5,0),0),"")</f>
        <v/>
      </c>
      <c r="E17" s="23" t="str">
        <f>IF(AND(ISNUMBER(VLOOKUP($A17,Rezepte,MATCH(Kalkulation!E$5,Rezepte!$5:$5,0),0)),ISNUMBER(VLOOKUP(E$5,Materialpreise,3,0))),VLOOKUP(E$5,Materialpreise,3,0)*VLOOKUP($A17,Rezepte,MATCH(Kalkulation!E$5,Rezepte!$5:$5,0),0),"")</f>
        <v/>
      </c>
      <c r="F17" s="23" t="str">
        <f>IF(AND(ISNUMBER(VLOOKUP($A17,Rezepte,MATCH(Kalkulation!F$5,Rezepte!$5:$5,0),0)),ISNUMBER(VLOOKUP(F$5,Materialpreise,3,0))),VLOOKUP(F$5,Materialpreise,3,0)*VLOOKUP($A17,Rezepte,MATCH(Kalkulation!F$5,Rezepte!$5:$5,0),0),"")</f>
        <v/>
      </c>
      <c r="G17" s="23" t="str">
        <f>IF(AND(ISNUMBER(VLOOKUP($A17,Rezepte,MATCH(Kalkulation!G$5,Rezepte!$5:$5,0),0)),ISNUMBER(VLOOKUP(G$5,Materialpreise,3,0))),VLOOKUP(G$5,Materialpreise,3,0)*VLOOKUP($A17,Rezepte,MATCH(Kalkulation!G$5,Rezepte!$5:$5,0),0),"")</f>
        <v/>
      </c>
      <c r="H17" s="23" t="str">
        <f>IF(AND(ISNUMBER(VLOOKUP($A17,Rezepte,MATCH(Kalkulation!H$5,Rezepte!$5:$5,0),0)),ISNUMBER(VLOOKUP(H$5,Materialpreise,3,0))),VLOOKUP(H$5,Materialpreise,3,0)*VLOOKUP($A17,Rezepte,MATCH(Kalkulation!H$5,Rezepte!$5:$5,0),0),"")</f>
        <v/>
      </c>
      <c r="I17" s="23">
        <f>IF(AND(ISNUMBER(VLOOKUP($A17,Rezepte,MATCH(Kalkulation!I$5,Rezepte!$5:$5,0),0)),ISNUMBER(VLOOKUP(I$5,Materialpreise,3,0))),VLOOKUP(I$5,Materialpreise,3,0)*VLOOKUP($A17,Rezepte,MATCH(Kalkulation!I$5,Rezepte!$5:$5,0),0),"")</f>
        <v>5.6666666666666678E-2</v>
      </c>
      <c r="J17" s="23" t="str">
        <f>IF(AND(ISNUMBER(VLOOKUP($A17,Rezepte,MATCH(Kalkulation!J$5,Rezepte!$5:$5,0),0)),ISNUMBER(VLOOKUP(J$5,Materialpreise,3,0))),VLOOKUP(J$5,Materialpreise,3,0)*VLOOKUP($A17,Rezepte,MATCH(Kalkulation!J$5,Rezepte!$5:$5,0),0),"")</f>
        <v/>
      </c>
      <c r="K17" s="23" t="str">
        <f>IF(AND(ISNUMBER(VLOOKUP($A17,Rezepte,MATCH(Kalkulation!K$5,Rezepte!$5:$5,0),0)),ISNUMBER(VLOOKUP(K$5,Materialpreise,3,0))),VLOOKUP(K$5,Materialpreise,3,0)*VLOOKUP($A17,Rezepte,MATCH(Kalkulation!K$5,Rezepte!$5:$5,0),0),"")</f>
        <v/>
      </c>
      <c r="L17" s="23" t="str">
        <f>IF(AND(ISNUMBER(VLOOKUP($A17,Rezepte,MATCH(Kalkulation!L$5,Rezepte!$5:$5,0),0)),ISNUMBER(VLOOKUP(L$5,Materialpreise,3,0))),VLOOKUP(L$5,Materialpreise,3,0)*VLOOKUP($A17,Rezepte,MATCH(Kalkulation!L$5,Rezepte!$5:$5,0),0),"")</f>
        <v/>
      </c>
      <c r="M17" s="23" t="str">
        <f>IF(AND(ISNUMBER(VLOOKUP($A17,Rezepte,MATCH(Kalkulation!M$5,Rezepte!$5:$5,0),0)),ISNUMBER(VLOOKUP(M$5,Materialpreise,3,0))),VLOOKUP(M$5,Materialpreise,3,0)*VLOOKUP($A17,Rezepte,MATCH(Kalkulation!M$5,Rezepte!$5:$5,0),0),"")</f>
        <v/>
      </c>
      <c r="N17" s="23" t="str">
        <f>IF(AND(ISNUMBER(VLOOKUP($A17,Rezepte,MATCH(Kalkulation!N$5,Rezepte!$5:$5,0),0)),ISNUMBER(VLOOKUP(N$5,Materialpreise,3,0))),VLOOKUP(N$5,Materialpreise,3,0)*VLOOKUP($A17,Rezepte,MATCH(Kalkulation!N$5,Rezepte!$5:$5,0),0),"")</f>
        <v/>
      </c>
      <c r="O17" s="23">
        <f>IF(AND(ISNUMBER(VLOOKUP($A17,Rezepte,MATCH(Kalkulation!O$5,Rezepte!$5:$5,0),0)),ISNUMBER(VLOOKUP(O$5,Materialpreise,3,0))),VLOOKUP(O$5,Materialpreise,3,0)*VLOOKUP($A17,Rezepte,MATCH(Kalkulation!O$5,Rezepte!$5:$5,0),0),"")</f>
        <v>3.9999999999999996E-4</v>
      </c>
      <c r="P17" s="23" t="str">
        <f>IF(AND(ISNUMBER(VLOOKUP($A17,Rezepte,MATCH(Kalkulation!P$5,Rezepte!$5:$5,0),0)),ISNUMBER(VLOOKUP(P$5,Materialpreise,3,0))),VLOOKUP(P$5,Materialpreise,3,0)*VLOOKUP($A17,Rezepte,MATCH(Kalkulation!P$5,Rezepte!$5:$5,0),0),"")</f>
        <v/>
      </c>
      <c r="Q17" s="23" t="str">
        <f>IF(AND(ISNUMBER(VLOOKUP($A17,Rezepte,MATCH(Kalkulation!Q$5,Rezepte!$5:$5,0),0)),ISNUMBER(VLOOKUP(Q$5,Materialpreise,3,0))),VLOOKUP(Q$5,Materialpreise,3,0)*VLOOKUP($A17,Rezepte,MATCH(Kalkulation!Q$5,Rezepte!$5:$5,0),0),"")</f>
        <v/>
      </c>
      <c r="R17" s="23" t="str">
        <f>IF(AND(ISNUMBER(VLOOKUP($A17,Rezepte,MATCH(Kalkulation!R$5,Rezepte!$5:$5,0),0)),ISNUMBER(VLOOKUP(R$5,Materialpreise,3,0))),VLOOKUP(R$5,Materialpreise,3,0)*VLOOKUP($A17,Rezepte,MATCH(Kalkulation!R$5,Rezepte!$5:$5,0),0),"")</f>
        <v/>
      </c>
      <c r="S17" s="23" t="str">
        <f>IF(AND(ISNUMBER(VLOOKUP($A17,Rezepte,MATCH(Kalkulation!S$5,Rezepte!$5:$5,0),0)),ISNUMBER(VLOOKUP(S$5,Materialpreise,3,0))),VLOOKUP(S$5,Materialpreise,3,0)*VLOOKUP($A17,Rezepte,MATCH(Kalkulation!S$5,Rezepte!$5:$5,0),0),"")</f>
        <v/>
      </c>
      <c r="T17" s="23" t="str">
        <f>IF(AND(ISNUMBER(VLOOKUP($A17,Rezepte,MATCH(Kalkulation!T$5,Rezepte!$5:$5,0),0)),ISNUMBER(VLOOKUP(T$5,Materialpreise,3,0))),VLOOKUP(T$5,Materialpreise,3,0)*VLOOKUP($A17,Rezepte,MATCH(Kalkulation!T$5,Rezepte!$5:$5,0),0),"")</f>
        <v/>
      </c>
      <c r="U17" s="23" t="str">
        <f>IF(AND(ISNUMBER(VLOOKUP($A17,Rezepte,MATCH(Kalkulation!U$5,Rezepte!$5:$5,0),0)),ISNUMBER(VLOOKUP(U$5,Materialpreise,3,0))),VLOOKUP(U$5,Materialpreise,3,0)*VLOOKUP($A17,Rezepte,MATCH(Kalkulation!U$5,Rezepte!$5:$5,0),0),"")</f>
        <v/>
      </c>
      <c r="V17" s="23" t="str">
        <f>IF(AND(ISNUMBER(VLOOKUP($A17,Rezepte,MATCH(Kalkulation!V$5,Rezepte!$5:$5,0),0)),ISNUMBER(VLOOKUP(V$5,Materialpreise,3,0))),VLOOKUP(V$5,Materialpreise,3,0)*VLOOKUP($A17,Rezepte,MATCH(Kalkulation!V$5,Rezepte!$5:$5,0),0),"")</f>
        <v/>
      </c>
      <c r="W17" s="23" t="str">
        <f>IF(AND(ISNUMBER(VLOOKUP($A17,Rezepte,MATCH(Kalkulation!W$5,Rezepte!$5:$5,0),0)),ISNUMBER(VLOOKUP(W$5,Materialpreise,3,0))),VLOOKUP(W$5,Materialpreise,3,0)*VLOOKUP($A17,Rezepte,MATCH(Kalkulation!W$5,Rezepte!$5:$5,0),0),"")</f>
        <v/>
      </c>
      <c r="X17" s="23" t="str">
        <f>IF(AND(ISNUMBER(VLOOKUP($A17,Rezepte,MATCH(Kalkulation!X$5,Rezepte!$5:$5,0),0)),ISNUMBER(VLOOKUP(X$5,Materialpreise,3,0))),VLOOKUP(X$5,Materialpreise,3,0)*VLOOKUP($A17,Rezepte,MATCH(Kalkulation!X$5,Rezepte!$5:$5,0),0),"")</f>
        <v/>
      </c>
      <c r="Y17" s="23" t="str">
        <f>IF(AND(ISNUMBER(VLOOKUP($A17,Rezepte,MATCH(Kalkulation!Y$5,Rezepte!$5:$5,0),0)),ISNUMBER(VLOOKUP(Y$5,Materialpreise,3,0))),VLOOKUP(Y$5,Materialpreise,3,0)*VLOOKUP($A17,Rezepte,MATCH(Kalkulation!Y$5,Rezepte!$5:$5,0),0),"")</f>
        <v/>
      </c>
      <c r="Z17" s="23" t="str">
        <f>IF(AND(ISNUMBER(VLOOKUP($A17,Rezepte,MATCH(Kalkulation!Z$5,Rezepte!$5:$5,0),0)),ISNUMBER(VLOOKUP(Z$5,Materialpreise,3,0))),VLOOKUP(Z$5,Materialpreise,3,0)*VLOOKUP($A17,Rezepte,MATCH(Kalkulation!Z$5,Rezepte!$5:$5,0),0),"")</f>
        <v/>
      </c>
      <c r="AA17" s="23">
        <f>IF(AND(ISNUMBER(VLOOKUP($A17,Rezepte,MATCH(Kalkulation!AA$5,Rezepte!$5:$5,0),0)),ISNUMBER(VLOOKUP(AA$5,Materialpreise,3,0))),VLOOKUP(AA$5,Materialpreise,3,0)*VLOOKUP($A17,Rezepte,MATCH(Kalkulation!AA$5,Rezepte!$5:$5,0),0),"")</f>
        <v>1.4833333333333336E-2</v>
      </c>
      <c r="AB17" s="23">
        <f>IF(AND(ISNUMBER(VLOOKUP($A17,Rezepte,MATCH(Kalkulation!AB$5,Rezepte!$5:$5,0),0)),ISNUMBER(VLOOKUP(AB$5,Materialpreise,3,0))),VLOOKUP(AB$5,Materialpreise,3,0)*VLOOKUP($A17,Rezepte,MATCH(Kalkulation!AB$5,Rezepte!$5:$5,0),0),"")</f>
        <v>1.5166666666666665E-2</v>
      </c>
      <c r="AC17" s="23" t="str">
        <f>IF(AND(ISNUMBER(VLOOKUP($A17,Rezepte,MATCH(Kalkulation!AC$5,Rezepte!$5:$5,0),0)),ISNUMBER(VLOOKUP(AC$5,Materialpreise,3,0))),VLOOKUP(AC$5,Materialpreise,3,0)*VLOOKUP($A17,Rezepte,MATCH(Kalkulation!AC$5,Rezepte!$5:$5,0),0),"")</f>
        <v/>
      </c>
      <c r="AD17" s="23" t="str">
        <f>IF(AND(ISNUMBER(VLOOKUP($A17,Rezepte,MATCH(Kalkulation!AD$5,Rezepte!$5:$5,0),0)),ISNUMBER(VLOOKUP(AD$5,Materialpreise,3,0))),VLOOKUP(AD$5,Materialpreise,3,0)*VLOOKUP($A17,Rezepte,MATCH(Kalkulation!AD$5,Rezepte!$5:$5,0),0),"")</f>
        <v/>
      </c>
      <c r="AE17" s="23" t="str">
        <f>IF(AND(ISNUMBER(VLOOKUP($A17,Rezepte,MATCH(Kalkulation!AE$5,Rezepte!$5:$5,0),0)),ISNUMBER(VLOOKUP(AE$5,Materialpreise,3,0))),VLOOKUP(AE$5,Materialpreise,3,0)*VLOOKUP($A17,Rezepte,MATCH(Kalkulation!AE$5,Rezepte!$5:$5,0),0),"")</f>
        <v/>
      </c>
      <c r="AF17" s="23">
        <f>IF(AND(ISNUMBER(VLOOKUP($A17,Rezepte,MATCH(Kalkulation!AF$5,Rezepte!$5:$5,0),0)),ISNUMBER(VLOOKUP(AF$5,Materialpreise,3,0))),VLOOKUP(AF$5,Materialpreise,3,0)*VLOOKUP($A17,Rezepte,MATCH(Kalkulation!AF$5,Rezepte!$5:$5,0),0),"")</f>
        <v>4.1999999999999997E-3</v>
      </c>
      <c r="AG17" s="23" t="str">
        <f>IF(AND(ISNUMBER(VLOOKUP($A17,Rezepte,MATCH(Kalkulation!AG$5,Rezepte!$5:$5,0),0)),ISNUMBER(VLOOKUP(AG$5,Materialpreise,3,0))),VLOOKUP(AG$5,Materialpreise,3,0)*VLOOKUP($A17,Rezepte,MATCH(Kalkulation!AG$5,Rezepte!$5:$5,0),0),"")</f>
        <v/>
      </c>
      <c r="AH17" s="23" t="str">
        <f>IF(AND(ISNUMBER(VLOOKUP($A17,Rezepte,MATCH(Kalkulation!AH$5,Rezepte!$5:$5,0),0)),ISNUMBER(VLOOKUP(AH$5,Materialpreise,3,0))),VLOOKUP(AH$5,Materialpreise,3,0)*VLOOKUP($A17,Rezepte,MATCH(Kalkulation!AH$5,Rezepte!$5:$5,0),0),"")</f>
        <v/>
      </c>
      <c r="AI17" s="23" t="str">
        <f>IF(AND(ISNUMBER(VLOOKUP($A17,Rezepte,MATCH(Kalkulation!AI$5,Rezepte!$5:$5,0),0)),ISNUMBER(VLOOKUP(AI$5,Materialpreise,3,0))),VLOOKUP(AI$5,Materialpreise,3,0)*VLOOKUP($A17,Rezepte,MATCH(Kalkulation!AI$5,Rezepte!$5:$5,0),0),"")</f>
        <v/>
      </c>
      <c r="AJ17" s="23" t="str">
        <f>IF(AND(ISNUMBER(VLOOKUP($A17,Rezepte,MATCH(Kalkulation!AJ$5,Rezepte!$5:$5,0),0)),ISNUMBER(VLOOKUP(AJ$5,Materialpreise,3,0))),VLOOKUP(AJ$5,Materialpreise,3,0)*VLOOKUP($A17,Rezepte,MATCH(Kalkulation!AJ$5,Rezepte!$5:$5,0),0),"")</f>
        <v/>
      </c>
      <c r="AK17" s="23">
        <f>IF(AND(ISNUMBER(VLOOKUP($A17,Rezepte,MATCH(Kalkulation!AK$5,Rezepte!$5:$5,0),0)),ISNUMBER(VLOOKUP(AK$5,Materialpreise,3,0))),VLOOKUP(AK$5,Materialpreise,3,0)*VLOOKUP($A17,Rezepte,MATCH(Kalkulation!AK$5,Rezepte!$5:$5,0),0),"")</f>
        <v>0</v>
      </c>
      <c r="AL17" s="23" t="str">
        <f>IF(AND(ISNUMBER(VLOOKUP($A17,Rezepte,MATCH(Kalkulation!AL$5,Rezepte!$5:$5,0),0)),ISNUMBER(VLOOKUP(AL$5,Materialpreise,3,0))),VLOOKUP(AL$5,Materialpreise,3,0)*VLOOKUP($A17,Rezepte,MATCH(Kalkulation!AL$5,Rezepte!$5:$5,0),0),"")</f>
        <v/>
      </c>
      <c r="AM17" s="23" t="str">
        <f>IF(AND(ISNUMBER(VLOOKUP($A17,Rezepte,MATCH(Kalkulation!AM$5,Rezepte!$5:$5,0),0)),ISNUMBER(VLOOKUP(AM$5,Materialpreise,3,0))),VLOOKUP(AM$5,Materialpreise,3,0)*VLOOKUP($A17,Rezepte,MATCH(Kalkulation!AM$5,Rezepte!$5:$5,0),0),"")</f>
        <v/>
      </c>
      <c r="AN17" s="23" t="str">
        <f>IF(AND(ISNUMBER(VLOOKUP($A17,Rezepte,MATCH(Kalkulation!AN$5,Rezepte!$5:$5,0),0)),ISNUMBER(VLOOKUP(AN$5,Materialpreise,3,0))),VLOOKUP(AN$5,Materialpreise,3,0)*VLOOKUP($A17,Rezepte,MATCH(Kalkulation!AN$5,Rezepte!$5:$5,0),0),"")</f>
        <v/>
      </c>
      <c r="AO17" s="23" t="str">
        <f>IF(AND(ISNUMBER(VLOOKUP($A17,Rezepte,MATCH(Kalkulation!AO$5,Rezepte!$5:$5,0),0)),ISNUMBER(VLOOKUP(AO$5,Materialpreise,3,0))),VLOOKUP(AO$5,Materialpreise,3,0)*VLOOKUP($A17,Rezepte,MATCH(Kalkulation!AO$5,Rezepte!$5:$5,0),0),"")</f>
        <v/>
      </c>
      <c r="AP17" s="23" t="str">
        <f>IF(AND(ISNUMBER(VLOOKUP($A17,Rezepte,MATCH(Kalkulation!AP$5,Rezepte!$5:$5,0),0)),ISNUMBER(VLOOKUP(AP$5,Materialpreise,3,0))),VLOOKUP(AP$5,Materialpreise,3,0)*VLOOKUP($A17,Rezepte,MATCH(Kalkulation!AP$5,Rezepte!$5:$5,0),0),"")</f>
        <v/>
      </c>
      <c r="AQ17" s="23" t="str">
        <f>IF(AND(ISNUMBER(VLOOKUP($A17,Rezepte,MATCH(Kalkulation!AQ$5,Rezepte!$5:$5,0),0)),ISNUMBER(VLOOKUP(AQ$5,Materialpreise,3,0))),VLOOKUP(AQ$5,Materialpreise,3,0)*VLOOKUP($A17,Rezepte,MATCH(Kalkulation!AQ$5,Rezepte!$5:$5,0),0),"")</f>
        <v/>
      </c>
      <c r="AR17" s="23" t="str">
        <f>IF(AND(ISNUMBER(VLOOKUP($A17,Rezepte,MATCH(Kalkulation!AR$5,Rezepte!$5:$5,0),0)),ISNUMBER(VLOOKUP(AR$5,Materialpreise,3,0))),VLOOKUP(AR$5,Materialpreise,3,0)*VLOOKUP($A17,Rezepte,MATCH(Kalkulation!AR$5,Rezepte!$5:$5,0),0),"")</f>
        <v/>
      </c>
      <c r="AS17" s="23" t="str">
        <f>IF(AND(ISNUMBER(VLOOKUP($A17,Rezepte,MATCH(Kalkulation!AS$5,Rezepte!$5:$5,0),0)),ISNUMBER(VLOOKUP(AS$5,Materialpreise,3,0))),VLOOKUP(AS$5,Materialpreise,3,0)*VLOOKUP($A17,Rezepte,MATCH(Kalkulation!AS$5,Rezepte!$5:$5,0),0),"")</f>
        <v/>
      </c>
      <c r="AT17" s="23" t="str">
        <f>IF(AND(ISNUMBER(VLOOKUP($A17,Rezepte,MATCH(Kalkulation!AT$5,Rezepte!$5:$5,0),0)),ISNUMBER(VLOOKUP(AT$5,Materialpreise,3,0))),VLOOKUP(AT$5,Materialpreise,3,0)*VLOOKUP($A17,Rezepte,MATCH(Kalkulation!AT$5,Rezepte!$5:$5,0),0),"")</f>
        <v/>
      </c>
      <c r="AU17" s="23" t="str">
        <f>IF(AND(ISNUMBER(VLOOKUP($A17,Rezepte,MATCH(Kalkulation!AU$5,Rezepte!$5:$5,0),0)),ISNUMBER(VLOOKUP(AU$5,Materialpreise,3,0))),VLOOKUP(AU$5,Materialpreise,3,0)*VLOOKUP($A17,Rezepte,MATCH(Kalkulation!AU$5,Rezepte!$5:$5,0),0),"")</f>
        <v/>
      </c>
      <c r="AV17" s="23" t="str">
        <f>IF(AND(ISNUMBER(VLOOKUP($A17,Rezepte,MATCH(Kalkulation!AV$5,Rezepte!$5:$5,0),0)),ISNUMBER(VLOOKUP(AV$5,Materialpreise,3,0))),VLOOKUP(AV$5,Materialpreise,3,0)*VLOOKUP($A17,Rezepte,MATCH(Kalkulation!AV$5,Rezepte!$5:$5,0),0),"")</f>
        <v/>
      </c>
      <c r="AW17" s="23" t="str">
        <f>IF(AND(ISNUMBER(VLOOKUP($A17,Rezepte,MATCH(Kalkulation!AW$5,Rezepte!$5:$5,0),0)),ISNUMBER(VLOOKUP(AW$5,Materialpreise,3,0))),VLOOKUP(AW$5,Materialpreise,3,0)*VLOOKUP($A17,Rezepte,MATCH(Kalkulation!AW$5,Rezepte!$5:$5,0),0),"")</f>
        <v/>
      </c>
      <c r="AX17" s="23" t="str">
        <f>IF(AND(ISNUMBER(VLOOKUP($A17,Rezepte,MATCH(Kalkulation!AX$5,Rezepte!$5:$5,0),0)),ISNUMBER(VLOOKUP(AX$5,Materialpreise,3,0))),VLOOKUP(AX$5,Materialpreise,3,0)*VLOOKUP($A17,Rezepte,MATCH(Kalkulation!AX$5,Rezepte!$5:$5,0),0),"")</f>
        <v/>
      </c>
      <c r="AY17" s="23" t="str">
        <f>IF(AND(ISNUMBER(VLOOKUP($A17,Rezepte,MATCH(Kalkulation!AY$5,Rezepte!$5:$5,0),0)),ISNUMBER(VLOOKUP(AY$5,Materialpreise,3,0))),VLOOKUP(AY$5,Materialpreise,3,0)*VLOOKUP($A17,Rezepte,MATCH(Kalkulation!AY$5,Rezepte!$5:$5,0),0),"")</f>
        <v/>
      </c>
      <c r="AZ17" s="23" t="str">
        <f>IF(AND(ISNUMBER(VLOOKUP($A17,Rezepte,MATCH(Kalkulation!AZ$5,Rezepte!$5:$5,0),0)),ISNUMBER(VLOOKUP(AZ$5,Materialpreise,3,0))),VLOOKUP(AZ$5,Materialpreise,3,0)*VLOOKUP($A17,Rezepte,MATCH(Kalkulation!AZ$5,Rezepte!$5:$5,0),0),"")</f>
        <v/>
      </c>
      <c r="BA17" s="23" t="str">
        <f>IF(AND(ISNUMBER(VLOOKUP($A17,Rezepte,MATCH(Kalkulation!BA$5,Rezepte!$5:$5,0),0)),ISNUMBER(VLOOKUP(BA$5,Materialpreise,3,0))),VLOOKUP(BA$5,Materialpreise,3,0)*VLOOKUP($A17,Rezepte,MATCH(Kalkulation!BA$5,Rezepte!$5:$5,0),0),"")</f>
        <v/>
      </c>
    </row>
    <row r="18" spans="1:53" x14ac:dyDescent="0.25">
      <c r="A18" t="str">
        <f t="array" ref="A18">IFERROR(INDEX(Rezepte!$A$6:$A$100,MATCH(1,(COUNTIF(A$6:A17,Rezepte!A$6:A$100)=0)*(Rezepte!A$6:A$100&lt;&gt;""),0)),"")</f>
        <v>Kümmelstange</v>
      </c>
      <c r="B18" s="23">
        <f t="shared" si="0"/>
        <v>0.11926571428571431</v>
      </c>
      <c r="C18" s="23">
        <f t="shared" si="1"/>
        <v>0.11926571428571431</v>
      </c>
      <c r="D18" s="23" t="str">
        <f>IF(AND(ISNUMBER(VLOOKUP($A18,Rezepte,MATCH(Kalkulation!D$5,Rezepte!$5:$5,0),0)),ISNUMBER(VLOOKUP(D$5,Materialpreise,3,0))),VLOOKUP(D$5,Materialpreise,3,0)*VLOOKUP($A18,Rezepte,MATCH(Kalkulation!D$5,Rezepte!$5:$5,0),0),"")</f>
        <v/>
      </c>
      <c r="E18" s="23" t="str">
        <f>IF(AND(ISNUMBER(VLOOKUP($A18,Rezepte,MATCH(Kalkulation!E$5,Rezepte!$5:$5,0),0)),ISNUMBER(VLOOKUP(E$5,Materialpreise,3,0))),VLOOKUP(E$5,Materialpreise,3,0)*VLOOKUP($A18,Rezepte,MATCH(Kalkulation!E$5,Rezepte!$5:$5,0),0),"")</f>
        <v/>
      </c>
      <c r="F18" s="23" t="str">
        <f>IF(AND(ISNUMBER(VLOOKUP($A18,Rezepte,MATCH(Kalkulation!F$5,Rezepte!$5:$5,0),0)),ISNUMBER(VLOOKUP(F$5,Materialpreise,3,0))),VLOOKUP(F$5,Materialpreise,3,0)*VLOOKUP($A18,Rezepte,MATCH(Kalkulation!F$5,Rezepte!$5:$5,0),0),"")</f>
        <v/>
      </c>
      <c r="G18" s="23" t="str">
        <f>IF(AND(ISNUMBER(VLOOKUP($A18,Rezepte,MATCH(Kalkulation!G$5,Rezepte!$5:$5,0),0)),ISNUMBER(VLOOKUP(G$5,Materialpreise,3,0))),VLOOKUP(G$5,Materialpreise,3,0)*VLOOKUP($A18,Rezepte,MATCH(Kalkulation!G$5,Rezepte!$5:$5,0),0),"")</f>
        <v/>
      </c>
      <c r="H18" s="23" t="str">
        <f>IF(AND(ISNUMBER(VLOOKUP($A18,Rezepte,MATCH(Kalkulation!H$5,Rezepte!$5:$5,0),0)),ISNUMBER(VLOOKUP(H$5,Materialpreise,3,0))),VLOOKUP(H$5,Materialpreise,3,0)*VLOOKUP($A18,Rezepte,MATCH(Kalkulation!H$5,Rezepte!$5:$5,0),0),"")</f>
        <v/>
      </c>
      <c r="I18" s="23">
        <f>IF(AND(ISNUMBER(VLOOKUP($A18,Rezepte,MATCH(Kalkulation!I$5,Rezepte!$5:$5,0),0)),ISNUMBER(VLOOKUP(I$5,Materialpreise,3,0))),VLOOKUP(I$5,Materialpreise,3,0)*VLOOKUP($A18,Rezepte,MATCH(Kalkulation!I$5,Rezepte!$5:$5,0),0),"")</f>
        <v>7.3828571428571438E-2</v>
      </c>
      <c r="J18" s="23" t="str">
        <f>IF(AND(ISNUMBER(VLOOKUP($A18,Rezepte,MATCH(Kalkulation!J$5,Rezepte!$5:$5,0),0)),ISNUMBER(VLOOKUP(J$5,Materialpreise,3,0))),VLOOKUP(J$5,Materialpreise,3,0)*VLOOKUP($A18,Rezepte,MATCH(Kalkulation!J$5,Rezepte!$5:$5,0),0),"")</f>
        <v/>
      </c>
      <c r="K18" s="23">
        <f>IF(AND(ISNUMBER(VLOOKUP($A18,Rezepte,MATCH(Kalkulation!K$5,Rezepte!$5:$5,0),0)),ISNUMBER(VLOOKUP(K$5,Materialpreise,3,0))),VLOOKUP(K$5,Materialpreise,3,0)*VLOOKUP($A18,Rezepte,MATCH(Kalkulation!K$5,Rezepte!$5:$5,0),0),"")</f>
        <v>1.9542857142857141E-4</v>
      </c>
      <c r="L18" s="23" t="str">
        <f>IF(AND(ISNUMBER(VLOOKUP($A18,Rezepte,MATCH(Kalkulation!L$5,Rezepte!$5:$5,0),0)),ISNUMBER(VLOOKUP(L$5,Materialpreise,3,0))),VLOOKUP(L$5,Materialpreise,3,0)*VLOOKUP($A18,Rezepte,MATCH(Kalkulation!L$5,Rezepte!$5:$5,0),0),"")</f>
        <v/>
      </c>
      <c r="M18" s="23" t="str">
        <f>IF(AND(ISNUMBER(VLOOKUP($A18,Rezepte,MATCH(Kalkulation!M$5,Rezepte!$5:$5,0),0)),ISNUMBER(VLOOKUP(M$5,Materialpreise,3,0))),VLOOKUP(M$5,Materialpreise,3,0)*VLOOKUP($A18,Rezepte,MATCH(Kalkulation!M$5,Rezepte!$5:$5,0),0),"")</f>
        <v/>
      </c>
      <c r="N18" s="23" t="str">
        <f>IF(AND(ISNUMBER(VLOOKUP($A18,Rezepte,MATCH(Kalkulation!N$5,Rezepte!$5:$5,0),0)),ISNUMBER(VLOOKUP(N$5,Materialpreise,3,0))),VLOOKUP(N$5,Materialpreise,3,0)*VLOOKUP($A18,Rezepte,MATCH(Kalkulation!N$5,Rezepte!$5:$5,0),0),"")</f>
        <v/>
      </c>
      <c r="O18" s="23">
        <f>IF(AND(ISNUMBER(VLOOKUP($A18,Rezepte,MATCH(Kalkulation!O$5,Rezepte!$5:$5,0),0)),ISNUMBER(VLOOKUP(O$5,Materialpreise,3,0))),VLOOKUP(O$5,Materialpreise,3,0)*VLOOKUP($A18,Rezepte,MATCH(Kalkulation!O$5,Rezepte!$5:$5,0),0),"")</f>
        <v>1.5634285714285711E-3</v>
      </c>
      <c r="P18" s="23">
        <f>IF(AND(ISNUMBER(VLOOKUP($A18,Rezepte,MATCH(Kalkulation!P$5,Rezepte!$5:$5,0),0)),ISNUMBER(VLOOKUP(P$5,Materialpreise,3,0))),VLOOKUP(P$5,Materialpreise,3,0)*VLOOKUP($A18,Rezepte,MATCH(Kalkulation!P$5,Rezepte!$5:$5,0),0),"")</f>
        <v>4.6685714285714288E-4</v>
      </c>
      <c r="Q18" s="23" t="str">
        <f>IF(AND(ISNUMBER(VLOOKUP($A18,Rezepte,MATCH(Kalkulation!Q$5,Rezepte!$5:$5,0),0)),ISNUMBER(VLOOKUP(Q$5,Materialpreise,3,0))),VLOOKUP(Q$5,Materialpreise,3,0)*VLOOKUP($A18,Rezepte,MATCH(Kalkulation!Q$5,Rezepte!$5:$5,0),0),"")</f>
        <v/>
      </c>
      <c r="R18" s="23" t="str">
        <f>IF(AND(ISNUMBER(VLOOKUP($A18,Rezepte,MATCH(Kalkulation!R$5,Rezepte!$5:$5,0),0)),ISNUMBER(VLOOKUP(R$5,Materialpreise,3,0))),VLOOKUP(R$5,Materialpreise,3,0)*VLOOKUP($A18,Rezepte,MATCH(Kalkulation!R$5,Rezepte!$5:$5,0),0),"")</f>
        <v/>
      </c>
      <c r="S18" s="23" t="str">
        <f>IF(AND(ISNUMBER(VLOOKUP($A18,Rezepte,MATCH(Kalkulation!S$5,Rezepte!$5:$5,0),0)),ISNUMBER(VLOOKUP(S$5,Materialpreise,3,0))),VLOOKUP(S$5,Materialpreise,3,0)*VLOOKUP($A18,Rezepte,MATCH(Kalkulation!S$5,Rezepte!$5:$5,0),0),"")</f>
        <v/>
      </c>
      <c r="T18" s="23" t="str">
        <f>IF(AND(ISNUMBER(VLOOKUP($A18,Rezepte,MATCH(Kalkulation!T$5,Rezepte!$5:$5,0),0)),ISNUMBER(VLOOKUP(T$5,Materialpreise,3,0))),VLOOKUP(T$5,Materialpreise,3,0)*VLOOKUP($A18,Rezepte,MATCH(Kalkulation!T$5,Rezepte!$5:$5,0),0),"")</f>
        <v/>
      </c>
      <c r="U18" s="23" t="str">
        <f>IF(AND(ISNUMBER(VLOOKUP($A18,Rezepte,MATCH(Kalkulation!U$5,Rezepte!$5:$5,0),0)),ISNUMBER(VLOOKUP(U$5,Materialpreise,3,0))),VLOOKUP(U$5,Materialpreise,3,0)*VLOOKUP($A18,Rezepte,MATCH(Kalkulation!U$5,Rezepte!$5:$5,0),0),"")</f>
        <v/>
      </c>
      <c r="V18" s="23" t="str">
        <f>IF(AND(ISNUMBER(VLOOKUP($A18,Rezepte,MATCH(Kalkulation!V$5,Rezepte!$5:$5,0),0)),ISNUMBER(VLOOKUP(V$5,Materialpreise,3,0))),VLOOKUP(V$5,Materialpreise,3,0)*VLOOKUP($A18,Rezepte,MATCH(Kalkulation!V$5,Rezepte!$5:$5,0),0),"")</f>
        <v/>
      </c>
      <c r="W18" s="23" t="str">
        <f>IF(AND(ISNUMBER(VLOOKUP($A18,Rezepte,MATCH(Kalkulation!W$5,Rezepte!$5:$5,0),0)),ISNUMBER(VLOOKUP(W$5,Materialpreise,3,0))),VLOOKUP(W$5,Materialpreise,3,0)*VLOOKUP($A18,Rezepte,MATCH(Kalkulation!W$5,Rezepte!$5:$5,0),0),"")</f>
        <v/>
      </c>
      <c r="X18" s="23" t="str">
        <f>IF(AND(ISNUMBER(VLOOKUP($A18,Rezepte,MATCH(Kalkulation!X$5,Rezepte!$5:$5,0),0)),ISNUMBER(VLOOKUP(X$5,Materialpreise,3,0))),VLOOKUP(X$5,Materialpreise,3,0)*VLOOKUP($A18,Rezepte,MATCH(Kalkulation!X$5,Rezepte!$5:$5,0),0),"")</f>
        <v/>
      </c>
      <c r="Y18" s="23" t="str">
        <f>IF(AND(ISNUMBER(VLOOKUP($A18,Rezepte,MATCH(Kalkulation!Y$5,Rezepte!$5:$5,0),0)),ISNUMBER(VLOOKUP(Y$5,Materialpreise,3,0))),VLOOKUP(Y$5,Materialpreise,3,0)*VLOOKUP($A18,Rezepte,MATCH(Kalkulation!Y$5,Rezepte!$5:$5,0),0),"")</f>
        <v/>
      </c>
      <c r="Z18" s="23">
        <f>IF(AND(ISNUMBER(VLOOKUP($A18,Rezepte,MATCH(Kalkulation!Z$5,Rezepte!$5:$5,0),0)),ISNUMBER(VLOOKUP(Z$5,Materialpreise,3,0))),VLOOKUP(Z$5,Materialpreise,3,0)*VLOOKUP($A18,Rezepte,MATCH(Kalkulation!Z$5,Rezepte!$5:$5,0),0),"")</f>
        <v>4.3211428571428581E-2</v>
      </c>
      <c r="AA18" s="23" t="str">
        <f>IF(AND(ISNUMBER(VLOOKUP($A18,Rezepte,MATCH(Kalkulation!AA$5,Rezepte!$5:$5,0),0)),ISNUMBER(VLOOKUP(AA$5,Materialpreise,3,0))),VLOOKUP(AA$5,Materialpreise,3,0)*VLOOKUP($A18,Rezepte,MATCH(Kalkulation!AA$5,Rezepte!$5:$5,0),0),"")</f>
        <v/>
      </c>
      <c r="AB18" s="23" t="str">
        <f>IF(AND(ISNUMBER(VLOOKUP($A18,Rezepte,MATCH(Kalkulation!AB$5,Rezepte!$5:$5,0),0)),ISNUMBER(VLOOKUP(AB$5,Materialpreise,3,0))),VLOOKUP(AB$5,Materialpreise,3,0)*VLOOKUP($A18,Rezepte,MATCH(Kalkulation!AB$5,Rezepte!$5:$5,0),0),"")</f>
        <v/>
      </c>
      <c r="AC18" s="23" t="str">
        <f>IF(AND(ISNUMBER(VLOOKUP($A18,Rezepte,MATCH(Kalkulation!AC$5,Rezepte!$5:$5,0),0)),ISNUMBER(VLOOKUP(AC$5,Materialpreise,3,0))),VLOOKUP(AC$5,Materialpreise,3,0)*VLOOKUP($A18,Rezepte,MATCH(Kalkulation!AC$5,Rezepte!$5:$5,0),0),"")</f>
        <v/>
      </c>
      <c r="AD18" s="23" t="str">
        <f>IF(AND(ISNUMBER(VLOOKUP($A18,Rezepte,MATCH(Kalkulation!AD$5,Rezepte!$5:$5,0),0)),ISNUMBER(VLOOKUP(AD$5,Materialpreise,3,0))),VLOOKUP(AD$5,Materialpreise,3,0)*VLOOKUP($A18,Rezepte,MATCH(Kalkulation!AD$5,Rezepte!$5:$5,0),0),"")</f>
        <v/>
      </c>
      <c r="AE18" s="23" t="str">
        <f>IF(AND(ISNUMBER(VLOOKUP($A18,Rezepte,MATCH(Kalkulation!AE$5,Rezepte!$5:$5,0),0)),ISNUMBER(VLOOKUP(AE$5,Materialpreise,3,0))),VLOOKUP(AE$5,Materialpreise,3,0)*VLOOKUP($A18,Rezepte,MATCH(Kalkulation!AE$5,Rezepte!$5:$5,0),0),"")</f>
        <v/>
      </c>
      <c r="AF18" s="23" t="str">
        <f>IF(AND(ISNUMBER(VLOOKUP($A18,Rezepte,MATCH(Kalkulation!AF$5,Rezepte!$5:$5,0),0)),ISNUMBER(VLOOKUP(AF$5,Materialpreise,3,0))),VLOOKUP(AF$5,Materialpreise,3,0)*VLOOKUP($A18,Rezepte,MATCH(Kalkulation!AF$5,Rezepte!$5:$5,0),0),"")</f>
        <v/>
      </c>
      <c r="AG18" s="23" t="str">
        <f>IF(AND(ISNUMBER(VLOOKUP($A18,Rezepte,MATCH(Kalkulation!AG$5,Rezepte!$5:$5,0),0)),ISNUMBER(VLOOKUP(AG$5,Materialpreise,3,0))),VLOOKUP(AG$5,Materialpreise,3,0)*VLOOKUP($A18,Rezepte,MATCH(Kalkulation!AG$5,Rezepte!$5:$5,0),0),"")</f>
        <v/>
      </c>
      <c r="AH18" s="23" t="str">
        <f>IF(AND(ISNUMBER(VLOOKUP($A18,Rezepte,MATCH(Kalkulation!AH$5,Rezepte!$5:$5,0),0)),ISNUMBER(VLOOKUP(AH$5,Materialpreise,3,0))),VLOOKUP(AH$5,Materialpreise,3,0)*VLOOKUP($A18,Rezepte,MATCH(Kalkulation!AH$5,Rezepte!$5:$5,0),0),"")</f>
        <v/>
      </c>
      <c r="AI18" s="23" t="str">
        <f>IF(AND(ISNUMBER(VLOOKUP($A18,Rezepte,MATCH(Kalkulation!AI$5,Rezepte!$5:$5,0),0)),ISNUMBER(VLOOKUP(AI$5,Materialpreise,3,0))),VLOOKUP(AI$5,Materialpreise,3,0)*VLOOKUP($A18,Rezepte,MATCH(Kalkulation!AI$5,Rezepte!$5:$5,0),0),"")</f>
        <v/>
      </c>
      <c r="AJ18" s="23" t="str">
        <f>IF(AND(ISNUMBER(VLOOKUP($A18,Rezepte,MATCH(Kalkulation!AJ$5,Rezepte!$5:$5,0),0)),ISNUMBER(VLOOKUP(AJ$5,Materialpreise,3,0))),VLOOKUP(AJ$5,Materialpreise,3,0)*VLOOKUP($A18,Rezepte,MATCH(Kalkulation!AJ$5,Rezepte!$5:$5,0),0),"")</f>
        <v/>
      </c>
      <c r="AK18" s="23" t="str">
        <f>IF(AND(ISNUMBER(VLOOKUP($A18,Rezepte,MATCH(Kalkulation!AK$5,Rezepte!$5:$5,0),0)),ISNUMBER(VLOOKUP(AK$5,Materialpreise,3,0))),VLOOKUP(AK$5,Materialpreise,3,0)*VLOOKUP($A18,Rezepte,MATCH(Kalkulation!AK$5,Rezepte!$5:$5,0),0),"")</f>
        <v/>
      </c>
      <c r="AL18" s="23" t="str">
        <f>IF(AND(ISNUMBER(VLOOKUP($A18,Rezepte,MATCH(Kalkulation!AL$5,Rezepte!$5:$5,0),0)),ISNUMBER(VLOOKUP(AL$5,Materialpreise,3,0))),VLOOKUP(AL$5,Materialpreise,3,0)*VLOOKUP($A18,Rezepte,MATCH(Kalkulation!AL$5,Rezepte!$5:$5,0),0),"")</f>
        <v/>
      </c>
      <c r="AM18" s="23" t="str">
        <f>IF(AND(ISNUMBER(VLOOKUP($A18,Rezepte,MATCH(Kalkulation!AM$5,Rezepte!$5:$5,0),0)),ISNUMBER(VLOOKUP(AM$5,Materialpreise,3,0))),VLOOKUP(AM$5,Materialpreise,3,0)*VLOOKUP($A18,Rezepte,MATCH(Kalkulation!AM$5,Rezepte!$5:$5,0),0),"")</f>
        <v/>
      </c>
      <c r="AN18" s="23" t="str">
        <f>IF(AND(ISNUMBER(VLOOKUP($A18,Rezepte,MATCH(Kalkulation!AN$5,Rezepte!$5:$5,0),0)),ISNUMBER(VLOOKUP(AN$5,Materialpreise,3,0))),VLOOKUP(AN$5,Materialpreise,3,0)*VLOOKUP($A18,Rezepte,MATCH(Kalkulation!AN$5,Rezepte!$5:$5,0),0),"")</f>
        <v/>
      </c>
      <c r="AO18" s="23" t="str">
        <f>IF(AND(ISNUMBER(VLOOKUP($A18,Rezepte,MATCH(Kalkulation!AO$5,Rezepte!$5:$5,0),0)),ISNUMBER(VLOOKUP(AO$5,Materialpreise,3,0))),VLOOKUP(AO$5,Materialpreise,3,0)*VLOOKUP($A18,Rezepte,MATCH(Kalkulation!AO$5,Rezepte!$5:$5,0),0),"")</f>
        <v/>
      </c>
      <c r="AP18" s="23" t="str">
        <f>IF(AND(ISNUMBER(VLOOKUP($A18,Rezepte,MATCH(Kalkulation!AP$5,Rezepte!$5:$5,0),0)),ISNUMBER(VLOOKUP(AP$5,Materialpreise,3,0))),VLOOKUP(AP$5,Materialpreise,3,0)*VLOOKUP($A18,Rezepte,MATCH(Kalkulation!AP$5,Rezepte!$5:$5,0),0),"")</f>
        <v/>
      </c>
      <c r="AQ18" s="23" t="str">
        <f>IF(AND(ISNUMBER(VLOOKUP($A18,Rezepte,MATCH(Kalkulation!AQ$5,Rezepte!$5:$5,0),0)),ISNUMBER(VLOOKUP(AQ$5,Materialpreise,3,0))),VLOOKUP(AQ$5,Materialpreise,3,0)*VLOOKUP($A18,Rezepte,MATCH(Kalkulation!AQ$5,Rezepte!$5:$5,0),0),"")</f>
        <v/>
      </c>
      <c r="AR18" s="23" t="str">
        <f>IF(AND(ISNUMBER(VLOOKUP($A18,Rezepte,MATCH(Kalkulation!AR$5,Rezepte!$5:$5,0),0)),ISNUMBER(VLOOKUP(AR$5,Materialpreise,3,0))),VLOOKUP(AR$5,Materialpreise,3,0)*VLOOKUP($A18,Rezepte,MATCH(Kalkulation!AR$5,Rezepte!$5:$5,0),0),"")</f>
        <v/>
      </c>
      <c r="AS18" s="23" t="str">
        <f>IF(AND(ISNUMBER(VLOOKUP($A18,Rezepte,MATCH(Kalkulation!AS$5,Rezepte!$5:$5,0),0)),ISNUMBER(VLOOKUP(AS$5,Materialpreise,3,0))),VLOOKUP(AS$5,Materialpreise,3,0)*VLOOKUP($A18,Rezepte,MATCH(Kalkulation!AS$5,Rezepte!$5:$5,0),0),"")</f>
        <v/>
      </c>
      <c r="AT18" s="23" t="str">
        <f>IF(AND(ISNUMBER(VLOOKUP($A18,Rezepte,MATCH(Kalkulation!AT$5,Rezepte!$5:$5,0),0)),ISNUMBER(VLOOKUP(AT$5,Materialpreise,3,0))),VLOOKUP(AT$5,Materialpreise,3,0)*VLOOKUP($A18,Rezepte,MATCH(Kalkulation!AT$5,Rezepte!$5:$5,0),0),"")</f>
        <v/>
      </c>
      <c r="AU18" s="23" t="str">
        <f>IF(AND(ISNUMBER(VLOOKUP($A18,Rezepte,MATCH(Kalkulation!AU$5,Rezepte!$5:$5,0),0)),ISNUMBER(VLOOKUP(AU$5,Materialpreise,3,0))),VLOOKUP(AU$5,Materialpreise,3,0)*VLOOKUP($A18,Rezepte,MATCH(Kalkulation!AU$5,Rezepte!$5:$5,0),0),"")</f>
        <v/>
      </c>
      <c r="AV18" s="23" t="str">
        <f>IF(AND(ISNUMBER(VLOOKUP($A18,Rezepte,MATCH(Kalkulation!AV$5,Rezepte!$5:$5,0),0)),ISNUMBER(VLOOKUP(AV$5,Materialpreise,3,0))),VLOOKUP(AV$5,Materialpreise,3,0)*VLOOKUP($A18,Rezepte,MATCH(Kalkulation!AV$5,Rezepte!$5:$5,0),0),"")</f>
        <v/>
      </c>
      <c r="AW18" s="23" t="str">
        <f>IF(AND(ISNUMBER(VLOOKUP($A18,Rezepte,MATCH(Kalkulation!AW$5,Rezepte!$5:$5,0),0)),ISNUMBER(VLOOKUP(AW$5,Materialpreise,3,0))),VLOOKUP(AW$5,Materialpreise,3,0)*VLOOKUP($A18,Rezepte,MATCH(Kalkulation!AW$5,Rezepte!$5:$5,0),0),"")</f>
        <v/>
      </c>
      <c r="AX18" s="23" t="str">
        <f>IF(AND(ISNUMBER(VLOOKUP($A18,Rezepte,MATCH(Kalkulation!AX$5,Rezepte!$5:$5,0),0)),ISNUMBER(VLOOKUP(AX$5,Materialpreise,3,0))),VLOOKUP(AX$5,Materialpreise,3,0)*VLOOKUP($A18,Rezepte,MATCH(Kalkulation!AX$5,Rezepte!$5:$5,0),0),"")</f>
        <v/>
      </c>
      <c r="AY18" s="23" t="str">
        <f>IF(AND(ISNUMBER(VLOOKUP($A18,Rezepte,MATCH(Kalkulation!AY$5,Rezepte!$5:$5,0),0)),ISNUMBER(VLOOKUP(AY$5,Materialpreise,3,0))),VLOOKUP(AY$5,Materialpreise,3,0)*VLOOKUP($A18,Rezepte,MATCH(Kalkulation!AY$5,Rezepte!$5:$5,0),0),"")</f>
        <v/>
      </c>
      <c r="AZ18" s="23" t="str">
        <f>IF(AND(ISNUMBER(VLOOKUP($A18,Rezepte,MATCH(Kalkulation!AZ$5,Rezepte!$5:$5,0),0)),ISNUMBER(VLOOKUP(AZ$5,Materialpreise,3,0))),VLOOKUP(AZ$5,Materialpreise,3,0)*VLOOKUP($A18,Rezepte,MATCH(Kalkulation!AZ$5,Rezepte!$5:$5,0),0),"")</f>
        <v/>
      </c>
      <c r="BA18" s="23" t="str">
        <f>IF(AND(ISNUMBER(VLOOKUP($A18,Rezepte,MATCH(Kalkulation!BA$5,Rezepte!$5:$5,0),0)),ISNUMBER(VLOOKUP(BA$5,Materialpreise,3,0))),VLOOKUP(BA$5,Materialpreise,3,0)*VLOOKUP($A18,Rezepte,MATCH(Kalkulation!BA$5,Rezepte!$5:$5,0),0),"")</f>
        <v/>
      </c>
    </row>
    <row r="19" spans="1:53" x14ac:dyDescent="0.25">
      <c r="A19" t="str">
        <f t="array" ref="A19">IFERROR(INDEX(Rezepte!$A$6:$A$100,MATCH(1,(COUNTIF(A$6:A18,Rezepte!A$6:A$100)=0)*(Rezepte!A$6:A$100&lt;&gt;""),0)),"")</f>
        <v/>
      </c>
      <c r="B19" s="23" t="str">
        <f t="shared" si="0"/>
        <v/>
      </c>
      <c r="C19" s="23" t="str">
        <f t="shared" si="1"/>
        <v/>
      </c>
      <c r="D19" s="23" t="str">
        <f>IF(AND(ISNUMBER(VLOOKUP($A19,Rezepte,MATCH(Kalkulation!D$5,Rezepte!$5:$5,0),0)),ISNUMBER(VLOOKUP(D$5,Materialpreise,3,0))),VLOOKUP(D$5,Materialpreise,3,0)*VLOOKUP($A19,Rezepte,MATCH(Kalkulation!D$5,Rezepte!$5:$5,0),0),"")</f>
        <v/>
      </c>
      <c r="E19" s="23" t="str">
        <f>IF(AND(ISNUMBER(VLOOKUP($A19,Rezepte,MATCH(Kalkulation!E$5,Rezepte!$5:$5,0),0)),ISNUMBER(VLOOKUP(E$5,Materialpreise,3,0))),VLOOKUP(E$5,Materialpreise,3,0)*VLOOKUP($A19,Rezepte,MATCH(Kalkulation!E$5,Rezepte!$5:$5,0),0),"")</f>
        <v/>
      </c>
      <c r="F19" s="23" t="str">
        <f>IF(AND(ISNUMBER(VLOOKUP($A19,Rezepte,MATCH(Kalkulation!F$5,Rezepte!$5:$5,0),0)),ISNUMBER(VLOOKUP(F$5,Materialpreise,3,0))),VLOOKUP(F$5,Materialpreise,3,0)*VLOOKUP($A19,Rezepte,MATCH(Kalkulation!F$5,Rezepte!$5:$5,0),0),"")</f>
        <v/>
      </c>
      <c r="G19" s="23" t="str">
        <f>IF(AND(ISNUMBER(VLOOKUP($A19,Rezepte,MATCH(Kalkulation!G$5,Rezepte!$5:$5,0),0)),ISNUMBER(VLOOKUP(G$5,Materialpreise,3,0))),VLOOKUP(G$5,Materialpreise,3,0)*VLOOKUP($A19,Rezepte,MATCH(Kalkulation!G$5,Rezepte!$5:$5,0),0),"")</f>
        <v/>
      </c>
      <c r="H19" s="23" t="str">
        <f>IF(AND(ISNUMBER(VLOOKUP($A19,Rezepte,MATCH(Kalkulation!H$5,Rezepte!$5:$5,0),0)),ISNUMBER(VLOOKUP(H$5,Materialpreise,3,0))),VLOOKUP(H$5,Materialpreise,3,0)*VLOOKUP($A19,Rezepte,MATCH(Kalkulation!H$5,Rezepte!$5:$5,0),0),"")</f>
        <v/>
      </c>
      <c r="I19" s="23" t="str">
        <f>IF(AND(ISNUMBER(VLOOKUP($A19,Rezepte,MATCH(Kalkulation!I$5,Rezepte!$5:$5,0),0)),ISNUMBER(VLOOKUP(I$5,Materialpreise,3,0))),VLOOKUP(I$5,Materialpreise,3,0)*VLOOKUP($A19,Rezepte,MATCH(Kalkulation!I$5,Rezepte!$5:$5,0),0),"")</f>
        <v/>
      </c>
      <c r="J19" s="23" t="str">
        <f>IF(AND(ISNUMBER(VLOOKUP($A19,Rezepte,MATCH(Kalkulation!J$5,Rezepte!$5:$5,0),0)),ISNUMBER(VLOOKUP(J$5,Materialpreise,3,0))),VLOOKUP(J$5,Materialpreise,3,0)*VLOOKUP($A19,Rezepte,MATCH(Kalkulation!J$5,Rezepte!$5:$5,0),0),"")</f>
        <v/>
      </c>
      <c r="K19" s="23" t="str">
        <f>IF(AND(ISNUMBER(VLOOKUP($A19,Rezepte,MATCH(Kalkulation!K$5,Rezepte!$5:$5,0),0)),ISNUMBER(VLOOKUP(K$5,Materialpreise,3,0))),VLOOKUP(K$5,Materialpreise,3,0)*VLOOKUP($A19,Rezepte,MATCH(Kalkulation!K$5,Rezepte!$5:$5,0),0),"")</f>
        <v/>
      </c>
      <c r="L19" s="23" t="str">
        <f>IF(AND(ISNUMBER(VLOOKUP($A19,Rezepte,MATCH(Kalkulation!L$5,Rezepte!$5:$5,0),0)),ISNUMBER(VLOOKUP(L$5,Materialpreise,3,0))),VLOOKUP(L$5,Materialpreise,3,0)*VLOOKUP($A19,Rezepte,MATCH(Kalkulation!L$5,Rezepte!$5:$5,0),0),"")</f>
        <v/>
      </c>
      <c r="M19" s="23" t="str">
        <f>IF(AND(ISNUMBER(VLOOKUP($A19,Rezepte,MATCH(Kalkulation!M$5,Rezepte!$5:$5,0),0)),ISNUMBER(VLOOKUP(M$5,Materialpreise,3,0))),VLOOKUP(M$5,Materialpreise,3,0)*VLOOKUP($A19,Rezepte,MATCH(Kalkulation!M$5,Rezepte!$5:$5,0),0),"")</f>
        <v/>
      </c>
      <c r="N19" s="23" t="str">
        <f>IF(AND(ISNUMBER(VLOOKUP($A19,Rezepte,MATCH(Kalkulation!N$5,Rezepte!$5:$5,0),0)),ISNUMBER(VLOOKUP(N$5,Materialpreise,3,0))),VLOOKUP(N$5,Materialpreise,3,0)*VLOOKUP($A19,Rezepte,MATCH(Kalkulation!N$5,Rezepte!$5:$5,0),0),"")</f>
        <v/>
      </c>
      <c r="O19" s="23" t="str">
        <f>IF(AND(ISNUMBER(VLOOKUP($A19,Rezepte,MATCH(Kalkulation!O$5,Rezepte!$5:$5,0),0)),ISNUMBER(VLOOKUP(O$5,Materialpreise,3,0))),VLOOKUP(O$5,Materialpreise,3,0)*VLOOKUP($A19,Rezepte,MATCH(Kalkulation!O$5,Rezepte!$5:$5,0),0),"")</f>
        <v/>
      </c>
      <c r="P19" s="23" t="str">
        <f>IF(AND(ISNUMBER(VLOOKUP($A19,Rezepte,MATCH(Kalkulation!P$5,Rezepte!$5:$5,0),0)),ISNUMBER(VLOOKUP(P$5,Materialpreise,3,0))),VLOOKUP(P$5,Materialpreise,3,0)*VLOOKUP($A19,Rezepte,MATCH(Kalkulation!P$5,Rezepte!$5:$5,0),0),"")</f>
        <v/>
      </c>
      <c r="Q19" s="23" t="str">
        <f>IF(AND(ISNUMBER(VLOOKUP($A19,Rezepte,MATCH(Kalkulation!Q$5,Rezepte!$5:$5,0),0)),ISNUMBER(VLOOKUP(Q$5,Materialpreise,3,0))),VLOOKUP(Q$5,Materialpreise,3,0)*VLOOKUP($A19,Rezepte,MATCH(Kalkulation!Q$5,Rezepte!$5:$5,0),0),"")</f>
        <v/>
      </c>
      <c r="R19" s="23" t="str">
        <f>IF(AND(ISNUMBER(VLOOKUP($A19,Rezepte,MATCH(Kalkulation!R$5,Rezepte!$5:$5,0),0)),ISNUMBER(VLOOKUP(R$5,Materialpreise,3,0))),VLOOKUP(R$5,Materialpreise,3,0)*VLOOKUP($A19,Rezepte,MATCH(Kalkulation!R$5,Rezepte!$5:$5,0),0),"")</f>
        <v/>
      </c>
      <c r="S19" s="23" t="str">
        <f>IF(AND(ISNUMBER(VLOOKUP($A19,Rezepte,MATCH(Kalkulation!S$5,Rezepte!$5:$5,0),0)),ISNUMBER(VLOOKUP(S$5,Materialpreise,3,0))),VLOOKUP(S$5,Materialpreise,3,0)*VLOOKUP($A19,Rezepte,MATCH(Kalkulation!S$5,Rezepte!$5:$5,0),0),"")</f>
        <v/>
      </c>
      <c r="T19" s="23" t="str">
        <f>IF(AND(ISNUMBER(VLOOKUP($A19,Rezepte,MATCH(Kalkulation!T$5,Rezepte!$5:$5,0),0)),ISNUMBER(VLOOKUP(T$5,Materialpreise,3,0))),VLOOKUP(T$5,Materialpreise,3,0)*VLOOKUP($A19,Rezepte,MATCH(Kalkulation!T$5,Rezepte!$5:$5,0),0),"")</f>
        <v/>
      </c>
      <c r="U19" s="23" t="str">
        <f>IF(AND(ISNUMBER(VLOOKUP($A19,Rezepte,MATCH(Kalkulation!U$5,Rezepte!$5:$5,0),0)),ISNUMBER(VLOOKUP(U$5,Materialpreise,3,0))),VLOOKUP(U$5,Materialpreise,3,0)*VLOOKUP($A19,Rezepte,MATCH(Kalkulation!U$5,Rezepte!$5:$5,0),0),"")</f>
        <v/>
      </c>
      <c r="V19" s="23" t="str">
        <f>IF(AND(ISNUMBER(VLOOKUP($A19,Rezepte,MATCH(Kalkulation!V$5,Rezepte!$5:$5,0),0)),ISNUMBER(VLOOKUP(V$5,Materialpreise,3,0))),VLOOKUP(V$5,Materialpreise,3,0)*VLOOKUP($A19,Rezepte,MATCH(Kalkulation!V$5,Rezepte!$5:$5,0),0),"")</f>
        <v/>
      </c>
      <c r="W19" s="23" t="str">
        <f>IF(AND(ISNUMBER(VLOOKUP($A19,Rezepte,MATCH(Kalkulation!W$5,Rezepte!$5:$5,0),0)),ISNUMBER(VLOOKUP(W$5,Materialpreise,3,0))),VLOOKUP(W$5,Materialpreise,3,0)*VLOOKUP($A19,Rezepte,MATCH(Kalkulation!W$5,Rezepte!$5:$5,0),0),"")</f>
        <v/>
      </c>
      <c r="X19" s="23" t="str">
        <f>IF(AND(ISNUMBER(VLOOKUP($A19,Rezepte,MATCH(Kalkulation!X$5,Rezepte!$5:$5,0),0)),ISNUMBER(VLOOKUP(X$5,Materialpreise,3,0))),VLOOKUP(X$5,Materialpreise,3,0)*VLOOKUP($A19,Rezepte,MATCH(Kalkulation!X$5,Rezepte!$5:$5,0),0),"")</f>
        <v/>
      </c>
      <c r="Y19" s="23" t="str">
        <f>IF(AND(ISNUMBER(VLOOKUP($A19,Rezepte,MATCH(Kalkulation!Y$5,Rezepte!$5:$5,0),0)),ISNUMBER(VLOOKUP(Y$5,Materialpreise,3,0))),VLOOKUP(Y$5,Materialpreise,3,0)*VLOOKUP($A19,Rezepte,MATCH(Kalkulation!Y$5,Rezepte!$5:$5,0),0),"")</f>
        <v/>
      </c>
      <c r="Z19" s="23" t="str">
        <f>IF(AND(ISNUMBER(VLOOKUP($A19,Rezepte,MATCH(Kalkulation!Z$5,Rezepte!$5:$5,0),0)),ISNUMBER(VLOOKUP(Z$5,Materialpreise,3,0))),VLOOKUP(Z$5,Materialpreise,3,0)*VLOOKUP($A19,Rezepte,MATCH(Kalkulation!Z$5,Rezepte!$5:$5,0),0),"")</f>
        <v/>
      </c>
      <c r="AA19" s="23" t="str">
        <f>IF(AND(ISNUMBER(VLOOKUP($A19,Rezepte,MATCH(Kalkulation!AA$5,Rezepte!$5:$5,0),0)),ISNUMBER(VLOOKUP(AA$5,Materialpreise,3,0))),VLOOKUP(AA$5,Materialpreise,3,0)*VLOOKUP($A19,Rezepte,MATCH(Kalkulation!AA$5,Rezepte!$5:$5,0),0),"")</f>
        <v/>
      </c>
      <c r="AB19" s="23" t="str">
        <f>IF(AND(ISNUMBER(VLOOKUP($A19,Rezepte,MATCH(Kalkulation!AB$5,Rezepte!$5:$5,0),0)),ISNUMBER(VLOOKUP(AB$5,Materialpreise,3,0))),VLOOKUP(AB$5,Materialpreise,3,0)*VLOOKUP($A19,Rezepte,MATCH(Kalkulation!AB$5,Rezepte!$5:$5,0),0),"")</f>
        <v/>
      </c>
      <c r="AC19" s="23" t="str">
        <f>IF(AND(ISNUMBER(VLOOKUP($A19,Rezepte,MATCH(Kalkulation!AC$5,Rezepte!$5:$5,0),0)),ISNUMBER(VLOOKUP(AC$5,Materialpreise,3,0))),VLOOKUP(AC$5,Materialpreise,3,0)*VLOOKUP($A19,Rezepte,MATCH(Kalkulation!AC$5,Rezepte!$5:$5,0),0),"")</f>
        <v/>
      </c>
      <c r="AD19" s="23" t="str">
        <f>IF(AND(ISNUMBER(VLOOKUP($A19,Rezepte,MATCH(Kalkulation!AD$5,Rezepte!$5:$5,0),0)),ISNUMBER(VLOOKUP(AD$5,Materialpreise,3,0))),VLOOKUP(AD$5,Materialpreise,3,0)*VLOOKUP($A19,Rezepte,MATCH(Kalkulation!AD$5,Rezepte!$5:$5,0),0),"")</f>
        <v/>
      </c>
      <c r="AE19" s="23" t="str">
        <f>IF(AND(ISNUMBER(VLOOKUP($A19,Rezepte,MATCH(Kalkulation!AE$5,Rezepte!$5:$5,0),0)),ISNUMBER(VLOOKUP(AE$5,Materialpreise,3,0))),VLOOKUP(AE$5,Materialpreise,3,0)*VLOOKUP($A19,Rezepte,MATCH(Kalkulation!AE$5,Rezepte!$5:$5,0),0),"")</f>
        <v/>
      </c>
      <c r="AF19" s="23" t="str">
        <f>IF(AND(ISNUMBER(VLOOKUP($A19,Rezepte,MATCH(Kalkulation!AF$5,Rezepte!$5:$5,0),0)),ISNUMBER(VLOOKUP(AF$5,Materialpreise,3,0))),VLOOKUP(AF$5,Materialpreise,3,0)*VLOOKUP($A19,Rezepte,MATCH(Kalkulation!AF$5,Rezepte!$5:$5,0),0),"")</f>
        <v/>
      </c>
      <c r="AG19" s="23" t="str">
        <f>IF(AND(ISNUMBER(VLOOKUP($A19,Rezepte,MATCH(Kalkulation!AG$5,Rezepte!$5:$5,0),0)),ISNUMBER(VLOOKUP(AG$5,Materialpreise,3,0))),VLOOKUP(AG$5,Materialpreise,3,0)*VLOOKUP($A19,Rezepte,MATCH(Kalkulation!AG$5,Rezepte!$5:$5,0),0),"")</f>
        <v/>
      </c>
      <c r="AH19" s="23" t="str">
        <f>IF(AND(ISNUMBER(VLOOKUP($A19,Rezepte,MATCH(Kalkulation!AH$5,Rezepte!$5:$5,0),0)),ISNUMBER(VLOOKUP(AH$5,Materialpreise,3,0))),VLOOKUP(AH$5,Materialpreise,3,0)*VLOOKUP($A19,Rezepte,MATCH(Kalkulation!AH$5,Rezepte!$5:$5,0),0),"")</f>
        <v/>
      </c>
      <c r="AI19" s="23" t="str">
        <f>IF(AND(ISNUMBER(VLOOKUP($A19,Rezepte,MATCH(Kalkulation!AI$5,Rezepte!$5:$5,0),0)),ISNUMBER(VLOOKUP(AI$5,Materialpreise,3,0))),VLOOKUP(AI$5,Materialpreise,3,0)*VLOOKUP($A19,Rezepte,MATCH(Kalkulation!AI$5,Rezepte!$5:$5,0),0),"")</f>
        <v/>
      </c>
      <c r="AJ19" s="23" t="str">
        <f>IF(AND(ISNUMBER(VLOOKUP($A19,Rezepte,MATCH(Kalkulation!AJ$5,Rezepte!$5:$5,0),0)),ISNUMBER(VLOOKUP(AJ$5,Materialpreise,3,0))),VLOOKUP(AJ$5,Materialpreise,3,0)*VLOOKUP($A19,Rezepte,MATCH(Kalkulation!AJ$5,Rezepte!$5:$5,0),0),"")</f>
        <v/>
      </c>
      <c r="AK19" s="23" t="str">
        <f>IF(AND(ISNUMBER(VLOOKUP($A19,Rezepte,MATCH(Kalkulation!AK$5,Rezepte!$5:$5,0),0)),ISNUMBER(VLOOKUP(AK$5,Materialpreise,3,0))),VLOOKUP(AK$5,Materialpreise,3,0)*VLOOKUP($A19,Rezepte,MATCH(Kalkulation!AK$5,Rezepte!$5:$5,0),0),"")</f>
        <v/>
      </c>
      <c r="AL19" s="23" t="str">
        <f>IF(AND(ISNUMBER(VLOOKUP($A19,Rezepte,MATCH(Kalkulation!AL$5,Rezepte!$5:$5,0),0)),ISNUMBER(VLOOKUP(AL$5,Materialpreise,3,0))),VLOOKUP(AL$5,Materialpreise,3,0)*VLOOKUP($A19,Rezepte,MATCH(Kalkulation!AL$5,Rezepte!$5:$5,0),0),"")</f>
        <v/>
      </c>
      <c r="AM19" s="23" t="str">
        <f>IF(AND(ISNUMBER(VLOOKUP($A19,Rezepte,MATCH(Kalkulation!AM$5,Rezepte!$5:$5,0),0)),ISNUMBER(VLOOKUP(AM$5,Materialpreise,3,0))),VLOOKUP(AM$5,Materialpreise,3,0)*VLOOKUP($A19,Rezepte,MATCH(Kalkulation!AM$5,Rezepte!$5:$5,0),0),"")</f>
        <v/>
      </c>
      <c r="AN19" s="23" t="str">
        <f>IF(AND(ISNUMBER(VLOOKUP($A19,Rezepte,MATCH(Kalkulation!AN$5,Rezepte!$5:$5,0),0)),ISNUMBER(VLOOKUP(AN$5,Materialpreise,3,0))),VLOOKUP(AN$5,Materialpreise,3,0)*VLOOKUP($A19,Rezepte,MATCH(Kalkulation!AN$5,Rezepte!$5:$5,0),0),"")</f>
        <v/>
      </c>
      <c r="AO19" s="23" t="str">
        <f>IF(AND(ISNUMBER(VLOOKUP($A19,Rezepte,MATCH(Kalkulation!AO$5,Rezepte!$5:$5,0),0)),ISNUMBER(VLOOKUP(AO$5,Materialpreise,3,0))),VLOOKUP(AO$5,Materialpreise,3,0)*VLOOKUP($A19,Rezepte,MATCH(Kalkulation!AO$5,Rezepte!$5:$5,0),0),"")</f>
        <v/>
      </c>
      <c r="AP19" s="23" t="str">
        <f>IF(AND(ISNUMBER(VLOOKUP($A19,Rezepte,MATCH(Kalkulation!AP$5,Rezepte!$5:$5,0),0)),ISNUMBER(VLOOKUP(AP$5,Materialpreise,3,0))),VLOOKUP(AP$5,Materialpreise,3,0)*VLOOKUP($A19,Rezepte,MATCH(Kalkulation!AP$5,Rezepte!$5:$5,0),0),"")</f>
        <v/>
      </c>
      <c r="AQ19" s="23" t="str">
        <f>IF(AND(ISNUMBER(VLOOKUP($A19,Rezepte,MATCH(Kalkulation!AQ$5,Rezepte!$5:$5,0),0)),ISNUMBER(VLOOKUP(AQ$5,Materialpreise,3,0))),VLOOKUP(AQ$5,Materialpreise,3,0)*VLOOKUP($A19,Rezepte,MATCH(Kalkulation!AQ$5,Rezepte!$5:$5,0),0),"")</f>
        <v/>
      </c>
      <c r="AR19" s="23" t="str">
        <f>IF(AND(ISNUMBER(VLOOKUP($A19,Rezepte,MATCH(Kalkulation!AR$5,Rezepte!$5:$5,0),0)),ISNUMBER(VLOOKUP(AR$5,Materialpreise,3,0))),VLOOKUP(AR$5,Materialpreise,3,0)*VLOOKUP($A19,Rezepte,MATCH(Kalkulation!AR$5,Rezepte!$5:$5,0),0),"")</f>
        <v/>
      </c>
      <c r="AS19" s="23" t="str">
        <f>IF(AND(ISNUMBER(VLOOKUP($A19,Rezepte,MATCH(Kalkulation!AS$5,Rezepte!$5:$5,0),0)),ISNUMBER(VLOOKUP(AS$5,Materialpreise,3,0))),VLOOKUP(AS$5,Materialpreise,3,0)*VLOOKUP($A19,Rezepte,MATCH(Kalkulation!AS$5,Rezepte!$5:$5,0),0),"")</f>
        <v/>
      </c>
      <c r="AT19" s="23" t="str">
        <f>IF(AND(ISNUMBER(VLOOKUP($A19,Rezepte,MATCH(Kalkulation!AT$5,Rezepte!$5:$5,0),0)),ISNUMBER(VLOOKUP(AT$5,Materialpreise,3,0))),VLOOKUP(AT$5,Materialpreise,3,0)*VLOOKUP($A19,Rezepte,MATCH(Kalkulation!AT$5,Rezepte!$5:$5,0),0),"")</f>
        <v/>
      </c>
      <c r="AU19" s="23" t="str">
        <f>IF(AND(ISNUMBER(VLOOKUP($A19,Rezepte,MATCH(Kalkulation!AU$5,Rezepte!$5:$5,0),0)),ISNUMBER(VLOOKUP(AU$5,Materialpreise,3,0))),VLOOKUP(AU$5,Materialpreise,3,0)*VLOOKUP($A19,Rezepte,MATCH(Kalkulation!AU$5,Rezepte!$5:$5,0),0),"")</f>
        <v/>
      </c>
      <c r="AV19" s="23" t="str">
        <f>IF(AND(ISNUMBER(VLOOKUP($A19,Rezepte,MATCH(Kalkulation!AV$5,Rezepte!$5:$5,0),0)),ISNUMBER(VLOOKUP(AV$5,Materialpreise,3,0))),VLOOKUP(AV$5,Materialpreise,3,0)*VLOOKUP($A19,Rezepte,MATCH(Kalkulation!AV$5,Rezepte!$5:$5,0),0),"")</f>
        <v/>
      </c>
      <c r="AW19" s="23" t="str">
        <f>IF(AND(ISNUMBER(VLOOKUP($A19,Rezepte,MATCH(Kalkulation!AW$5,Rezepte!$5:$5,0),0)),ISNUMBER(VLOOKUP(AW$5,Materialpreise,3,0))),VLOOKUP(AW$5,Materialpreise,3,0)*VLOOKUP($A19,Rezepte,MATCH(Kalkulation!AW$5,Rezepte!$5:$5,0),0),"")</f>
        <v/>
      </c>
      <c r="AX19" s="23" t="str">
        <f>IF(AND(ISNUMBER(VLOOKUP($A19,Rezepte,MATCH(Kalkulation!AX$5,Rezepte!$5:$5,0),0)),ISNUMBER(VLOOKUP(AX$5,Materialpreise,3,0))),VLOOKUP(AX$5,Materialpreise,3,0)*VLOOKUP($A19,Rezepte,MATCH(Kalkulation!AX$5,Rezepte!$5:$5,0),0),"")</f>
        <v/>
      </c>
      <c r="AY19" s="23" t="str">
        <f>IF(AND(ISNUMBER(VLOOKUP($A19,Rezepte,MATCH(Kalkulation!AY$5,Rezepte!$5:$5,0),0)),ISNUMBER(VLOOKUP(AY$5,Materialpreise,3,0))),VLOOKUP(AY$5,Materialpreise,3,0)*VLOOKUP($A19,Rezepte,MATCH(Kalkulation!AY$5,Rezepte!$5:$5,0),0),"")</f>
        <v/>
      </c>
      <c r="AZ19" s="23" t="str">
        <f>IF(AND(ISNUMBER(VLOOKUP($A19,Rezepte,MATCH(Kalkulation!AZ$5,Rezepte!$5:$5,0),0)),ISNUMBER(VLOOKUP(AZ$5,Materialpreise,3,0))),VLOOKUP(AZ$5,Materialpreise,3,0)*VLOOKUP($A19,Rezepte,MATCH(Kalkulation!AZ$5,Rezepte!$5:$5,0),0),"")</f>
        <v/>
      </c>
      <c r="BA19" s="23" t="str">
        <f>IF(AND(ISNUMBER(VLOOKUP($A19,Rezepte,MATCH(Kalkulation!BA$5,Rezepte!$5:$5,0),0)),ISNUMBER(VLOOKUP(BA$5,Materialpreise,3,0))),VLOOKUP(BA$5,Materialpreise,3,0)*VLOOKUP($A19,Rezepte,MATCH(Kalkulation!BA$5,Rezepte!$5:$5,0),0),"")</f>
        <v/>
      </c>
    </row>
    <row r="20" spans="1:53" x14ac:dyDescent="0.25">
      <c r="A20" t="str">
        <f t="array" ref="A20">IFERROR(INDEX(Rezepte!$A$6:$A$100,MATCH(1,(COUNTIF(A$6:A19,Rezepte!A$6:A$100)=0)*(Rezepte!A$6:A$100&lt;&gt;""),0)),"")</f>
        <v/>
      </c>
      <c r="B20" s="23" t="str">
        <f t="shared" si="0"/>
        <v/>
      </c>
      <c r="C20" s="23" t="str">
        <f t="shared" si="1"/>
        <v/>
      </c>
      <c r="D20" s="23" t="str">
        <f>IF(AND(ISNUMBER(VLOOKUP($A20,Rezepte,MATCH(Kalkulation!D$5,Rezepte!$5:$5,0),0)),ISNUMBER(VLOOKUP(D$5,Materialpreise,3,0))),VLOOKUP(D$5,Materialpreise,3,0)*VLOOKUP($A20,Rezepte,MATCH(Kalkulation!D$5,Rezepte!$5:$5,0),0),"")</f>
        <v/>
      </c>
      <c r="E20" s="23" t="str">
        <f>IF(AND(ISNUMBER(VLOOKUP($A20,Rezepte,MATCH(Kalkulation!E$5,Rezepte!$5:$5,0),0)),ISNUMBER(VLOOKUP(E$5,Materialpreise,3,0))),VLOOKUP(E$5,Materialpreise,3,0)*VLOOKUP($A20,Rezepte,MATCH(Kalkulation!E$5,Rezepte!$5:$5,0),0),"")</f>
        <v/>
      </c>
      <c r="F20" s="23" t="str">
        <f>IF(AND(ISNUMBER(VLOOKUP($A20,Rezepte,MATCH(Kalkulation!F$5,Rezepte!$5:$5,0),0)),ISNUMBER(VLOOKUP(F$5,Materialpreise,3,0))),VLOOKUP(F$5,Materialpreise,3,0)*VLOOKUP($A20,Rezepte,MATCH(Kalkulation!F$5,Rezepte!$5:$5,0),0),"")</f>
        <v/>
      </c>
      <c r="G20" s="23" t="str">
        <f>IF(AND(ISNUMBER(VLOOKUP($A20,Rezepte,MATCH(Kalkulation!G$5,Rezepte!$5:$5,0),0)),ISNUMBER(VLOOKUP(G$5,Materialpreise,3,0))),VLOOKUP(G$5,Materialpreise,3,0)*VLOOKUP($A20,Rezepte,MATCH(Kalkulation!G$5,Rezepte!$5:$5,0),0),"")</f>
        <v/>
      </c>
      <c r="H20" s="23" t="str">
        <f>IF(AND(ISNUMBER(VLOOKUP($A20,Rezepte,MATCH(Kalkulation!H$5,Rezepte!$5:$5,0),0)),ISNUMBER(VLOOKUP(H$5,Materialpreise,3,0))),VLOOKUP(H$5,Materialpreise,3,0)*VLOOKUP($A20,Rezepte,MATCH(Kalkulation!H$5,Rezepte!$5:$5,0),0),"")</f>
        <v/>
      </c>
      <c r="I20" s="23" t="str">
        <f>IF(AND(ISNUMBER(VLOOKUP($A20,Rezepte,MATCH(Kalkulation!I$5,Rezepte!$5:$5,0),0)),ISNUMBER(VLOOKUP(I$5,Materialpreise,3,0))),VLOOKUP(I$5,Materialpreise,3,0)*VLOOKUP($A20,Rezepte,MATCH(Kalkulation!I$5,Rezepte!$5:$5,0),0),"")</f>
        <v/>
      </c>
      <c r="J20" s="23" t="str">
        <f>IF(AND(ISNUMBER(VLOOKUP($A20,Rezepte,MATCH(Kalkulation!J$5,Rezepte!$5:$5,0),0)),ISNUMBER(VLOOKUP(J$5,Materialpreise,3,0))),VLOOKUP(J$5,Materialpreise,3,0)*VLOOKUP($A20,Rezepte,MATCH(Kalkulation!J$5,Rezepte!$5:$5,0),0),"")</f>
        <v/>
      </c>
      <c r="K20" s="23" t="str">
        <f>IF(AND(ISNUMBER(VLOOKUP($A20,Rezepte,MATCH(Kalkulation!K$5,Rezepte!$5:$5,0),0)),ISNUMBER(VLOOKUP(K$5,Materialpreise,3,0))),VLOOKUP(K$5,Materialpreise,3,0)*VLOOKUP($A20,Rezepte,MATCH(Kalkulation!K$5,Rezepte!$5:$5,0),0),"")</f>
        <v/>
      </c>
      <c r="L20" s="23" t="str">
        <f>IF(AND(ISNUMBER(VLOOKUP($A20,Rezepte,MATCH(Kalkulation!L$5,Rezepte!$5:$5,0),0)),ISNUMBER(VLOOKUP(L$5,Materialpreise,3,0))),VLOOKUP(L$5,Materialpreise,3,0)*VLOOKUP($A20,Rezepte,MATCH(Kalkulation!L$5,Rezepte!$5:$5,0),0),"")</f>
        <v/>
      </c>
      <c r="M20" s="23" t="str">
        <f>IF(AND(ISNUMBER(VLOOKUP($A20,Rezepte,MATCH(Kalkulation!M$5,Rezepte!$5:$5,0),0)),ISNUMBER(VLOOKUP(M$5,Materialpreise,3,0))),VLOOKUP(M$5,Materialpreise,3,0)*VLOOKUP($A20,Rezepte,MATCH(Kalkulation!M$5,Rezepte!$5:$5,0),0),"")</f>
        <v/>
      </c>
      <c r="N20" s="23" t="str">
        <f>IF(AND(ISNUMBER(VLOOKUP($A20,Rezepte,MATCH(Kalkulation!N$5,Rezepte!$5:$5,0),0)),ISNUMBER(VLOOKUP(N$5,Materialpreise,3,0))),VLOOKUP(N$5,Materialpreise,3,0)*VLOOKUP($A20,Rezepte,MATCH(Kalkulation!N$5,Rezepte!$5:$5,0),0),"")</f>
        <v/>
      </c>
      <c r="O20" s="23" t="str">
        <f>IF(AND(ISNUMBER(VLOOKUP($A20,Rezepte,MATCH(Kalkulation!O$5,Rezepte!$5:$5,0),0)),ISNUMBER(VLOOKUP(O$5,Materialpreise,3,0))),VLOOKUP(O$5,Materialpreise,3,0)*VLOOKUP($A20,Rezepte,MATCH(Kalkulation!O$5,Rezepte!$5:$5,0),0),"")</f>
        <v/>
      </c>
      <c r="P20" s="23" t="str">
        <f>IF(AND(ISNUMBER(VLOOKUP($A20,Rezepte,MATCH(Kalkulation!P$5,Rezepte!$5:$5,0),0)),ISNUMBER(VLOOKUP(P$5,Materialpreise,3,0))),VLOOKUP(P$5,Materialpreise,3,0)*VLOOKUP($A20,Rezepte,MATCH(Kalkulation!P$5,Rezepte!$5:$5,0),0),"")</f>
        <v/>
      </c>
      <c r="Q20" s="23" t="str">
        <f>IF(AND(ISNUMBER(VLOOKUP($A20,Rezepte,MATCH(Kalkulation!Q$5,Rezepte!$5:$5,0),0)),ISNUMBER(VLOOKUP(Q$5,Materialpreise,3,0))),VLOOKUP(Q$5,Materialpreise,3,0)*VLOOKUP($A20,Rezepte,MATCH(Kalkulation!Q$5,Rezepte!$5:$5,0),0),"")</f>
        <v/>
      </c>
      <c r="R20" s="23" t="str">
        <f>IF(AND(ISNUMBER(VLOOKUP($A20,Rezepte,MATCH(Kalkulation!R$5,Rezepte!$5:$5,0),0)),ISNUMBER(VLOOKUP(R$5,Materialpreise,3,0))),VLOOKUP(R$5,Materialpreise,3,0)*VLOOKUP($A20,Rezepte,MATCH(Kalkulation!R$5,Rezepte!$5:$5,0),0),"")</f>
        <v/>
      </c>
      <c r="S20" s="23" t="str">
        <f>IF(AND(ISNUMBER(VLOOKUP($A20,Rezepte,MATCH(Kalkulation!S$5,Rezepte!$5:$5,0),0)),ISNUMBER(VLOOKUP(S$5,Materialpreise,3,0))),VLOOKUP(S$5,Materialpreise,3,0)*VLOOKUP($A20,Rezepte,MATCH(Kalkulation!S$5,Rezepte!$5:$5,0),0),"")</f>
        <v/>
      </c>
      <c r="T20" s="23" t="str">
        <f>IF(AND(ISNUMBER(VLOOKUP($A20,Rezepte,MATCH(Kalkulation!T$5,Rezepte!$5:$5,0),0)),ISNUMBER(VLOOKUP(T$5,Materialpreise,3,0))),VLOOKUP(T$5,Materialpreise,3,0)*VLOOKUP($A20,Rezepte,MATCH(Kalkulation!T$5,Rezepte!$5:$5,0),0),"")</f>
        <v/>
      </c>
      <c r="U20" s="23" t="str">
        <f>IF(AND(ISNUMBER(VLOOKUP($A20,Rezepte,MATCH(Kalkulation!U$5,Rezepte!$5:$5,0),0)),ISNUMBER(VLOOKUP(U$5,Materialpreise,3,0))),VLOOKUP(U$5,Materialpreise,3,0)*VLOOKUP($A20,Rezepte,MATCH(Kalkulation!U$5,Rezepte!$5:$5,0),0),"")</f>
        <v/>
      </c>
      <c r="V20" s="23" t="str">
        <f>IF(AND(ISNUMBER(VLOOKUP($A20,Rezepte,MATCH(Kalkulation!V$5,Rezepte!$5:$5,0),0)),ISNUMBER(VLOOKUP(V$5,Materialpreise,3,0))),VLOOKUP(V$5,Materialpreise,3,0)*VLOOKUP($A20,Rezepte,MATCH(Kalkulation!V$5,Rezepte!$5:$5,0),0),"")</f>
        <v/>
      </c>
      <c r="W20" s="23" t="str">
        <f>IF(AND(ISNUMBER(VLOOKUP($A20,Rezepte,MATCH(Kalkulation!W$5,Rezepte!$5:$5,0),0)),ISNUMBER(VLOOKUP(W$5,Materialpreise,3,0))),VLOOKUP(W$5,Materialpreise,3,0)*VLOOKUP($A20,Rezepte,MATCH(Kalkulation!W$5,Rezepte!$5:$5,0),0),"")</f>
        <v/>
      </c>
      <c r="X20" s="23" t="str">
        <f>IF(AND(ISNUMBER(VLOOKUP($A20,Rezepte,MATCH(Kalkulation!X$5,Rezepte!$5:$5,0),0)),ISNUMBER(VLOOKUP(X$5,Materialpreise,3,0))),VLOOKUP(X$5,Materialpreise,3,0)*VLOOKUP($A20,Rezepte,MATCH(Kalkulation!X$5,Rezepte!$5:$5,0),0),"")</f>
        <v/>
      </c>
      <c r="Y20" s="23" t="str">
        <f>IF(AND(ISNUMBER(VLOOKUP($A20,Rezepte,MATCH(Kalkulation!Y$5,Rezepte!$5:$5,0),0)),ISNUMBER(VLOOKUP(Y$5,Materialpreise,3,0))),VLOOKUP(Y$5,Materialpreise,3,0)*VLOOKUP($A20,Rezepte,MATCH(Kalkulation!Y$5,Rezepte!$5:$5,0),0),"")</f>
        <v/>
      </c>
      <c r="Z20" s="23" t="str">
        <f>IF(AND(ISNUMBER(VLOOKUP($A20,Rezepte,MATCH(Kalkulation!Z$5,Rezepte!$5:$5,0),0)),ISNUMBER(VLOOKUP(Z$5,Materialpreise,3,0))),VLOOKUP(Z$5,Materialpreise,3,0)*VLOOKUP($A20,Rezepte,MATCH(Kalkulation!Z$5,Rezepte!$5:$5,0),0),"")</f>
        <v/>
      </c>
      <c r="AA20" s="23" t="str">
        <f>IF(AND(ISNUMBER(VLOOKUP($A20,Rezepte,MATCH(Kalkulation!AA$5,Rezepte!$5:$5,0),0)),ISNUMBER(VLOOKUP(AA$5,Materialpreise,3,0))),VLOOKUP(AA$5,Materialpreise,3,0)*VLOOKUP($A20,Rezepte,MATCH(Kalkulation!AA$5,Rezepte!$5:$5,0),0),"")</f>
        <v/>
      </c>
      <c r="AB20" s="23" t="str">
        <f>IF(AND(ISNUMBER(VLOOKUP($A20,Rezepte,MATCH(Kalkulation!AB$5,Rezepte!$5:$5,0),0)),ISNUMBER(VLOOKUP(AB$5,Materialpreise,3,0))),VLOOKUP(AB$5,Materialpreise,3,0)*VLOOKUP($A20,Rezepte,MATCH(Kalkulation!AB$5,Rezepte!$5:$5,0),0),"")</f>
        <v/>
      </c>
      <c r="AC20" s="23" t="str">
        <f>IF(AND(ISNUMBER(VLOOKUP($A20,Rezepte,MATCH(Kalkulation!AC$5,Rezepte!$5:$5,0),0)),ISNUMBER(VLOOKUP(AC$5,Materialpreise,3,0))),VLOOKUP(AC$5,Materialpreise,3,0)*VLOOKUP($A20,Rezepte,MATCH(Kalkulation!AC$5,Rezepte!$5:$5,0),0),"")</f>
        <v/>
      </c>
      <c r="AD20" s="23" t="str">
        <f>IF(AND(ISNUMBER(VLOOKUP($A20,Rezepte,MATCH(Kalkulation!AD$5,Rezepte!$5:$5,0),0)),ISNUMBER(VLOOKUP(AD$5,Materialpreise,3,0))),VLOOKUP(AD$5,Materialpreise,3,0)*VLOOKUP($A20,Rezepte,MATCH(Kalkulation!AD$5,Rezepte!$5:$5,0),0),"")</f>
        <v/>
      </c>
      <c r="AE20" s="23" t="str">
        <f>IF(AND(ISNUMBER(VLOOKUP($A20,Rezepte,MATCH(Kalkulation!AE$5,Rezepte!$5:$5,0),0)),ISNUMBER(VLOOKUP(AE$5,Materialpreise,3,0))),VLOOKUP(AE$5,Materialpreise,3,0)*VLOOKUP($A20,Rezepte,MATCH(Kalkulation!AE$5,Rezepte!$5:$5,0),0),"")</f>
        <v/>
      </c>
      <c r="AF20" s="23" t="str">
        <f>IF(AND(ISNUMBER(VLOOKUP($A20,Rezepte,MATCH(Kalkulation!AF$5,Rezepte!$5:$5,0),0)),ISNUMBER(VLOOKUP(AF$5,Materialpreise,3,0))),VLOOKUP(AF$5,Materialpreise,3,0)*VLOOKUP($A20,Rezepte,MATCH(Kalkulation!AF$5,Rezepte!$5:$5,0),0),"")</f>
        <v/>
      </c>
      <c r="AG20" s="23" t="str">
        <f>IF(AND(ISNUMBER(VLOOKUP($A20,Rezepte,MATCH(Kalkulation!AG$5,Rezepte!$5:$5,0),0)),ISNUMBER(VLOOKUP(AG$5,Materialpreise,3,0))),VLOOKUP(AG$5,Materialpreise,3,0)*VLOOKUP($A20,Rezepte,MATCH(Kalkulation!AG$5,Rezepte!$5:$5,0),0),"")</f>
        <v/>
      </c>
      <c r="AH20" s="23" t="str">
        <f>IF(AND(ISNUMBER(VLOOKUP($A20,Rezepte,MATCH(Kalkulation!AH$5,Rezepte!$5:$5,0),0)),ISNUMBER(VLOOKUP(AH$5,Materialpreise,3,0))),VLOOKUP(AH$5,Materialpreise,3,0)*VLOOKUP($A20,Rezepte,MATCH(Kalkulation!AH$5,Rezepte!$5:$5,0),0),"")</f>
        <v/>
      </c>
      <c r="AI20" s="23" t="str">
        <f>IF(AND(ISNUMBER(VLOOKUP($A20,Rezepte,MATCH(Kalkulation!AI$5,Rezepte!$5:$5,0),0)),ISNUMBER(VLOOKUP(AI$5,Materialpreise,3,0))),VLOOKUP(AI$5,Materialpreise,3,0)*VLOOKUP($A20,Rezepte,MATCH(Kalkulation!AI$5,Rezepte!$5:$5,0),0),"")</f>
        <v/>
      </c>
      <c r="AJ20" s="23" t="str">
        <f>IF(AND(ISNUMBER(VLOOKUP($A20,Rezepte,MATCH(Kalkulation!AJ$5,Rezepte!$5:$5,0),0)),ISNUMBER(VLOOKUP(AJ$5,Materialpreise,3,0))),VLOOKUP(AJ$5,Materialpreise,3,0)*VLOOKUP($A20,Rezepte,MATCH(Kalkulation!AJ$5,Rezepte!$5:$5,0),0),"")</f>
        <v/>
      </c>
      <c r="AK20" s="23" t="str">
        <f>IF(AND(ISNUMBER(VLOOKUP($A20,Rezepte,MATCH(Kalkulation!AK$5,Rezepte!$5:$5,0),0)),ISNUMBER(VLOOKUP(AK$5,Materialpreise,3,0))),VLOOKUP(AK$5,Materialpreise,3,0)*VLOOKUP($A20,Rezepte,MATCH(Kalkulation!AK$5,Rezepte!$5:$5,0),0),"")</f>
        <v/>
      </c>
      <c r="AL20" s="23" t="str">
        <f>IF(AND(ISNUMBER(VLOOKUP($A20,Rezepte,MATCH(Kalkulation!AL$5,Rezepte!$5:$5,0),0)),ISNUMBER(VLOOKUP(AL$5,Materialpreise,3,0))),VLOOKUP(AL$5,Materialpreise,3,0)*VLOOKUP($A20,Rezepte,MATCH(Kalkulation!AL$5,Rezepte!$5:$5,0),0),"")</f>
        <v/>
      </c>
      <c r="AM20" s="23" t="str">
        <f>IF(AND(ISNUMBER(VLOOKUP($A20,Rezepte,MATCH(Kalkulation!AM$5,Rezepte!$5:$5,0),0)),ISNUMBER(VLOOKUP(AM$5,Materialpreise,3,0))),VLOOKUP(AM$5,Materialpreise,3,0)*VLOOKUP($A20,Rezepte,MATCH(Kalkulation!AM$5,Rezepte!$5:$5,0),0),"")</f>
        <v/>
      </c>
      <c r="AN20" s="23" t="str">
        <f>IF(AND(ISNUMBER(VLOOKUP($A20,Rezepte,MATCH(Kalkulation!AN$5,Rezepte!$5:$5,0),0)),ISNUMBER(VLOOKUP(AN$5,Materialpreise,3,0))),VLOOKUP(AN$5,Materialpreise,3,0)*VLOOKUP($A20,Rezepte,MATCH(Kalkulation!AN$5,Rezepte!$5:$5,0),0),"")</f>
        <v/>
      </c>
      <c r="AO20" s="23" t="str">
        <f>IF(AND(ISNUMBER(VLOOKUP($A20,Rezepte,MATCH(Kalkulation!AO$5,Rezepte!$5:$5,0),0)),ISNUMBER(VLOOKUP(AO$5,Materialpreise,3,0))),VLOOKUP(AO$5,Materialpreise,3,0)*VLOOKUP($A20,Rezepte,MATCH(Kalkulation!AO$5,Rezepte!$5:$5,0),0),"")</f>
        <v/>
      </c>
      <c r="AP20" s="23" t="str">
        <f>IF(AND(ISNUMBER(VLOOKUP($A20,Rezepte,MATCH(Kalkulation!AP$5,Rezepte!$5:$5,0),0)),ISNUMBER(VLOOKUP(AP$5,Materialpreise,3,0))),VLOOKUP(AP$5,Materialpreise,3,0)*VLOOKUP($A20,Rezepte,MATCH(Kalkulation!AP$5,Rezepte!$5:$5,0),0),"")</f>
        <v/>
      </c>
      <c r="AQ20" s="23" t="str">
        <f>IF(AND(ISNUMBER(VLOOKUP($A20,Rezepte,MATCH(Kalkulation!AQ$5,Rezepte!$5:$5,0),0)),ISNUMBER(VLOOKUP(AQ$5,Materialpreise,3,0))),VLOOKUP(AQ$5,Materialpreise,3,0)*VLOOKUP($A20,Rezepte,MATCH(Kalkulation!AQ$5,Rezepte!$5:$5,0),0),"")</f>
        <v/>
      </c>
      <c r="AR20" s="23" t="str">
        <f>IF(AND(ISNUMBER(VLOOKUP($A20,Rezepte,MATCH(Kalkulation!AR$5,Rezepte!$5:$5,0),0)),ISNUMBER(VLOOKUP(AR$5,Materialpreise,3,0))),VLOOKUP(AR$5,Materialpreise,3,0)*VLOOKUP($A20,Rezepte,MATCH(Kalkulation!AR$5,Rezepte!$5:$5,0),0),"")</f>
        <v/>
      </c>
      <c r="AS20" s="23" t="str">
        <f>IF(AND(ISNUMBER(VLOOKUP($A20,Rezepte,MATCH(Kalkulation!AS$5,Rezepte!$5:$5,0),0)),ISNUMBER(VLOOKUP(AS$5,Materialpreise,3,0))),VLOOKUP(AS$5,Materialpreise,3,0)*VLOOKUP($A20,Rezepte,MATCH(Kalkulation!AS$5,Rezepte!$5:$5,0),0),"")</f>
        <v/>
      </c>
      <c r="AT20" s="23" t="str">
        <f>IF(AND(ISNUMBER(VLOOKUP($A20,Rezepte,MATCH(Kalkulation!AT$5,Rezepte!$5:$5,0),0)),ISNUMBER(VLOOKUP(AT$5,Materialpreise,3,0))),VLOOKUP(AT$5,Materialpreise,3,0)*VLOOKUP($A20,Rezepte,MATCH(Kalkulation!AT$5,Rezepte!$5:$5,0),0),"")</f>
        <v/>
      </c>
      <c r="AU20" s="23" t="str">
        <f>IF(AND(ISNUMBER(VLOOKUP($A20,Rezepte,MATCH(Kalkulation!AU$5,Rezepte!$5:$5,0),0)),ISNUMBER(VLOOKUP(AU$5,Materialpreise,3,0))),VLOOKUP(AU$5,Materialpreise,3,0)*VLOOKUP($A20,Rezepte,MATCH(Kalkulation!AU$5,Rezepte!$5:$5,0),0),"")</f>
        <v/>
      </c>
      <c r="AV20" s="23" t="str">
        <f>IF(AND(ISNUMBER(VLOOKUP($A20,Rezepte,MATCH(Kalkulation!AV$5,Rezepte!$5:$5,0),0)),ISNUMBER(VLOOKUP(AV$5,Materialpreise,3,0))),VLOOKUP(AV$5,Materialpreise,3,0)*VLOOKUP($A20,Rezepte,MATCH(Kalkulation!AV$5,Rezepte!$5:$5,0),0),"")</f>
        <v/>
      </c>
      <c r="AW20" s="23" t="str">
        <f>IF(AND(ISNUMBER(VLOOKUP($A20,Rezepte,MATCH(Kalkulation!AW$5,Rezepte!$5:$5,0),0)),ISNUMBER(VLOOKUP(AW$5,Materialpreise,3,0))),VLOOKUP(AW$5,Materialpreise,3,0)*VLOOKUP($A20,Rezepte,MATCH(Kalkulation!AW$5,Rezepte!$5:$5,0),0),"")</f>
        <v/>
      </c>
      <c r="AX20" s="23" t="str">
        <f>IF(AND(ISNUMBER(VLOOKUP($A20,Rezepte,MATCH(Kalkulation!AX$5,Rezepte!$5:$5,0),0)),ISNUMBER(VLOOKUP(AX$5,Materialpreise,3,0))),VLOOKUP(AX$5,Materialpreise,3,0)*VLOOKUP($A20,Rezepte,MATCH(Kalkulation!AX$5,Rezepte!$5:$5,0),0),"")</f>
        <v/>
      </c>
      <c r="AY20" s="23" t="str">
        <f>IF(AND(ISNUMBER(VLOOKUP($A20,Rezepte,MATCH(Kalkulation!AY$5,Rezepte!$5:$5,0),0)),ISNUMBER(VLOOKUP(AY$5,Materialpreise,3,0))),VLOOKUP(AY$5,Materialpreise,3,0)*VLOOKUP($A20,Rezepte,MATCH(Kalkulation!AY$5,Rezepte!$5:$5,0),0),"")</f>
        <v/>
      </c>
      <c r="AZ20" s="23" t="str">
        <f>IF(AND(ISNUMBER(VLOOKUP($A20,Rezepte,MATCH(Kalkulation!AZ$5,Rezepte!$5:$5,0),0)),ISNUMBER(VLOOKUP(AZ$5,Materialpreise,3,0))),VLOOKUP(AZ$5,Materialpreise,3,0)*VLOOKUP($A20,Rezepte,MATCH(Kalkulation!AZ$5,Rezepte!$5:$5,0),0),"")</f>
        <v/>
      </c>
      <c r="BA20" s="23" t="str">
        <f>IF(AND(ISNUMBER(VLOOKUP($A20,Rezepte,MATCH(Kalkulation!BA$5,Rezepte!$5:$5,0),0)),ISNUMBER(VLOOKUP(BA$5,Materialpreise,3,0))),VLOOKUP(BA$5,Materialpreise,3,0)*VLOOKUP($A20,Rezepte,MATCH(Kalkulation!BA$5,Rezepte!$5:$5,0),0),"")</f>
        <v/>
      </c>
    </row>
    <row r="21" spans="1:53" x14ac:dyDescent="0.25">
      <c r="A21" t="str">
        <f t="array" ref="A21">IFERROR(INDEX(Rezepte!$A$6:$A$100,MATCH(1,(COUNTIF(A$6:A20,Rezepte!A$6:A$100)=0)*(Rezepte!A$6:A$100&lt;&gt;""),0)),"")</f>
        <v/>
      </c>
      <c r="B21" s="23" t="str">
        <f t="shared" si="0"/>
        <v/>
      </c>
      <c r="C21" s="23" t="str">
        <f t="shared" si="1"/>
        <v/>
      </c>
      <c r="D21" s="23" t="str">
        <f>IF(AND(ISNUMBER(VLOOKUP($A21,Rezepte,MATCH(Kalkulation!D$5,Rezepte!$5:$5,0),0)),ISNUMBER(VLOOKUP(D$5,Materialpreise,3,0))),VLOOKUP(D$5,Materialpreise,3,0)*VLOOKUP($A21,Rezepte,MATCH(Kalkulation!D$5,Rezepte!$5:$5,0),0),"")</f>
        <v/>
      </c>
      <c r="E21" s="23" t="str">
        <f>IF(AND(ISNUMBER(VLOOKUP($A21,Rezepte,MATCH(Kalkulation!E$5,Rezepte!$5:$5,0),0)),ISNUMBER(VLOOKUP(E$5,Materialpreise,3,0))),VLOOKUP(E$5,Materialpreise,3,0)*VLOOKUP($A21,Rezepte,MATCH(Kalkulation!E$5,Rezepte!$5:$5,0),0),"")</f>
        <v/>
      </c>
      <c r="F21" s="23" t="str">
        <f>IF(AND(ISNUMBER(VLOOKUP($A21,Rezepte,MATCH(Kalkulation!F$5,Rezepte!$5:$5,0),0)),ISNUMBER(VLOOKUP(F$5,Materialpreise,3,0))),VLOOKUP(F$5,Materialpreise,3,0)*VLOOKUP($A21,Rezepte,MATCH(Kalkulation!F$5,Rezepte!$5:$5,0),0),"")</f>
        <v/>
      </c>
      <c r="G21" s="23" t="str">
        <f>IF(AND(ISNUMBER(VLOOKUP($A21,Rezepte,MATCH(Kalkulation!G$5,Rezepte!$5:$5,0),0)),ISNUMBER(VLOOKUP(G$5,Materialpreise,3,0))),VLOOKUP(G$5,Materialpreise,3,0)*VLOOKUP($A21,Rezepte,MATCH(Kalkulation!G$5,Rezepte!$5:$5,0),0),"")</f>
        <v/>
      </c>
      <c r="H21" s="23" t="str">
        <f>IF(AND(ISNUMBER(VLOOKUP($A21,Rezepte,MATCH(Kalkulation!H$5,Rezepte!$5:$5,0),0)),ISNUMBER(VLOOKUP(H$5,Materialpreise,3,0))),VLOOKUP(H$5,Materialpreise,3,0)*VLOOKUP($A21,Rezepte,MATCH(Kalkulation!H$5,Rezepte!$5:$5,0),0),"")</f>
        <v/>
      </c>
      <c r="I21" s="23" t="str">
        <f>IF(AND(ISNUMBER(VLOOKUP($A21,Rezepte,MATCH(Kalkulation!I$5,Rezepte!$5:$5,0),0)),ISNUMBER(VLOOKUP(I$5,Materialpreise,3,0))),VLOOKUP(I$5,Materialpreise,3,0)*VLOOKUP($A21,Rezepte,MATCH(Kalkulation!I$5,Rezepte!$5:$5,0),0),"")</f>
        <v/>
      </c>
      <c r="J21" s="23" t="str">
        <f>IF(AND(ISNUMBER(VLOOKUP($A21,Rezepte,MATCH(Kalkulation!J$5,Rezepte!$5:$5,0),0)),ISNUMBER(VLOOKUP(J$5,Materialpreise,3,0))),VLOOKUP(J$5,Materialpreise,3,0)*VLOOKUP($A21,Rezepte,MATCH(Kalkulation!J$5,Rezepte!$5:$5,0),0),"")</f>
        <v/>
      </c>
      <c r="K21" s="23" t="str">
        <f>IF(AND(ISNUMBER(VLOOKUP($A21,Rezepte,MATCH(Kalkulation!K$5,Rezepte!$5:$5,0),0)),ISNUMBER(VLOOKUP(K$5,Materialpreise,3,0))),VLOOKUP(K$5,Materialpreise,3,0)*VLOOKUP($A21,Rezepte,MATCH(Kalkulation!K$5,Rezepte!$5:$5,0),0),"")</f>
        <v/>
      </c>
      <c r="L21" s="23" t="str">
        <f>IF(AND(ISNUMBER(VLOOKUP($A21,Rezepte,MATCH(Kalkulation!L$5,Rezepte!$5:$5,0),0)),ISNUMBER(VLOOKUP(L$5,Materialpreise,3,0))),VLOOKUP(L$5,Materialpreise,3,0)*VLOOKUP($A21,Rezepte,MATCH(Kalkulation!L$5,Rezepte!$5:$5,0),0),"")</f>
        <v/>
      </c>
      <c r="M21" s="23" t="str">
        <f>IF(AND(ISNUMBER(VLOOKUP($A21,Rezepte,MATCH(Kalkulation!M$5,Rezepte!$5:$5,0),0)),ISNUMBER(VLOOKUP(M$5,Materialpreise,3,0))),VLOOKUP(M$5,Materialpreise,3,0)*VLOOKUP($A21,Rezepte,MATCH(Kalkulation!M$5,Rezepte!$5:$5,0),0),"")</f>
        <v/>
      </c>
      <c r="N21" s="23" t="str">
        <f>IF(AND(ISNUMBER(VLOOKUP($A21,Rezepte,MATCH(Kalkulation!N$5,Rezepte!$5:$5,0),0)),ISNUMBER(VLOOKUP(N$5,Materialpreise,3,0))),VLOOKUP(N$5,Materialpreise,3,0)*VLOOKUP($A21,Rezepte,MATCH(Kalkulation!N$5,Rezepte!$5:$5,0),0),"")</f>
        <v/>
      </c>
      <c r="O21" s="23" t="str">
        <f>IF(AND(ISNUMBER(VLOOKUP($A21,Rezepte,MATCH(Kalkulation!O$5,Rezepte!$5:$5,0),0)),ISNUMBER(VLOOKUP(O$5,Materialpreise,3,0))),VLOOKUP(O$5,Materialpreise,3,0)*VLOOKUP($A21,Rezepte,MATCH(Kalkulation!O$5,Rezepte!$5:$5,0),0),"")</f>
        <v/>
      </c>
      <c r="P21" s="23" t="str">
        <f>IF(AND(ISNUMBER(VLOOKUP($A21,Rezepte,MATCH(Kalkulation!P$5,Rezepte!$5:$5,0),0)),ISNUMBER(VLOOKUP(P$5,Materialpreise,3,0))),VLOOKUP(P$5,Materialpreise,3,0)*VLOOKUP($A21,Rezepte,MATCH(Kalkulation!P$5,Rezepte!$5:$5,0),0),"")</f>
        <v/>
      </c>
      <c r="Q21" s="23" t="str">
        <f>IF(AND(ISNUMBER(VLOOKUP($A21,Rezepte,MATCH(Kalkulation!Q$5,Rezepte!$5:$5,0),0)),ISNUMBER(VLOOKUP(Q$5,Materialpreise,3,0))),VLOOKUP(Q$5,Materialpreise,3,0)*VLOOKUP($A21,Rezepte,MATCH(Kalkulation!Q$5,Rezepte!$5:$5,0),0),"")</f>
        <v/>
      </c>
      <c r="R21" s="23" t="str">
        <f>IF(AND(ISNUMBER(VLOOKUP($A21,Rezepte,MATCH(Kalkulation!R$5,Rezepte!$5:$5,0),0)),ISNUMBER(VLOOKUP(R$5,Materialpreise,3,0))),VLOOKUP(R$5,Materialpreise,3,0)*VLOOKUP($A21,Rezepte,MATCH(Kalkulation!R$5,Rezepte!$5:$5,0),0),"")</f>
        <v/>
      </c>
      <c r="S21" s="23" t="str">
        <f>IF(AND(ISNUMBER(VLOOKUP($A21,Rezepte,MATCH(Kalkulation!S$5,Rezepte!$5:$5,0),0)),ISNUMBER(VLOOKUP(S$5,Materialpreise,3,0))),VLOOKUP(S$5,Materialpreise,3,0)*VLOOKUP($A21,Rezepte,MATCH(Kalkulation!S$5,Rezepte!$5:$5,0),0),"")</f>
        <v/>
      </c>
      <c r="T21" s="23" t="str">
        <f>IF(AND(ISNUMBER(VLOOKUP($A21,Rezepte,MATCH(Kalkulation!T$5,Rezepte!$5:$5,0),0)),ISNUMBER(VLOOKUP(T$5,Materialpreise,3,0))),VLOOKUP(T$5,Materialpreise,3,0)*VLOOKUP($A21,Rezepte,MATCH(Kalkulation!T$5,Rezepte!$5:$5,0),0),"")</f>
        <v/>
      </c>
      <c r="U21" s="23" t="str">
        <f>IF(AND(ISNUMBER(VLOOKUP($A21,Rezepte,MATCH(Kalkulation!U$5,Rezepte!$5:$5,0),0)),ISNUMBER(VLOOKUP(U$5,Materialpreise,3,0))),VLOOKUP(U$5,Materialpreise,3,0)*VLOOKUP($A21,Rezepte,MATCH(Kalkulation!U$5,Rezepte!$5:$5,0),0),"")</f>
        <v/>
      </c>
      <c r="V21" s="23" t="str">
        <f>IF(AND(ISNUMBER(VLOOKUP($A21,Rezepte,MATCH(Kalkulation!V$5,Rezepte!$5:$5,0),0)),ISNUMBER(VLOOKUP(V$5,Materialpreise,3,0))),VLOOKUP(V$5,Materialpreise,3,0)*VLOOKUP($A21,Rezepte,MATCH(Kalkulation!V$5,Rezepte!$5:$5,0),0),"")</f>
        <v/>
      </c>
      <c r="W21" s="23" t="str">
        <f>IF(AND(ISNUMBER(VLOOKUP($A21,Rezepte,MATCH(Kalkulation!W$5,Rezepte!$5:$5,0),0)),ISNUMBER(VLOOKUP(W$5,Materialpreise,3,0))),VLOOKUP(W$5,Materialpreise,3,0)*VLOOKUP($A21,Rezepte,MATCH(Kalkulation!W$5,Rezepte!$5:$5,0),0),"")</f>
        <v/>
      </c>
      <c r="X21" s="23" t="str">
        <f>IF(AND(ISNUMBER(VLOOKUP($A21,Rezepte,MATCH(Kalkulation!X$5,Rezepte!$5:$5,0),0)),ISNUMBER(VLOOKUP(X$5,Materialpreise,3,0))),VLOOKUP(X$5,Materialpreise,3,0)*VLOOKUP($A21,Rezepte,MATCH(Kalkulation!X$5,Rezepte!$5:$5,0),0),"")</f>
        <v/>
      </c>
      <c r="Y21" s="23" t="str">
        <f>IF(AND(ISNUMBER(VLOOKUP($A21,Rezepte,MATCH(Kalkulation!Y$5,Rezepte!$5:$5,0),0)),ISNUMBER(VLOOKUP(Y$5,Materialpreise,3,0))),VLOOKUP(Y$5,Materialpreise,3,0)*VLOOKUP($A21,Rezepte,MATCH(Kalkulation!Y$5,Rezepte!$5:$5,0),0),"")</f>
        <v/>
      </c>
      <c r="Z21" s="23" t="str">
        <f>IF(AND(ISNUMBER(VLOOKUP($A21,Rezepte,MATCH(Kalkulation!Z$5,Rezepte!$5:$5,0),0)),ISNUMBER(VLOOKUP(Z$5,Materialpreise,3,0))),VLOOKUP(Z$5,Materialpreise,3,0)*VLOOKUP($A21,Rezepte,MATCH(Kalkulation!Z$5,Rezepte!$5:$5,0),0),"")</f>
        <v/>
      </c>
      <c r="AA21" s="23" t="str">
        <f>IF(AND(ISNUMBER(VLOOKUP($A21,Rezepte,MATCH(Kalkulation!AA$5,Rezepte!$5:$5,0),0)),ISNUMBER(VLOOKUP(AA$5,Materialpreise,3,0))),VLOOKUP(AA$5,Materialpreise,3,0)*VLOOKUP($A21,Rezepte,MATCH(Kalkulation!AA$5,Rezepte!$5:$5,0),0),"")</f>
        <v/>
      </c>
      <c r="AB21" s="23" t="str">
        <f>IF(AND(ISNUMBER(VLOOKUP($A21,Rezepte,MATCH(Kalkulation!AB$5,Rezepte!$5:$5,0),0)),ISNUMBER(VLOOKUP(AB$5,Materialpreise,3,0))),VLOOKUP(AB$5,Materialpreise,3,0)*VLOOKUP($A21,Rezepte,MATCH(Kalkulation!AB$5,Rezepte!$5:$5,0),0),"")</f>
        <v/>
      </c>
      <c r="AC21" s="23" t="str">
        <f>IF(AND(ISNUMBER(VLOOKUP($A21,Rezepte,MATCH(Kalkulation!AC$5,Rezepte!$5:$5,0),0)),ISNUMBER(VLOOKUP(AC$5,Materialpreise,3,0))),VLOOKUP(AC$5,Materialpreise,3,0)*VLOOKUP($A21,Rezepte,MATCH(Kalkulation!AC$5,Rezepte!$5:$5,0),0),"")</f>
        <v/>
      </c>
      <c r="AD21" s="23" t="str">
        <f>IF(AND(ISNUMBER(VLOOKUP($A21,Rezepte,MATCH(Kalkulation!AD$5,Rezepte!$5:$5,0),0)),ISNUMBER(VLOOKUP(AD$5,Materialpreise,3,0))),VLOOKUP(AD$5,Materialpreise,3,0)*VLOOKUP($A21,Rezepte,MATCH(Kalkulation!AD$5,Rezepte!$5:$5,0),0),"")</f>
        <v/>
      </c>
      <c r="AE21" s="23" t="str">
        <f>IF(AND(ISNUMBER(VLOOKUP($A21,Rezepte,MATCH(Kalkulation!AE$5,Rezepte!$5:$5,0),0)),ISNUMBER(VLOOKUP(AE$5,Materialpreise,3,0))),VLOOKUP(AE$5,Materialpreise,3,0)*VLOOKUP($A21,Rezepte,MATCH(Kalkulation!AE$5,Rezepte!$5:$5,0),0),"")</f>
        <v/>
      </c>
      <c r="AF21" s="23" t="str">
        <f>IF(AND(ISNUMBER(VLOOKUP($A21,Rezepte,MATCH(Kalkulation!AF$5,Rezepte!$5:$5,0),0)),ISNUMBER(VLOOKUP(AF$5,Materialpreise,3,0))),VLOOKUP(AF$5,Materialpreise,3,0)*VLOOKUP($A21,Rezepte,MATCH(Kalkulation!AF$5,Rezepte!$5:$5,0),0),"")</f>
        <v/>
      </c>
      <c r="AG21" s="23" t="str">
        <f>IF(AND(ISNUMBER(VLOOKUP($A21,Rezepte,MATCH(Kalkulation!AG$5,Rezepte!$5:$5,0),0)),ISNUMBER(VLOOKUP(AG$5,Materialpreise,3,0))),VLOOKUP(AG$5,Materialpreise,3,0)*VLOOKUP($A21,Rezepte,MATCH(Kalkulation!AG$5,Rezepte!$5:$5,0),0),"")</f>
        <v/>
      </c>
      <c r="AH21" s="23" t="str">
        <f>IF(AND(ISNUMBER(VLOOKUP($A21,Rezepte,MATCH(Kalkulation!AH$5,Rezepte!$5:$5,0),0)),ISNUMBER(VLOOKUP(AH$5,Materialpreise,3,0))),VLOOKUP(AH$5,Materialpreise,3,0)*VLOOKUP($A21,Rezepte,MATCH(Kalkulation!AH$5,Rezepte!$5:$5,0),0),"")</f>
        <v/>
      </c>
      <c r="AI21" s="23" t="str">
        <f>IF(AND(ISNUMBER(VLOOKUP($A21,Rezepte,MATCH(Kalkulation!AI$5,Rezepte!$5:$5,0),0)),ISNUMBER(VLOOKUP(AI$5,Materialpreise,3,0))),VLOOKUP(AI$5,Materialpreise,3,0)*VLOOKUP($A21,Rezepte,MATCH(Kalkulation!AI$5,Rezepte!$5:$5,0),0),"")</f>
        <v/>
      </c>
      <c r="AJ21" s="23" t="str">
        <f>IF(AND(ISNUMBER(VLOOKUP($A21,Rezepte,MATCH(Kalkulation!AJ$5,Rezepte!$5:$5,0),0)),ISNUMBER(VLOOKUP(AJ$5,Materialpreise,3,0))),VLOOKUP(AJ$5,Materialpreise,3,0)*VLOOKUP($A21,Rezepte,MATCH(Kalkulation!AJ$5,Rezepte!$5:$5,0),0),"")</f>
        <v/>
      </c>
      <c r="AK21" s="23" t="str">
        <f>IF(AND(ISNUMBER(VLOOKUP($A21,Rezepte,MATCH(Kalkulation!AK$5,Rezepte!$5:$5,0),0)),ISNUMBER(VLOOKUP(AK$5,Materialpreise,3,0))),VLOOKUP(AK$5,Materialpreise,3,0)*VLOOKUP($A21,Rezepte,MATCH(Kalkulation!AK$5,Rezepte!$5:$5,0),0),"")</f>
        <v/>
      </c>
      <c r="AL21" s="23" t="str">
        <f>IF(AND(ISNUMBER(VLOOKUP($A21,Rezepte,MATCH(Kalkulation!AL$5,Rezepte!$5:$5,0),0)),ISNUMBER(VLOOKUP(AL$5,Materialpreise,3,0))),VLOOKUP(AL$5,Materialpreise,3,0)*VLOOKUP($A21,Rezepte,MATCH(Kalkulation!AL$5,Rezepte!$5:$5,0),0),"")</f>
        <v/>
      </c>
      <c r="AM21" s="23" t="str">
        <f>IF(AND(ISNUMBER(VLOOKUP($A21,Rezepte,MATCH(Kalkulation!AM$5,Rezepte!$5:$5,0),0)),ISNUMBER(VLOOKUP(AM$5,Materialpreise,3,0))),VLOOKUP(AM$5,Materialpreise,3,0)*VLOOKUP($A21,Rezepte,MATCH(Kalkulation!AM$5,Rezepte!$5:$5,0),0),"")</f>
        <v/>
      </c>
      <c r="AN21" s="23" t="str">
        <f>IF(AND(ISNUMBER(VLOOKUP($A21,Rezepte,MATCH(Kalkulation!AN$5,Rezepte!$5:$5,0),0)),ISNUMBER(VLOOKUP(AN$5,Materialpreise,3,0))),VLOOKUP(AN$5,Materialpreise,3,0)*VLOOKUP($A21,Rezepte,MATCH(Kalkulation!AN$5,Rezepte!$5:$5,0),0),"")</f>
        <v/>
      </c>
      <c r="AO21" s="23" t="str">
        <f>IF(AND(ISNUMBER(VLOOKUP($A21,Rezepte,MATCH(Kalkulation!AO$5,Rezepte!$5:$5,0),0)),ISNUMBER(VLOOKUP(AO$5,Materialpreise,3,0))),VLOOKUP(AO$5,Materialpreise,3,0)*VLOOKUP($A21,Rezepte,MATCH(Kalkulation!AO$5,Rezepte!$5:$5,0),0),"")</f>
        <v/>
      </c>
      <c r="AP21" s="23" t="str">
        <f>IF(AND(ISNUMBER(VLOOKUP($A21,Rezepte,MATCH(Kalkulation!AP$5,Rezepte!$5:$5,0),0)),ISNUMBER(VLOOKUP(AP$5,Materialpreise,3,0))),VLOOKUP(AP$5,Materialpreise,3,0)*VLOOKUP($A21,Rezepte,MATCH(Kalkulation!AP$5,Rezepte!$5:$5,0),0),"")</f>
        <v/>
      </c>
      <c r="AQ21" s="23" t="str">
        <f>IF(AND(ISNUMBER(VLOOKUP($A21,Rezepte,MATCH(Kalkulation!AQ$5,Rezepte!$5:$5,0),0)),ISNUMBER(VLOOKUP(AQ$5,Materialpreise,3,0))),VLOOKUP(AQ$5,Materialpreise,3,0)*VLOOKUP($A21,Rezepte,MATCH(Kalkulation!AQ$5,Rezepte!$5:$5,0),0),"")</f>
        <v/>
      </c>
      <c r="AR21" s="23" t="str">
        <f>IF(AND(ISNUMBER(VLOOKUP($A21,Rezepte,MATCH(Kalkulation!AR$5,Rezepte!$5:$5,0),0)),ISNUMBER(VLOOKUP(AR$5,Materialpreise,3,0))),VLOOKUP(AR$5,Materialpreise,3,0)*VLOOKUP($A21,Rezepte,MATCH(Kalkulation!AR$5,Rezepte!$5:$5,0),0),"")</f>
        <v/>
      </c>
      <c r="AS21" s="23" t="str">
        <f>IF(AND(ISNUMBER(VLOOKUP($A21,Rezepte,MATCH(Kalkulation!AS$5,Rezepte!$5:$5,0),0)),ISNUMBER(VLOOKUP(AS$5,Materialpreise,3,0))),VLOOKUP(AS$5,Materialpreise,3,0)*VLOOKUP($A21,Rezepte,MATCH(Kalkulation!AS$5,Rezepte!$5:$5,0),0),"")</f>
        <v/>
      </c>
      <c r="AT21" s="23" t="str">
        <f>IF(AND(ISNUMBER(VLOOKUP($A21,Rezepte,MATCH(Kalkulation!AT$5,Rezepte!$5:$5,0),0)),ISNUMBER(VLOOKUP(AT$5,Materialpreise,3,0))),VLOOKUP(AT$5,Materialpreise,3,0)*VLOOKUP($A21,Rezepte,MATCH(Kalkulation!AT$5,Rezepte!$5:$5,0),0),"")</f>
        <v/>
      </c>
      <c r="AU21" s="23" t="str">
        <f>IF(AND(ISNUMBER(VLOOKUP($A21,Rezepte,MATCH(Kalkulation!AU$5,Rezepte!$5:$5,0),0)),ISNUMBER(VLOOKUP(AU$5,Materialpreise,3,0))),VLOOKUP(AU$5,Materialpreise,3,0)*VLOOKUP($A21,Rezepte,MATCH(Kalkulation!AU$5,Rezepte!$5:$5,0),0),"")</f>
        <v/>
      </c>
      <c r="AV21" s="23" t="str">
        <f>IF(AND(ISNUMBER(VLOOKUP($A21,Rezepte,MATCH(Kalkulation!AV$5,Rezepte!$5:$5,0),0)),ISNUMBER(VLOOKUP(AV$5,Materialpreise,3,0))),VLOOKUP(AV$5,Materialpreise,3,0)*VLOOKUP($A21,Rezepte,MATCH(Kalkulation!AV$5,Rezepte!$5:$5,0),0),"")</f>
        <v/>
      </c>
      <c r="AW21" s="23" t="str">
        <f>IF(AND(ISNUMBER(VLOOKUP($A21,Rezepte,MATCH(Kalkulation!AW$5,Rezepte!$5:$5,0),0)),ISNUMBER(VLOOKUP(AW$5,Materialpreise,3,0))),VLOOKUP(AW$5,Materialpreise,3,0)*VLOOKUP($A21,Rezepte,MATCH(Kalkulation!AW$5,Rezepte!$5:$5,0),0),"")</f>
        <v/>
      </c>
      <c r="AX21" s="23" t="str">
        <f>IF(AND(ISNUMBER(VLOOKUP($A21,Rezepte,MATCH(Kalkulation!AX$5,Rezepte!$5:$5,0),0)),ISNUMBER(VLOOKUP(AX$5,Materialpreise,3,0))),VLOOKUP(AX$5,Materialpreise,3,0)*VLOOKUP($A21,Rezepte,MATCH(Kalkulation!AX$5,Rezepte!$5:$5,0),0),"")</f>
        <v/>
      </c>
      <c r="AY21" s="23" t="str">
        <f>IF(AND(ISNUMBER(VLOOKUP($A21,Rezepte,MATCH(Kalkulation!AY$5,Rezepte!$5:$5,0),0)),ISNUMBER(VLOOKUP(AY$5,Materialpreise,3,0))),VLOOKUP(AY$5,Materialpreise,3,0)*VLOOKUP($A21,Rezepte,MATCH(Kalkulation!AY$5,Rezepte!$5:$5,0),0),"")</f>
        <v/>
      </c>
      <c r="AZ21" s="23" t="str">
        <f>IF(AND(ISNUMBER(VLOOKUP($A21,Rezepte,MATCH(Kalkulation!AZ$5,Rezepte!$5:$5,0),0)),ISNUMBER(VLOOKUP(AZ$5,Materialpreise,3,0))),VLOOKUP(AZ$5,Materialpreise,3,0)*VLOOKUP($A21,Rezepte,MATCH(Kalkulation!AZ$5,Rezepte!$5:$5,0),0),"")</f>
        <v/>
      </c>
      <c r="BA21" s="23" t="str">
        <f>IF(AND(ISNUMBER(VLOOKUP($A21,Rezepte,MATCH(Kalkulation!BA$5,Rezepte!$5:$5,0),0)),ISNUMBER(VLOOKUP(BA$5,Materialpreise,3,0))),VLOOKUP(BA$5,Materialpreise,3,0)*VLOOKUP($A21,Rezepte,MATCH(Kalkulation!BA$5,Rezepte!$5:$5,0),0),"")</f>
        <v/>
      </c>
    </row>
    <row r="22" spans="1:53" x14ac:dyDescent="0.25">
      <c r="A22" t="str">
        <f t="array" ref="A22">IFERROR(INDEX(Rezepte!$A$6:$A$100,MATCH(1,(COUNTIF(A$6:A21,Rezepte!A$6:A$100)=0)*(Rezepte!A$6:A$100&lt;&gt;""),0)),"")</f>
        <v/>
      </c>
      <c r="B22" s="23" t="str">
        <f t="shared" si="0"/>
        <v/>
      </c>
      <c r="C22" s="23" t="str">
        <f t="shared" si="1"/>
        <v/>
      </c>
      <c r="D22" s="23" t="str">
        <f>IF(AND(ISNUMBER(VLOOKUP($A22,Rezepte,MATCH(Kalkulation!D$5,Rezepte!$5:$5,0),0)),ISNUMBER(VLOOKUP(D$5,Materialpreise,3,0))),VLOOKUP(D$5,Materialpreise,3,0)*VLOOKUP($A22,Rezepte,MATCH(Kalkulation!D$5,Rezepte!$5:$5,0),0),"")</f>
        <v/>
      </c>
      <c r="E22" s="23" t="str">
        <f>IF(AND(ISNUMBER(VLOOKUP($A22,Rezepte,MATCH(Kalkulation!E$5,Rezepte!$5:$5,0),0)),ISNUMBER(VLOOKUP(E$5,Materialpreise,3,0))),VLOOKUP(E$5,Materialpreise,3,0)*VLOOKUP($A22,Rezepte,MATCH(Kalkulation!E$5,Rezepte!$5:$5,0),0),"")</f>
        <v/>
      </c>
      <c r="F22" s="23" t="str">
        <f>IF(AND(ISNUMBER(VLOOKUP($A22,Rezepte,MATCH(Kalkulation!F$5,Rezepte!$5:$5,0),0)),ISNUMBER(VLOOKUP(F$5,Materialpreise,3,0))),VLOOKUP(F$5,Materialpreise,3,0)*VLOOKUP($A22,Rezepte,MATCH(Kalkulation!F$5,Rezepte!$5:$5,0),0),"")</f>
        <v/>
      </c>
      <c r="G22" s="23" t="str">
        <f>IF(AND(ISNUMBER(VLOOKUP($A22,Rezepte,MATCH(Kalkulation!G$5,Rezepte!$5:$5,0),0)),ISNUMBER(VLOOKUP(G$5,Materialpreise,3,0))),VLOOKUP(G$5,Materialpreise,3,0)*VLOOKUP($A22,Rezepte,MATCH(Kalkulation!G$5,Rezepte!$5:$5,0),0),"")</f>
        <v/>
      </c>
      <c r="H22" s="23" t="str">
        <f>IF(AND(ISNUMBER(VLOOKUP($A22,Rezepte,MATCH(Kalkulation!H$5,Rezepte!$5:$5,0),0)),ISNUMBER(VLOOKUP(H$5,Materialpreise,3,0))),VLOOKUP(H$5,Materialpreise,3,0)*VLOOKUP($A22,Rezepte,MATCH(Kalkulation!H$5,Rezepte!$5:$5,0),0),"")</f>
        <v/>
      </c>
      <c r="I22" s="23" t="str">
        <f>IF(AND(ISNUMBER(VLOOKUP($A22,Rezepte,MATCH(Kalkulation!I$5,Rezepte!$5:$5,0),0)),ISNUMBER(VLOOKUP(I$5,Materialpreise,3,0))),VLOOKUP(I$5,Materialpreise,3,0)*VLOOKUP($A22,Rezepte,MATCH(Kalkulation!I$5,Rezepte!$5:$5,0),0),"")</f>
        <v/>
      </c>
      <c r="J22" s="23" t="str">
        <f>IF(AND(ISNUMBER(VLOOKUP($A22,Rezepte,MATCH(Kalkulation!J$5,Rezepte!$5:$5,0),0)),ISNUMBER(VLOOKUP(J$5,Materialpreise,3,0))),VLOOKUP(J$5,Materialpreise,3,0)*VLOOKUP($A22,Rezepte,MATCH(Kalkulation!J$5,Rezepte!$5:$5,0),0),"")</f>
        <v/>
      </c>
      <c r="K22" s="23" t="str">
        <f>IF(AND(ISNUMBER(VLOOKUP($A22,Rezepte,MATCH(Kalkulation!K$5,Rezepte!$5:$5,0),0)),ISNUMBER(VLOOKUP(K$5,Materialpreise,3,0))),VLOOKUP(K$5,Materialpreise,3,0)*VLOOKUP($A22,Rezepte,MATCH(Kalkulation!K$5,Rezepte!$5:$5,0),0),"")</f>
        <v/>
      </c>
      <c r="L22" s="23" t="str">
        <f>IF(AND(ISNUMBER(VLOOKUP($A22,Rezepte,MATCH(Kalkulation!L$5,Rezepte!$5:$5,0),0)),ISNUMBER(VLOOKUP(L$5,Materialpreise,3,0))),VLOOKUP(L$5,Materialpreise,3,0)*VLOOKUP($A22,Rezepte,MATCH(Kalkulation!L$5,Rezepte!$5:$5,0),0),"")</f>
        <v/>
      </c>
      <c r="M22" s="23" t="str">
        <f>IF(AND(ISNUMBER(VLOOKUP($A22,Rezepte,MATCH(Kalkulation!M$5,Rezepte!$5:$5,0),0)),ISNUMBER(VLOOKUP(M$5,Materialpreise,3,0))),VLOOKUP(M$5,Materialpreise,3,0)*VLOOKUP($A22,Rezepte,MATCH(Kalkulation!M$5,Rezepte!$5:$5,0),0),"")</f>
        <v/>
      </c>
      <c r="N22" s="23" t="str">
        <f>IF(AND(ISNUMBER(VLOOKUP($A22,Rezepte,MATCH(Kalkulation!N$5,Rezepte!$5:$5,0),0)),ISNUMBER(VLOOKUP(N$5,Materialpreise,3,0))),VLOOKUP(N$5,Materialpreise,3,0)*VLOOKUP($A22,Rezepte,MATCH(Kalkulation!N$5,Rezepte!$5:$5,0),0),"")</f>
        <v/>
      </c>
      <c r="O22" s="23" t="str">
        <f>IF(AND(ISNUMBER(VLOOKUP($A22,Rezepte,MATCH(Kalkulation!O$5,Rezepte!$5:$5,0),0)),ISNUMBER(VLOOKUP(O$5,Materialpreise,3,0))),VLOOKUP(O$5,Materialpreise,3,0)*VLOOKUP($A22,Rezepte,MATCH(Kalkulation!O$5,Rezepte!$5:$5,0),0),"")</f>
        <v/>
      </c>
      <c r="P22" s="23" t="str">
        <f>IF(AND(ISNUMBER(VLOOKUP($A22,Rezepte,MATCH(Kalkulation!P$5,Rezepte!$5:$5,0),0)),ISNUMBER(VLOOKUP(P$5,Materialpreise,3,0))),VLOOKUP(P$5,Materialpreise,3,0)*VLOOKUP($A22,Rezepte,MATCH(Kalkulation!P$5,Rezepte!$5:$5,0),0),"")</f>
        <v/>
      </c>
      <c r="Q22" s="23" t="str">
        <f>IF(AND(ISNUMBER(VLOOKUP($A22,Rezepte,MATCH(Kalkulation!Q$5,Rezepte!$5:$5,0),0)),ISNUMBER(VLOOKUP(Q$5,Materialpreise,3,0))),VLOOKUP(Q$5,Materialpreise,3,0)*VLOOKUP($A22,Rezepte,MATCH(Kalkulation!Q$5,Rezepte!$5:$5,0),0),"")</f>
        <v/>
      </c>
      <c r="R22" s="23" t="str">
        <f>IF(AND(ISNUMBER(VLOOKUP($A22,Rezepte,MATCH(Kalkulation!R$5,Rezepte!$5:$5,0),0)),ISNUMBER(VLOOKUP(R$5,Materialpreise,3,0))),VLOOKUP(R$5,Materialpreise,3,0)*VLOOKUP($A22,Rezepte,MATCH(Kalkulation!R$5,Rezepte!$5:$5,0),0),"")</f>
        <v/>
      </c>
      <c r="S22" s="23" t="str">
        <f>IF(AND(ISNUMBER(VLOOKUP($A22,Rezepte,MATCH(Kalkulation!S$5,Rezepte!$5:$5,0),0)),ISNUMBER(VLOOKUP(S$5,Materialpreise,3,0))),VLOOKUP(S$5,Materialpreise,3,0)*VLOOKUP($A22,Rezepte,MATCH(Kalkulation!S$5,Rezepte!$5:$5,0),0),"")</f>
        <v/>
      </c>
      <c r="T22" s="23" t="str">
        <f>IF(AND(ISNUMBER(VLOOKUP($A22,Rezepte,MATCH(Kalkulation!T$5,Rezepte!$5:$5,0),0)),ISNUMBER(VLOOKUP(T$5,Materialpreise,3,0))),VLOOKUP(T$5,Materialpreise,3,0)*VLOOKUP($A22,Rezepte,MATCH(Kalkulation!T$5,Rezepte!$5:$5,0),0),"")</f>
        <v/>
      </c>
      <c r="U22" s="23" t="str">
        <f>IF(AND(ISNUMBER(VLOOKUP($A22,Rezepte,MATCH(Kalkulation!U$5,Rezepte!$5:$5,0),0)),ISNUMBER(VLOOKUP(U$5,Materialpreise,3,0))),VLOOKUP(U$5,Materialpreise,3,0)*VLOOKUP($A22,Rezepte,MATCH(Kalkulation!U$5,Rezepte!$5:$5,0),0),"")</f>
        <v/>
      </c>
      <c r="V22" s="23" t="str">
        <f>IF(AND(ISNUMBER(VLOOKUP($A22,Rezepte,MATCH(Kalkulation!V$5,Rezepte!$5:$5,0),0)),ISNUMBER(VLOOKUP(V$5,Materialpreise,3,0))),VLOOKUP(V$5,Materialpreise,3,0)*VLOOKUP($A22,Rezepte,MATCH(Kalkulation!V$5,Rezepte!$5:$5,0),0),"")</f>
        <v/>
      </c>
      <c r="W22" s="23" t="str">
        <f>IF(AND(ISNUMBER(VLOOKUP($A22,Rezepte,MATCH(Kalkulation!W$5,Rezepte!$5:$5,0),0)),ISNUMBER(VLOOKUP(W$5,Materialpreise,3,0))),VLOOKUP(W$5,Materialpreise,3,0)*VLOOKUP($A22,Rezepte,MATCH(Kalkulation!W$5,Rezepte!$5:$5,0),0),"")</f>
        <v/>
      </c>
      <c r="X22" s="23" t="str">
        <f>IF(AND(ISNUMBER(VLOOKUP($A22,Rezepte,MATCH(Kalkulation!X$5,Rezepte!$5:$5,0),0)),ISNUMBER(VLOOKUP(X$5,Materialpreise,3,0))),VLOOKUP(X$5,Materialpreise,3,0)*VLOOKUP($A22,Rezepte,MATCH(Kalkulation!X$5,Rezepte!$5:$5,0),0),"")</f>
        <v/>
      </c>
      <c r="Y22" s="23" t="str">
        <f>IF(AND(ISNUMBER(VLOOKUP($A22,Rezepte,MATCH(Kalkulation!Y$5,Rezepte!$5:$5,0),0)),ISNUMBER(VLOOKUP(Y$5,Materialpreise,3,0))),VLOOKUP(Y$5,Materialpreise,3,0)*VLOOKUP($A22,Rezepte,MATCH(Kalkulation!Y$5,Rezepte!$5:$5,0),0),"")</f>
        <v/>
      </c>
      <c r="Z22" s="23" t="str">
        <f>IF(AND(ISNUMBER(VLOOKUP($A22,Rezepte,MATCH(Kalkulation!Z$5,Rezepte!$5:$5,0),0)),ISNUMBER(VLOOKUP(Z$5,Materialpreise,3,0))),VLOOKUP(Z$5,Materialpreise,3,0)*VLOOKUP($A22,Rezepte,MATCH(Kalkulation!Z$5,Rezepte!$5:$5,0),0),"")</f>
        <v/>
      </c>
      <c r="AA22" s="23" t="str">
        <f>IF(AND(ISNUMBER(VLOOKUP($A22,Rezepte,MATCH(Kalkulation!AA$5,Rezepte!$5:$5,0),0)),ISNUMBER(VLOOKUP(AA$5,Materialpreise,3,0))),VLOOKUP(AA$5,Materialpreise,3,0)*VLOOKUP($A22,Rezepte,MATCH(Kalkulation!AA$5,Rezepte!$5:$5,0),0),"")</f>
        <v/>
      </c>
      <c r="AB22" s="23" t="str">
        <f>IF(AND(ISNUMBER(VLOOKUP($A22,Rezepte,MATCH(Kalkulation!AB$5,Rezepte!$5:$5,0),0)),ISNUMBER(VLOOKUP(AB$5,Materialpreise,3,0))),VLOOKUP(AB$5,Materialpreise,3,0)*VLOOKUP($A22,Rezepte,MATCH(Kalkulation!AB$5,Rezepte!$5:$5,0),0),"")</f>
        <v/>
      </c>
      <c r="AC22" s="23" t="str">
        <f>IF(AND(ISNUMBER(VLOOKUP($A22,Rezepte,MATCH(Kalkulation!AC$5,Rezepte!$5:$5,0),0)),ISNUMBER(VLOOKUP(AC$5,Materialpreise,3,0))),VLOOKUP(AC$5,Materialpreise,3,0)*VLOOKUP($A22,Rezepte,MATCH(Kalkulation!AC$5,Rezepte!$5:$5,0),0),"")</f>
        <v/>
      </c>
      <c r="AD22" s="23" t="str">
        <f>IF(AND(ISNUMBER(VLOOKUP($A22,Rezepte,MATCH(Kalkulation!AD$5,Rezepte!$5:$5,0),0)),ISNUMBER(VLOOKUP(AD$5,Materialpreise,3,0))),VLOOKUP(AD$5,Materialpreise,3,0)*VLOOKUP($A22,Rezepte,MATCH(Kalkulation!AD$5,Rezepte!$5:$5,0),0),"")</f>
        <v/>
      </c>
      <c r="AE22" s="23" t="str">
        <f>IF(AND(ISNUMBER(VLOOKUP($A22,Rezepte,MATCH(Kalkulation!AE$5,Rezepte!$5:$5,0),0)),ISNUMBER(VLOOKUP(AE$5,Materialpreise,3,0))),VLOOKUP(AE$5,Materialpreise,3,0)*VLOOKUP($A22,Rezepte,MATCH(Kalkulation!AE$5,Rezepte!$5:$5,0),0),"")</f>
        <v/>
      </c>
      <c r="AF22" s="23" t="str">
        <f>IF(AND(ISNUMBER(VLOOKUP($A22,Rezepte,MATCH(Kalkulation!AF$5,Rezepte!$5:$5,0),0)),ISNUMBER(VLOOKUP(AF$5,Materialpreise,3,0))),VLOOKUP(AF$5,Materialpreise,3,0)*VLOOKUP($A22,Rezepte,MATCH(Kalkulation!AF$5,Rezepte!$5:$5,0),0),"")</f>
        <v/>
      </c>
      <c r="AG22" s="23" t="str">
        <f>IF(AND(ISNUMBER(VLOOKUP($A22,Rezepte,MATCH(Kalkulation!AG$5,Rezepte!$5:$5,0),0)),ISNUMBER(VLOOKUP(AG$5,Materialpreise,3,0))),VLOOKUP(AG$5,Materialpreise,3,0)*VLOOKUP($A22,Rezepte,MATCH(Kalkulation!AG$5,Rezepte!$5:$5,0),0),"")</f>
        <v/>
      </c>
      <c r="AH22" s="23" t="str">
        <f>IF(AND(ISNUMBER(VLOOKUP($A22,Rezepte,MATCH(Kalkulation!AH$5,Rezepte!$5:$5,0),0)),ISNUMBER(VLOOKUP(AH$5,Materialpreise,3,0))),VLOOKUP(AH$5,Materialpreise,3,0)*VLOOKUP($A22,Rezepte,MATCH(Kalkulation!AH$5,Rezepte!$5:$5,0),0),"")</f>
        <v/>
      </c>
      <c r="AI22" s="23" t="str">
        <f>IF(AND(ISNUMBER(VLOOKUP($A22,Rezepte,MATCH(Kalkulation!AI$5,Rezepte!$5:$5,0),0)),ISNUMBER(VLOOKUP(AI$5,Materialpreise,3,0))),VLOOKUP(AI$5,Materialpreise,3,0)*VLOOKUP($A22,Rezepte,MATCH(Kalkulation!AI$5,Rezepte!$5:$5,0),0),"")</f>
        <v/>
      </c>
      <c r="AJ22" s="23" t="str">
        <f>IF(AND(ISNUMBER(VLOOKUP($A22,Rezepte,MATCH(Kalkulation!AJ$5,Rezepte!$5:$5,0),0)),ISNUMBER(VLOOKUP(AJ$5,Materialpreise,3,0))),VLOOKUP(AJ$5,Materialpreise,3,0)*VLOOKUP($A22,Rezepte,MATCH(Kalkulation!AJ$5,Rezepte!$5:$5,0),0),"")</f>
        <v/>
      </c>
      <c r="AK22" s="23" t="str">
        <f>IF(AND(ISNUMBER(VLOOKUP($A22,Rezepte,MATCH(Kalkulation!AK$5,Rezepte!$5:$5,0),0)),ISNUMBER(VLOOKUP(AK$5,Materialpreise,3,0))),VLOOKUP(AK$5,Materialpreise,3,0)*VLOOKUP($A22,Rezepte,MATCH(Kalkulation!AK$5,Rezepte!$5:$5,0),0),"")</f>
        <v/>
      </c>
      <c r="AL22" s="23" t="str">
        <f>IF(AND(ISNUMBER(VLOOKUP($A22,Rezepte,MATCH(Kalkulation!AL$5,Rezepte!$5:$5,0),0)),ISNUMBER(VLOOKUP(AL$5,Materialpreise,3,0))),VLOOKUP(AL$5,Materialpreise,3,0)*VLOOKUP($A22,Rezepte,MATCH(Kalkulation!AL$5,Rezepte!$5:$5,0),0),"")</f>
        <v/>
      </c>
      <c r="AM22" s="23" t="str">
        <f>IF(AND(ISNUMBER(VLOOKUP($A22,Rezepte,MATCH(Kalkulation!AM$5,Rezepte!$5:$5,0),0)),ISNUMBER(VLOOKUP(AM$5,Materialpreise,3,0))),VLOOKUP(AM$5,Materialpreise,3,0)*VLOOKUP($A22,Rezepte,MATCH(Kalkulation!AM$5,Rezepte!$5:$5,0),0),"")</f>
        <v/>
      </c>
      <c r="AN22" s="23" t="str">
        <f>IF(AND(ISNUMBER(VLOOKUP($A22,Rezepte,MATCH(Kalkulation!AN$5,Rezepte!$5:$5,0),0)),ISNUMBER(VLOOKUP(AN$5,Materialpreise,3,0))),VLOOKUP(AN$5,Materialpreise,3,0)*VLOOKUP($A22,Rezepte,MATCH(Kalkulation!AN$5,Rezepte!$5:$5,0),0),"")</f>
        <v/>
      </c>
      <c r="AO22" s="23" t="str">
        <f>IF(AND(ISNUMBER(VLOOKUP($A22,Rezepte,MATCH(Kalkulation!AO$5,Rezepte!$5:$5,0),0)),ISNUMBER(VLOOKUP(AO$5,Materialpreise,3,0))),VLOOKUP(AO$5,Materialpreise,3,0)*VLOOKUP($A22,Rezepte,MATCH(Kalkulation!AO$5,Rezepte!$5:$5,0),0),"")</f>
        <v/>
      </c>
      <c r="AP22" s="23" t="str">
        <f>IF(AND(ISNUMBER(VLOOKUP($A22,Rezepte,MATCH(Kalkulation!AP$5,Rezepte!$5:$5,0),0)),ISNUMBER(VLOOKUP(AP$5,Materialpreise,3,0))),VLOOKUP(AP$5,Materialpreise,3,0)*VLOOKUP($A22,Rezepte,MATCH(Kalkulation!AP$5,Rezepte!$5:$5,0),0),"")</f>
        <v/>
      </c>
      <c r="AQ22" s="23" t="str">
        <f>IF(AND(ISNUMBER(VLOOKUP($A22,Rezepte,MATCH(Kalkulation!AQ$5,Rezepte!$5:$5,0),0)),ISNUMBER(VLOOKUP(AQ$5,Materialpreise,3,0))),VLOOKUP(AQ$5,Materialpreise,3,0)*VLOOKUP($A22,Rezepte,MATCH(Kalkulation!AQ$5,Rezepte!$5:$5,0),0),"")</f>
        <v/>
      </c>
      <c r="AR22" s="23" t="str">
        <f>IF(AND(ISNUMBER(VLOOKUP($A22,Rezepte,MATCH(Kalkulation!AR$5,Rezepte!$5:$5,0),0)),ISNUMBER(VLOOKUP(AR$5,Materialpreise,3,0))),VLOOKUP(AR$5,Materialpreise,3,0)*VLOOKUP($A22,Rezepte,MATCH(Kalkulation!AR$5,Rezepte!$5:$5,0),0),"")</f>
        <v/>
      </c>
      <c r="AS22" s="23" t="str">
        <f>IF(AND(ISNUMBER(VLOOKUP($A22,Rezepte,MATCH(Kalkulation!AS$5,Rezepte!$5:$5,0),0)),ISNUMBER(VLOOKUP(AS$5,Materialpreise,3,0))),VLOOKUP(AS$5,Materialpreise,3,0)*VLOOKUP($A22,Rezepte,MATCH(Kalkulation!AS$5,Rezepte!$5:$5,0),0),"")</f>
        <v/>
      </c>
      <c r="AT22" s="23" t="str">
        <f>IF(AND(ISNUMBER(VLOOKUP($A22,Rezepte,MATCH(Kalkulation!AT$5,Rezepte!$5:$5,0),0)),ISNUMBER(VLOOKUP(AT$5,Materialpreise,3,0))),VLOOKUP(AT$5,Materialpreise,3,0)*VLOOKUP($A22,Rezepte,MATCH(Kalkulation!AT$5,Rezepte!$5:$5,0),0),"")</f>
        <v/>
      </c>
      <c r="AU22" s="23" t="str">
        <f>IF(AND(ISNUMBER(VLOOKUP($A22,Rezepte,MATCH(Kalkulation!AU$5,Rezepte!$5:$5,0),0)),ISNUMBER(VLOOKUP(AU$5,Materialpreise,3,0))),VLOOKUP(AU$5,Materialpreise,3,0)*VLOOKUP($A22,Rezepte,MATCH(Kalkulation!AU$5,Rezepte!$5:$5,0),0),"")</f>
        <v/>
      </c>
      <c r="AV22" s="23" t="str">
        <f>IF(AND(ISNUMBER(VLOOKUP($A22,Rezepte,MATCH(Kalkulation!AV$5,Rezepte!$5:$5,0),0)),ISNUMBER(VLOOKUP(AV$5,Materialpreise,3,0))),VLOOKUP(AV$5,Materialpreise,3,0)*VLOOKUP($A22,Rezepte,MATCH(Kalkulation!AV$5,Rezepte!$5:$5,0),0),"")</f>
        <v/>
      </c>
      <c r="AW22" s="23" t="str">
        <f>IF(AND(ISNUMBER(VLOOKUP($A22,Rezepte,MATCH(Kalkulation!AW$5,Rezepte!$5:$5,0),0)),ISNUMBER(VLOOKUP(AW$5,Materialpreise,3,0))),VLOOKUP(AW$5,Materialpreise,3,0)*VLOOKUP($A22,Rezepte,MATCH(Kalkulation!AW$5,Rezepte!$5:$5,0),0),"")</f>
        <v/>
      </c>
      <c r="AX22" s="23" t="str">
        <f>IF(AND(ISNUMBER(VLOOKUP($A22,Rezepte,MATCH(Kalkulation!AX$5,Rezepte!$5:$5,0),0)),ISNUMBER(VLOOKUP(AX$5,Materialpreise,3,0))),VLOOKUP(AX$5,Materialpreise,3,0)*VLOOKUP($A22,Rezepte,MATCH(Kalkulation!AX$5,Rezepte!$5:$5,0),0),"")</f>
        <v/>
      </c>
      <c r="AY22" s="23" t="str">
        <f>IF(AND(ISNUMBER(VLOOKUP($A22,Rezepte,MATCH(Kalkulation!AY$5,Rezepte!$5:$5,0),0)),ISNUMBER(VLOOKUP(AY$5,Materialpreise,3,0))),VLOOKUP(AY$5,Materialpreise,3,0)*VLOOKUP($A22,Rezepte,MATCH(Kalkulation!AY$5,Rezepte!$5:$5,0),0),"")</f>
        <v/>
      </c>
      <c r="AZ22" s="23" t="str">
        <f>IF(AND(ISNUMBER(VLOOKUP($A22,Rezepte,MATCH(Kalkulation!AZ$5,Rezepte!$5:$5,0),0)),ISNUMBER(VLOOKUP(AZ$5,Materialpreise,3,0))),VLOOKUP(AZ$5,Materialpreise,3,0)*VLOOKUP($A22,Rezepte,MATCH(Kalkulation!AZ$5,Rezepte!$5:$5,0),0),"")</f>
        <v/>
      </c>
      <c r="BA22" s="23" t="str">
        <f>IF(AND(ISNUMBER(VLOOKUP($A22,Rezepte,MATCH(Kalkulation!BA$5,Rezepte!$5:$5,0),0)),ISNUMBER(VLOOKUP(BA$5,Materialpreise,3,0))),VLOOKUP(BA$5,Materialpreise,3,0)*VLOOKUP($A22,Rezepte,MATCH(Kalkulation!BA$5,Rezepte!$5:$5,0),0),"")</f>
        <v/>
      </c>
    </row>
    <row r="23" spans="1:53" x14ac:dyDescent="0.25">
      <c r="A23" t="str">
        <f t="array" ref="A23">IFERROR(INDEX(Rezepte!$A$6:$A$100,MATCH(1,(COUNTIF(A$6:A22,Rezepte!A$6:A$100)=0)*(Rezepte!A$6:A$100&lt;&gt;""),0)),"")</f>
        <v/>
      </c>
      <c r="B23" s="23" t="str">
        <f t="shared" si="0"/>
        <v/>
      </c>
      <c r="C23" s="23" t="str">
        <f t="shared" si="1"/>
        <v/>
      </c>
      <c r="D23" s="23" t="str">
        <f>IF(AND(ISNUMBER(VLOOKUP($A23,Rezepte,MATCH(Kalkulation!D$5,Rezepte!$5:$5,0),0)),ISNUMBER(VLOOKUP(D$5,Materialpreise,3,0))),VLOOKUP(D$5,Materialpreise,3,0)*VLOOKUP($A23,Rezepte,MATCH(Kalkulation!D$5,Rezepte!$5:$5,0),0),"")</f>
        <v/>
      </c>
      <c r="E23" s="23" t="str">
        <f>IF(AND(ISNUMBER(VLOOKUP($A23,Rezepte,MATCH(Kalkulation!E$5,Rezepte!$5:$5,0),0)),ISNUMBER(VLOOKUP(E$5,Materialpreise,3,0))),VLOOKUP(E$5,Materialpreise,3,0)*VLOOKUP($A23,Rezepte,MATCH(Kalkulation!E$5,Rezepte!$5:$5,0),0),"")</f>
        <v/>
      </c>
      <c r="F23" s="23" t="str">
        <f>IF(AND(ISNUMBER(VLOOKUP($A23,Rezepte,MATCH(Kalkulation!F$5,Rezepte!$5:$5,0),0)),ISNUMBER(VLOOKUP(F$5,Materialpreise,3,0))),VLOOKUP(F$5,Materialpreise,3,0)*VLOOKUP($A23,Rezepte,MATCH(Kalkulation!F$5,Rezepte!$5:$5,0),0),"")</f>
        <v/>
      </c>
      <c r="G23" s="23" t="str">
        <f>IF(AND(ISNUMBER(VLOOKUP($A23,Rezepte,MATCH(Kalkulation!G$5,Rezepte!$5:$5,0),0)),ISNUMBER(VLOOKUP(G$5,Materialpreise,3,0))),VLOOKUP(G$5,Materialpreise,3,0)*VLOOKUP($A23,Rezepte,MATCH(Kalkulation!G$5,Rezepte!$5:$5,0),0),"")</f>
        <v/>
      </c>
      <c r="H23" s="23" t="str">
        <f>IF(AND(ISNUMBER(VLOOKUP($A23,Rezepte,MATCH(Kalkulation!H$5,Rezepte!$5:$5,0),0)),ISNUMBER(VLOOKUP(H$5,Materialpreise,3,0))),VLOOKUP(H$5,Materialpreise,3,0)*VLOOKUP($A23,Rezepte,MATCH(Kalkulation!H$5,Rezepte!$5:$5,0),0),"")</f>
        <v/>
      </c>
      <c r="I23" s="23" t="str">
        <f>IF(AND(ISNUMBER(VLOOKUP($A23,Rezepte,MATCH(Kalkulation!I$5,Rezepte!$5:$5,0),0)),ISNUMBER(VLOOKUP(I$5,Materialpreise,3,0))),VLOOKUP(I$5,Materialpreise,3,0)*VLOOKUP($A23,Rezepte,MATCH(Kalkulation!I$5,Rezepte!$5:$5,0),0),"")</f>
        <v/>
      </c>
      <c r="J23" s="23" t="str">
        <f>IF(AND(ISNUMBER(VLOOKUP($A23,Rezepte,MATCH(Kalkulation!J$5,Rezepte!$5:$5,0),0)),ISNUMBER(VLOOKUP(J$5,Materialpreise,3,0))),VLOOKUP(J$5,Materialpreise,3,0)*VLOOKUP($A23,Rezepte,MATCH(Kalkulation!J$5,Rezepte!$5:$5,0),0),"")</f>
        <v/>
      </c>
      <c r="K23" s="23" t="str">
        <f>IF(AND(ISNUMBER(VLOOKUP($A23,Rezepte,MATCH(Kalkulation!K$5,Rezepte!$5:$5,0),0)),ISNUMBER(VLOOKUP(K$5,Materialpreise,3,0))),VLOOKUP(K$5,Materialpreise,3,0)*VLOOKUP($A23,Rezepte,MATCH(Kalkulation!K$5,Rezepte!$5:$5,0),0),"")</f>
        <v/>
      </c>
      <c r="L23" s="23" t="str">
        <f>IF(AND(ISNUMBER(VLOOKUP($A23,Rezepte,MATCH(Kalkulation!L$5,Rezepte!$5:$5,0),0)),ISNUMBER(VLOOKUP(L$5,Materialpreise,3,0))),VLOOKUP(L$5,Materialpreise,3,0)*VLOOKUP($A23,Rezepte,MATCH(Kalkulation!L$5,Rezepte!$5:$5,0),0),"")</f>
        <v/>
      </c>
      <c r="M23" s="23" t="str">
        <f>IF(AND(ISNUMBER(VLOOKUP($A23,Rezepte,MATCH(Kalkulation!M$5,Rezepte!$5:$5,0),0)),ISNUMBER(VLOOKUP(M$5,Materialpreise,3,0))),VLOOKUP(M$5,Materialpreise,3,0)*VLOOKUP($A23,Rezepte,MATCH(Kalkulation!M$5,Rezepte!$5:$5,0),0),"")</f>
        <v/>
      </c>
      <c r="N23" s="23" t="str">
        <f>IF(AND(ISNUMBER(VLOOKUP($A23,Rezepte,MATCH(Kalkulation!N$5,Rezepte!$5:$5,0),0)),ISNUMBER(VLOOKUP(N$5,Materialpreise,3,0))),VLOOKUP(N$5,Materialpreise,3,0)*VLOOKUP($A23,Rezepte,MATCH(Kalkulation!N$5,Rezepte!$5:$5,0),0),"")</f>
        <v/>
      </c>
      <c r="O23" s="23" t="str">
        <f>IF(AND(ISNUMBER(VLOOKUP($A23,Rezepte,MATCH(Kalkulation!O$5,Rezepte!$5:$5,0),0)),ISNUMBER(VLOOKUP(O$5,Materialpreise,3,0))),VLOOKUP(O$5,Materialpreise,3,0)*VLOOKUP($A23,Rezepte,MATCH(Kalkulation!O$5,Rezepte!$5:$5,0),0),"")</f>
        <v/>
      </c>
      <c r="P23" s="23" t="str">
        <f>IF(AND(ISNUMBER(VLOOKUP($A23,Rezepte,MATCH(Kalkulation!P$5,Rezepte!$5:$5,0),0)),ISNUMBER(VLOOKUP(P$5,Materialpreise,3,0))),VLOOKUP(P$5,Materialpreise,3,0)*VLOOKUP($A23,Rezepte,MATCH(Kalkulation!P$5,Rezepte!$5:$5,0),0),"")</f>
        <v/>
      </c>
      <c r="Q23" s="23" t="str">
        <f>IF(AND(ISNUMBER(VLOOKUP($A23,Rezepte,MATCH(Kalkulation!Q$5,Rezepte!$5:$5,0),0)),ISNUMBER(VLOOKUP(Q$5,Materialpreise,3,0))),VLOOKUP(Q$5,Materialpreise,3,0)*VLOOKUP($A23,Rezepte,MATCH(Kalkulation!Q$5,Rezepte!$5:$5,0),0),"")</f>
        <v/>
      </c>
      <c r="R23" s="23" t="str">
        <f>IF(AND(ISNUMBER(VLOOKUP($A23,Rezepte,MATCH(Kalkulation!R$5,Rezepte!$5:$5,0),0)),ISNUMBER(VLOOKUP(R$5,Materialpreise,3,0))),VLOOKUP(R$5,Materialpreise,3,0)*VLOOKUP($A23,Rezepte,MATCH(Kalkulation!R$5,Rezepte!$5:$5,0),0),"")</f>
        <v/>
      </c>
      <c r="S23" s="23" t="str">
        <f>IF(AND(ISNUMBER(VLOOKUP($A23,Rezepte,MATCH(Kalkulation!S$5,Rezepte!$5:$5,0),0)),ISNUMBER(VLOOKUP(S$5,Materialpreise,3,0))),VLOOKUP(S$5,Materialpreise,3,0)*VLOOKUP($A23,Rezepte,MATCH(Kalkulation!S$5,Rezepte!$5:$5,0),0),"")</f>
        <v/>
      </c>
      <c r="T23" s="23" t="str">
        <f>IF(AND(ISNUMBER(VLOOKUP($A23,Rezepte,MATCH(Kalkulation!T$5,Rezepte!$5:$5,0),0)),ISNUMBER(VLOOKUP(T$5,Materialpreise,3,0))),VLOOKUP(T$5,Materialpreise,3,0)*VLOOKUP($A23,Rezepte,MATCH(Kalkulation!T$5,Rezepte!$5:$5,0),0),"")</f>
        <v/>
      </c>
      <c r="U23" s="23" t="str">
        <f>IF(AND(ISNUMBER(VLOOKUP($A23,Rezepte,MATCH(Kalkulation!U$5,Rezepte!$5:$5,0),0)),ISNUMBER(VLOOKUP(U$5,Materialpreise,3,0))),VLOOKUP(U$5,Materialpreise,3,0)*VLOOKUP($A23,Rezepte,MATCH(Kalkulation!U$5,Rezepte!$5:$5,0),0),"")</f>
        <v/>
      </c>
      <c r="V23" s="23" t="str">
        <f>IF(AND(ISNUMBER(VLOOKUP($A23,Rezepte,MATCH(Kalkulation!V$5,Rezepte!$5:$5,0),0)),ISNUMBER(VLOOKUP(V$5,Materialpreise,3,0))),VLOOKUP(V$5,Materialpreise,3,0)*VLOOKUP($A23,Rezepte,MATCH(Kalkulation!V$5,Rezepte!$5:$5,0),0),"")</f>
        <v/>
      </c>
      <c r="W23" s="23" t="str">
        <f>IF(AND(ISNUMBER(VLOOKUP($A23,Rezepte,MATCH(Kalkulation!W$5,Rezepte!$5:$5,0),0)),ISNUMBER(VLOOKUP(W$5,Materialpreise,3,0))),VLOOKUP(W$5,Materialpreise,3,0)*VLOOKUP($A23,Rezepte,MATCH(Kalkulation!W$5,Rezepte!$5:$5,0),0),"")</f>
        <v/>
      </c>
      <c r="X23" s="23" t="str">
        <f>IF(AND(ISNUMBER(VLOOKUP($A23,Rezepte,MATCH(Kalkulation!X$5,Rezepte!$5:$5,0),0)),ISNUMBER(VLOOKUP(X$5,Materialpreise,3,0))),VLOOKUP(X$5,Materialpreise,3,0)*VLOOKUP($A23,Rezepte,MATCH(Kalkulation!X$5,Rezepte!$5:$5,0),0),"")</f>
        <v/>
      </c>
      <c r="Y23" s="23" t="str">
        <f>IF(AND(ISNUMBER(VLOOKUP($A23,Rezepte,MATCH(Kalkulation!Y$5,Rezepte!$5:$5,0),0)),ISNUMBER(VLOOKUP(Y$5,Materialpreise,3,0))),VLOOKUP(Y$5,Materialpreise,3,0)*VLOOKUP($A23,Rezepte,MATCH(Kalkulation!Y$5,Rezepte!$5:$5,0),0),"")</f>
        <v/>
      </c>
      <c r="Z23" s="23" t="str">
        <f>IF(AND(ISNUMBER(VLOOKUP($A23,Rezepte,MATCH(Kalkulation!Z$5,Rezepte!$5:$5,0),0)),ISNUMBER(VLOOKUP(Z$5,Materialpreise,3,0))),VLOOKUP(Z$5,Materialpreise,3,0)*VLOOKUP($A23,Rezepte,MATCH(Kalkulation!Z$5,Rezepte!$5:$5,0),0),"")</f>
        <v/>
      </c>
      <c r="AA23" s="23" t="str">
        <f>IF(AND(ISNUMBER(VLOOKUP($A23,Rezepte,MATCH(Kalkulation!AA$5,Rezepte!$5:$5,0),0)),ISNUMBER(VLOOKUP(AA$5,Materialpreise,3,0))),VLOOKUP(AA$5,Materialpreise,3,0)*VLOOKUP($A23,Rezepte,MATCH(Kalkulation!AA$5,Rezepte!$5:$5,0),0),"")</f>
        <v/>
      </c>
      <c r="AB23" s="23" t="str">
        <f>IF(AND(ISNUMBER(VLOOKUP($A23,Rezepte,MATCH(Kalkulation!AB$5,Rezepte!$5:$5,0),0)),ISNUMBER(VLOOKUP(AB$5,Materialpreise,3,0))),VLOOKUP(AB$5,Materialpreise,3,0)*VLOOKUP($A23,Rezepte,MATCH(Kalkulation!AB$5,Rezepte!$5:$5,0),0),"")</f>
        <v/>
      </c>
      <c r="AC23" s="23" t="str">
        <f>IF(AND(ISNUMBER(VLOOKUP($A23,Rezepte,MATCH(Kalkulation!AC$5,Rezepte!$5:$5,0),0)),ISNUMBER(VLOOKUP(AC$5,Materialpreise,3,0))),VLOOKUP(AC$5,Materialpreise,3,0)*VLOOKUP($A23,Rezepte,MATCH(Kalkulation!AC$5,Rezepte!$5:$5,0),0),"")</f>
        <v/>
      </c>
      <c r="AD23" s="23" t="str">
        <f>IF(AND(ISNUMBER(VLOOKUP($A23,Rezepte,MATCH(Kalkulation!AD$5,Rezepte!$5:$5,0),0)),ISNUMBER(VLOOKUP(AD$5,Materialpreise,3,0))),VLOOKUP(AD$5,Materialpreise,3,0)*VLOOKUP($A23,Rezepte,MATCH(Kalkulation!AD$5,Rezepte!$5:$5,0),0),"")</f>
        <v/>
      </c>
      <c r="AE23" s="23" t="str">
        <f>IF(AND(ISNUMBER(VLOOKUP($A23,Rezepte,MATCH(Kalkulation!AE$5,Rezepte!$5:$5,0),0)),ISNUMBER(VLOOKUP(AE$5,Materialpreise,3,0))),VLOOKUP(AE$5,Materialpreise,3,0)*VLOOKUP($A23,Rezepte,MATCH(Kalkulation!AE$5,Rezepte!$5:$5,0),0),"")</f>
        <v/>
      </c>
      <c r="AF23" s="23" t="str">
        <f>IF(AND(ISNUMBER(VLOOKUP($A23,Rezepte,MATCH(Kalkulation!AF$5,Rezepte!$5:$5,0),0)),ISNUMBER(VLOOKUP(AF$5,Materialpreise,3,0))),VLOOKUP(AF$5,Materialpreise,3,0)*VLOOKUP($A23,Rezepte,MATCH(Kalkulation!AF$5,Rezepte!$5:$5,0),0),"")</f>
        <v/>
      </c>
      <c r="AG23" s="23" t="str">
        <f>IF(AND(ISNUMBER(VLOOKUP($A23,Rezepte,MATCH(Kalkulation!AG$5,Rezepte!$5:$5,0),0)),ISNUMBER(VLOOKUP(AG$5,Materialpreise,3,0))),VLOOKUP(AG$5,Materialpreise,3,0)*VLOOKUP($A23,Rezepte,MATCH(Kalkulation!AG$5,Rezepte!$5:$5,0),0),"")</f>
        <v/>
      </c>
      <c r="AH23" s="23" t="str">
        <f>IF(AND(ISNUMBER(VLOOKUP($A23,Rezepte,MATCH(Kalkulation!AH$5,Rezepte!$5:$5,0),0)),ISNUMBER(VLOOKUP(AH$5,Materialpreise,3,0))),VLOOKUP(AH$5,Materialpreise,3,0)*VLOOKUP($A23,Rezepte,MATCH(Kalkulation!AH$5,Rezepte!$5:$5,0),0),"")</f>
        <v/>
      </c>
      <c r="AI23" s="23" t="str">
        <f>IF(AND(ISNUMBER(VLOOKUP($A23,Rezepte,MATCH(Kalkulation!AI$5,Rezepte!$5:$5,0),0)),ISNUMBER(VLOOKUP(AI$5,Materialpreise,3,0))),VLOOKUP(AI$5,Materialpreise,3,0)*VLOOKUP($A23,Rezepte,MATCH(Kalkulation!AI$5,Rezepte!$5:$5,0),0),"")</f>
        <v/>
      </c>
      <c r="AJ23" s="23" t="str">
        <f>IF(AND(ISNUMBER(VLOOKUP($A23,Rezepte,MATCH(Kalkulation!AJ$5,Rezepte!$5:$5,0),0)),ISNUMBER(VLOOKUP(AJ$5,Materialpreise,3,0))),VLOOKUP(AJ$5,Materialpreise,3,0)*VLOOKUP($A23,Rezepte,MATCH(Kalkulation!AJ$5,Rezepte!$5:$5,0),0),"")</f>
        <v/>
      </c>
      <c r="AK23" s="23" t="str">
        <f>IF(AND(ISNUMBER(VLOOKUP($A23,Rezepte,MATCH(Kalkulation!AK$5,Rezepte!$5:$5,0),0)),ISNUMBER(VLOOKUP(AK$5,Materialpreise,3,0))),VLOOKUP(AK$5,Materialpreise,3,0)*VLOOKUP($A23,Rezepte,MATCH(Kalkulation!AK$5,Rezepte!$5:$5,0),0),"")</f>
        <v/>
      </c>
      <c r="AL23" s="23" t="str">
        <f>IF(AND(ISNUMBER(VLOOKUP($A23,Rezepte,MATCH(Kalkulation!AL$5,Rezepte!$5:$5,0),0)),ISNUMBER(VLOOKUP(AL$5,Materialpreise,3,0))),VLOOKUP(AL$5,Materialpreise,3,0)*VLOOKUP($A23,Rezepte,MATCH(Kalkulation!AL$5,Rezepte!$5:$5,0),0),"")</f>
        <v/>
      </c>
      <c r="AM23" s="23" t="str">
        <f>IF(AND(ISNUMBER(VLOOKUP($A23,Rezepte,MATCH(Kalkulation!AM$5,Rezepte!$5:$5,0),0)),ISNUMBER(VLOOKUP(AM$5,Materialpreise,3,0))),VLOOKUP(AM$5,Materialpreise,3,0)*VLOOKUP($A23,Rezepte,MATCH(Kalkulation!AM$5,Rezepte!$5:$5,0),0),"")</f>
        <v/>
      </c>
      <c r="AN23" s="23" t="str">
        <f>IF(AND(ISNUMBER(VLOOKUP($A23,Rezepte,MATCH(Kalkulation!AN$5,Rezepte!$5:$5,0),0)),ISNUMBER(VLOOKUP(AN$5,Materialpreise,3,0))),VLOOKUP(AN$5,Materialpreise,3,0)*VLOOKUP($A23,Rezepte,MATCH(Kalkulation!AN$5,Rezepte!$5:$5,0),0),"")</f>
        <v/>
      </c>
      <c r="AO23" s="23" t="str">
        <f>IF(AND(ISNUMBER(VLOOKUP($A23,Rezepte,MATCH(Kalkulation!AO$5,Rezepte!$5:$5,0),0)),ISNUMBER(VLOOKUP(AO$5,Materialpreise,3,0))),VLOOKUP(AO$5,Materialpreise,3,0)*VLOOKUP($A23,Rezepte,MATCH(Kalkulation!AO$5,Rezepte!$5:$5,0),0),"")</f>
        <v/>
      </c>
      <c r="AP23" s="23" t="str">
        <f>IF(AND(ISNUMBER(VLOOKUP($A23,Rezepte,MATCH(Kalkulation!AP$5,Rezepte!$5:$5,0),0)),ISNUMBER(VLOOKUP(AP$5,Materialpreise,3,0))),VLOOKUP(AP$5,Materialpreise,3,0)*VLOOKUP($A23,Rezepte,MATCH(Kalkulation!AP$5,Rezepte!$5:$5,0),0),"")</f>
        <v/>
      </c>
      <c r="AQ23" s="23" t="str">
        <f>IF(AND(ISNUMBER(VLOOKUP($A23,Rezepte,MATCH(Kalkulation!AQ$5,Rezepte!$5:$5,0),0)),ISNUMBER(VLOOKUP(AQ$5,Materialpreise,3,0))),VLOOKUP(AQ$5,Materialpreise,3,0)*VLOOKUP($A23,Rezepte,MATCH(Kalkulation!AQ$5,Rezepte!$5:$5,0),0),"")</f>
        <v/>
      </c>
      <c r="AR23" s="23" t="str">
        <f>IF(AND(ISNUMBER(VLOOKUP($A23,Rezepte,MATCH(Kalkulation!AR$5,Rezepte!$5:$5,0),0)),ISNUMBER(VLOOKUP(AR$5,Materialpreise,3,0))),VLOOKUP(AR$5,Materialpreise,3,0)*VLOOKUP($A23,Rezepte,MATCH(Kalkulation!AR$5,Rezepte!$5:$5,0),0),"")</f>
        <v/>
      </c>
      <c r="AS23" s="23" t="str">
        <f>IF(AND(ISNUMBER(VLOOKUP($A23,Rezepte,MATCH(Kalkulation!AS$5,Rezepte!$5:$5,0),0)),ISNUMBER(VLOOKUP(AS$5,Materialpreise,3,0))),VLOOKUP(AS$5,Materialpreise,3,0)*VLOOKUP($A23,Rezepte,MATCH(Kalkulation!AS$5,Rezepte!$5:$5,0),0),"")</f>
        <v/>
      </c>
      <c r="AT23" s="23" t="str">
        <f>IF(AND(ISNUMBER(VLOOKUP($A23,Rezepte,MATCH(Kalkulation!AT$5,Rezepte!$5:$5,0),0)),ISNUMBER(VLOOKUP(AT$5,Materialpreise,3,0))),VLOOKUP(AT$5,Materialpreise,3,0)*VLOOKUP($A23,Rezepte,MATCH(Kalkulation!AT$5,Rezepte!$5:$5,0),0),"")</f>
        <v/>
      </c>
      <c r="AU23" s="23" t="str">
        <f>IF(AND(ISNUMBER(VLOOKUP($A23,Rezepte,MATCH(Kalkulation!AU$5,Rezepte!$5:$5,0),0)),ISNUMBER(VLOOKUP(AU$5,Materialpreise,3,0))),VLOOKUP(AU$5,Materialpreise,3,0)*VLOOKUP($A23,Rezepte,MATCH(Kalkulation!AU$5,Rezepte!$5:$5,0),0),"")</f>
        <v/>
      </c>
      <c r="AV23" s="23" t="str">
        <f>IF(AND(ISNUMBER(VLOOKUP($A23,Rezepte,MATCH(Kalkulation!AV$5,Rezepte!$5:$5,0),0)),ISNUMBER(VLOOKUP(AV$5,Materialpreise,3,0))),VLOOKUP(AV$5,Materialpreise,3,0)*VLOOKUP($A23,Rezepte,MATCH(Kalkulation!AV$5,Rezepte!$5:$5,0),0),"")</f>
        <v/>
      </c>
      <c r="AW23" s="23" t="str">
        <f>IF(AND(ISNUMBER(VLOOKUP($A23,Rezepte,MATCH(Kalkulation!AW$5,Rezepte!$5:$5,0),0)),ISNUMBER(VLOOKUP(AW$5,Materialpreise,3,0))),VLOOKUP(AW$5,Materialpreise,3,0)*VLOOKUP($A23,Rezepte,MATCH(Kalkulation!AW$5,Rezepte!$5:$5,0),0),"")</f>
        <v/>
      </c>
      <c r="AX23" s="23" t="str">
        <f>IF(AND(ISNUMBER(VLOOKUP($A23,Rezepte,MATCH(Kalkulation!AX$5,Rezepte!$5:$5,0),0)),ISNUMBER(VLOOKUP(AX$5,Materialpreise,3,0))),VLOOKUP(AX$5,Materialpreise,3,0)*VLOOKUP($A23,Rezepte,MATCH(Kalkulation!AX$5,Rezepte!$5:$5,0),0),"")</f>
        <v/>
      </c>
      <c r="AY23" s="23" t="str">
        <f>IF(AND(ISNUMBER(VLOOKUP($A23,Rezepte,MATCH(Kalkulation!AY$5,Rezepte!$5:$5,0),0)),ISNUMBER(VLOOKUP(AY$5,Materialpreise,3,0))),VLOOKUP(AY$5,Materialpreise,3,0)*VLOOKUP($A23,Rezepte,MATCH(Kalkulation!AY$5,Rezepte!$5:$5,0),0),"")</f>
        <v/>
      </c>
      <c r="AZ23" s="23" t="str">
        <f>IF(AND(ISNUMBER(VLOOKUP($A23,Rezepte,MATCH(Kalkulation!AZ$5,Rezepte!$5:$5,0),0)),ISNUMBER(VLOOKUP(AZ$5,Materialpreise,3,0))),VLOOKUP(AZ$5,Materialpreise,3,0)*VLOOKUP($A23,Rezepte,MATCH(Kalkulation!AZ$5,Rezepte!$5:$5,0),0),"")</f>
        <v/>
      </c>
      <c r="BA23" s="23" t="str">
        <f>IF(AND(ISNUMBER(VLOOKUP($A23,Rezepte,MATCH(Kalkulation!BA$5,Rezepte!$5:$5,0),0)),ISNUMBER(VLOOKUP(BA$5,Materialpreise,3,0))),VLOOKUP(BA$5,Materialpreise,3,0)*VLOOKUP($A23,Rezepte,MATCH(Kalkulation!BA$5,Rezepte!$5:$5,0),0),"")</f>
        <v/>
      </c>
    </row>
    <row r="24" spans="1:53" x14ac:dyDescent="0.25">
      <c r="A24" t="str">
        <f t="array" ref="A24">IFERROR(INDEX(Rezepte!$A$6:$A$100,MATCH(1,(COUNTIF(A$6:A23,Rezepte!A$6:A$100)=0)*(Rezepte!A$6:A$100&lt;&gt;""),0)),"")</f>
        <v/>
      </c>
      <c r="B24" s="23" t="str">
        <f t="shared" si="0"/>
        <v/>
      </c>
      <c r="C24" s="23" t="str">
        <f t="shared" si="1"/>
        <v/>
      </c>
      <c r="D24" s="23" t="str">
        <f>IF(AND(ISNUMBER(VLOOKUP($A24,Rezepte,MATCH(Kalkulation!D$5,Rezepte!$5:$5,0),0)),ISNUMBER(VLOOKUP(D$5,Materialpreise,3,0))),VLOOKUP(D$5,Materialpreise,3,0)*VLOOKUP($A24,Rezepte,MATCH(Kalkulation!D$5,Rezepte!$5:$5,0),0),"")</f>
        <v/>
      </c>
      <c r="E24" s="23" t="str">
        <f>IF(AND(ISNUMBER(VLOOKUP($A24,Rezepte,MATCH(Kalkulation!E$5,Rezepte!$5:$5,0),0)),ISNUMBER(VLOOKUP(E$5,Materialpreise,3,0))),VLOOKUP(E$5,Materialpreise,3,0)*VLOOKUP($A24,Rezepte,MATCH(Kalkulation!E$5,Rezepte!$5:$5,0),0),"")</f>
        <v/>
      </c>
      <c r="F24" s="23" t="str">
        <f>IF(AND(ISNUMBER(VLOOKUP($A24,Rezepte,MATCH(Kalkulation!F$5,Rezepte!$5:$5,0),0)),ISNUMBER(VLOOKUP(F$5,Materialpreise,3,0))),VLOOKUP(F$5,Materialpreise,3,0)*VLOOKUP($A24,Rezepte,MATCH(Kalkulation!F$5,Rezepte!$5:$5,0),0),"")</f>
        <v/>
      </c>
      <c r="G24" s="23" t="str">
        <f>IF(AND(ISNUMBER(VLOOKUP($A24,Rezepte,MATCH(Kalkulation!G$5,Rezepte!$5:$5,0),0)),ISNUMBER(VLOOKUP(G$5,Materialpreise,3,0))),VLOOKUP(G$5,Materialpreise,3,0)*VLOOKUP($A24,Rezepte,MATCH(Kalkulation!G$5,Rezepte!$5:$5,0),0),"")</f>
        <v/>
      </c>
      <c r="H24" s="23" t="str">
        <f>IF(AND(ISNUMBER(VLOOKUP($A24,Rezepte,MATCH(Kalkulation!H$5,Rezepte!$5:$5,0),0)),ISNUMBER(VLOOKUP(H$5,Materialpreise,3,0))),VLOOKUP(H$5,Materialpreise,3,0)*VLOOKUP($A24,Rezepte,MATCH(Kalkulation!H$5,Rezepte!$5:$5,0),0),"")</f>
        <v/>
      </c>
      <c r="I24" s="23" t="str">
        <f>IF(AND(ISNUMBER(VLOOKUP($A24,Rezepte,MATCH(Kalkulation!I$5,Rezepte!$5:$5,0),0)),ISNUMBER(VLOOKUP(I$5,Materialpreise,3,0))),VLOOKUP(I$5,Materialpreise,3,0)*VLOOKUP($A24,Rezepte,MATCH(Kalkulation!I$5,Rezepte!$5:$5,0),0),"")</f>
        <v/>
      </c>
      <c r="J24" s="23" t="str">
        <f>IF(AND(ISNUMBER(VLOOKUP($A24,Rezepte,MATCH(Kalkulation!J$5,Rezepte!$5:$5,0),0)),ISNUMBER(VLOOKUP(J$5,Materialpreise,3,0))),VLOOKUP(J$5,Materialpreise,3,0)*VLOOKUP($A24,Rezepte,MATCH(Kalkulation!J$5,Rezepte!$5:$5,0),0),"")</f>
        <v/>
      </c>
      <c r="K24" s="23" t="str">
        <f>IF(AND(ISNUMBER(VLOOKUP($A24,Rezepte,MATCH(Kalkulation!K$5,Rezepte!$5:$5,0),0)),ISNUMBER(VLOOKUP(K$5,Materialpreise,3,0))),VLOOKUP(K$5,Materialpreise,3,0)*VLOOKUP($A24,Rezepte,MATCH(Kalkulation!K$5,Rezepte!$5:$5,0),0),"")</f>
        <v/>
      </c>
      <c r="L24" s="23" t="str">
        <f>IF(AND(ISNUMBER(VLOOKUP($A24,Rezepte,MATCH(Kalkulation!L$5,Rezepte!$5:$5,0),0)),ISNUMBER(VLOOKUP(L$5,Materialpreise,3,0))),VLOOKUP(L$5,Materialpreise,3,0)*VLOOKUP($A24,Rezepte,MATCH(Kalkulation!L$5,Rezepte!$5:$5,0),0),"")</f>
        <v/>
      </c>
      <c r="M24" s="23" t="str">
        <f>IF(AND(ISNUMBER(VLOOKUP($A24,Rezepte,MATCH(Kalkulation!M$5,Rezepte!$5:$5,0),0)),ISNUMBER(VLOOKUP(M$5,Materialpreise,3,0))),VLOOKUP(M$5,Materialpreise,3,0)*VLOOKUP($A24,Rezepte,MATCH(Kalkulation!M$5,Rezepte!$5:$5,0),0),"")</f>
        <v/>
      </c>
      <c r="N24" s="23" t="str">
        <f>IF(AND(ISNUMBER(VLOOKUP($A24,Rezepte,MATCH(Kalkulation!N$5,Rezepte!$5:$5,0),0)),ISNUMBER(VLOOKUP(N$5,Materialpreise,3,0))),VLOOKUP(N$5,Materialpreise,3,0)*VLOOKUP($A24,Rezepte,MATCH(Kalkulation!N$5,Rezepte!$5:$5,0),0),"")</f>
        <v/>
      </c>
      <c r="O24" s="23" t="str">
        <f>IF(AND(ISNUMBER(VLOOKUP($A24,Rezepte,MATCH(Kalkulation!O$5,Rezepte!$5:$5,0),0)),ISNUMBER(VLOOKUP(O$5,Materialpreise,3,0))),VLOOKUP(O$5,Materialpreise,3,0)*VLOOKUP($A24,Rezepte,MATCH(Kalkulation!O$5,Rezepte!$5:$5,0),0),"")</f>
        <v/>
      </c>
      <c r="P24" s="23" t="str">
        <f>IF(AND(ISNUMBER(VLOOKUP($A24,Rezepte,MATCH(Kalkulation!P$5,Rezepte!$5:$5,0),0)),ISNUMBER(VLOOKUP(P$5,Materialpreise,3,0))),VLOOKUP(P$5,Materialpreise,3,0)*VLOOKUP($A24,Rezepte,MATCH(Kalkulation!P$5,Rezepte!$5:$5,0),0),"")</f>
        <v/>
      </c>
      <c r="Q24" s="23" t="str">
        <f>IF(AND(ISNUMBER(VLOOKUP($A24,Rezepte,MATCH(Kalkulation!Q$5,Rezepte!$5:$5,0),0)),ISNUMBER(VLOOKUP(Q$5,Materialpreise,3,0))),VLOOKUP(Q$5,Materialpreise,3,0)*VLOOKUP($A24,Rezepte,MATCH(Kalkulation!Q$5,Rezepte!$5:$5,0),0),"")</f>
        <v/>
      </c>
      <c r="R24" s="23" t="str">
        <f>IF(AND(ISNUMBER(VLOOKUP($A24,Rezepte,MATCH(Kalkulation!R$5,Rezepte!$5:$5,0),0)),ISNUMBER(VLOOKUP(R$5,Materialpreise,3,0))),VLOOKUP(R$5,Materialpreise,3,0)*VLOOKUP($A24,Rezepte,MATCH(Kalkulation!R$5,Rezepte!$5:$5,0),0),"")</f>
        <v/>
      </c>
      <c r="S24" s="23" t="str">
        <f>IF(AND(ISNUMBER(VLOOKUP($A24,Rezepte,MATCH(Kalkulation!S$5,Rezepte!$5:$5,0),0)),ISNUMBER(VLOOKUP(S$5,Materialpreise,3,0))),VLOOKUP(S$5,Materialpreise,3,0)*VLOOKUP($A24,Rezepte,MATCH(Kalkulation!S$5,Rezepte!$5:$5,0),0),"")</f>
        <v/>
      </c>
      <c r="T24" s="23" t="str">
        <f>IF(AND(ISNUMBER(VLOOKUP($A24,Rezepte,MATCH(Kalkulation!T$5,Rezepte!$5:$5,0),0)),ISNUMBER(VLOOKUP(T$5,Materialpreise,3,0))),VLOOKUP(T$5,Materialpreise,3,0)*VLOOKUP($A24,Rezepte,MATCH(Kalkulation!T$5,Rezepte!$5:$5,0),0),"")</f>
        <v/>
      </c>
      <c r="U24" s="23" t="str">
        <f>IF(AND(ISNUMBER(VLOOKUP($A24,Rezepte,MATCH(Kalkulation!U$5,Rezepte!$5:$5,0),0)),ISNUMBER(VLOOKUP(U$5,Materialpreise,3,0))),VLOOKUP(U$5,Materialpreise,3,0)*VLOOKUP($A24,Rezepte,MATCH(Kalkulation!U$5,Rezepte!$5:$5,0),0),"")</f>
        <v/>
      </c>
      <c r="V24" s="23" t="str">
        <f>IF(AND(ISNUMBER(VLOOKUP($A24,Rezepte,MATCH(Kalkulation!V$5,Rezepte!$5:$5,0),0)),ISNUMBER(VLOOKUP(V$5,Materialpreise,3,0))),VLOOKUP(V$5,Materialpreise,3,0)*VLOOKUP($A24,Rezepte,MATCH(Kalkulation!V$5,Rezepte!$5:$5,0),0),"")</f>
        <v/>
      </c>
      <c r="W24" s="23" t="str">
        <f>IF(AND(ISNUMBER(VLOOKUP($A24,Rezepte,MATCH(Kalkulation!W$5,Rezepte!$5:$5,0),0)),ISNUMBER(VLOOKUP(W$5,Materialpreise,3,0))),VLOOKUP(W$5,Materialpreise,3,0)*VLOOKUP($A24,Rezepte,MATCH(Kalkulation!W$5,Rezepte!$5:$5,0),0),"")</f>
        <v/>
      </c>
      <c r="X24" s="23" t="str">
        <f>IF(AND(ISNUMBER(VLOOKUP($A24,Rezepte,MATCH(Kalkulation!X$5,Rezepte!$5:$5,0),0)),ISNUMBER(VLOOKUP(X$5,Materialpreise,3,0))),VLOOKUP(X$5,Materialpreise,3,0)*VLOOKUP($A24,Rezepte,MATCH(Kalkulation!X$5,Rezepte!$5:$5,0),0),"")</f>
        <v/>
      </c>
      <c r="Y24" s="23" t="str">
        <f>IF(AND(ISNUMBER(VLOOKUP($A24,Rezepte,MATCH(Kalkulation!Y$5,Rezepte!$5:$5,0),0)),ISNUMBER(VLOOKUP(Y$5,Materialpreise,3,0))),VLOOKUP(Y$5,Materialpreise,3,0)*VLOOKUP($A24,Rezepte,MATCH(Kalkulation!Y$5,Rezepte!$5:$5,0),0),"")</f>
        <v/>
      </c>
      <c r="Z24" s="23" t="str">
        <f>IF(AND(ISNUMBER(VLOOKUP($A24,Rezepte,MATCH(Kalkulation!Z$5,Rezepte!$5:$5,0),0)),ISNUMBER(VLOOKUP(Z$5,Materialpreise,3,0))),VLOOKUP(Z$5,Materialpreise,3,0)*VLOOKUP($A24,Rezepte,MATCH(Kalkulation!Z$5,Rezepte!$5:$5,0),0),"")</f>
        <v/>
      </c>
      <c r="AA24" s="23" t="str">
        <f>IF(AND(ISNUMBER(VLOOKUP($A24,Rezepte,MATCH(Kalkulation!AA$5,Rezepte!$5:$5,0),0)),ISNUMBER(VLOOKUP(AA$5,Materialpreise,3,0))),VLOOKUP(AA$5,Materialpreise,3,0)*VLOOKUP($A24,Rezepte,MATCH(Kalkulation!AA$5,Rezepte!$5:$5,0),0),"")</f>
        <v/>
      </c>
      <c r="AB24" s="23" t="str">
        <f>IF(AND(ISNUMBER(VLOOKUP($A24,Rezepte,MATCH(Kalkulation!AB$5,Rezepte!$5:$5,0),0)),ISNUMBER(VLOOKUP(AB$5,Materialpreise,3,0))),VLOOKUP(AB$5,Materialpreise,3,0)*VLOOKUP($A24,Rezepte,MATCH(Kalkulation!AB$5,Rezepte!$5:$5,0),0),"")</f>
        <v/>
      </c>
      <c r="AC24" s="23" t="str">
        <f>IF(AND(ISNUMBER(VLOOKUP($A24,Rezepte,MATCH(Kalkulation!AC$5,Rezepte!$5:$5,0),0)),ISNUMBER(VLOOKUP(AC$5,Materialpreise,3,0))),VLOOKUP(AC$5,Materialpreise,3,0)*VLOOKUP($A24,Rezepte,MATCH(Kalkulation!AC$5,Rezepte!$5:$5,0),0),"")</f>
        <v/>
      </c>
      <c r="AD24" s="23" t="str">
        <f>IF(AND(ISNUMBER(VLOOKUP($A24,Rezepte,MATCH(Kalkulation!AD$5,Rezepte!$5:$5,0),0)),ISNUMBER(VLOOKUP(AD$5,Materialpreise,3,0))),VLOOKUP(AD$5,Materialpreise,3,0)*VLOOKUP($A24,Rezepte,MATCH(Kalkulation!AD$5,Rezepte!$5:$5,0),0),"")</f>
        <v/>
      </c>
      <c r="AE24" s="23" t="str">
        <f>IF(AND(ISNUMBER(VLOOKUP($A24,Rezepte,MATCH(Kalkulation!AE$5,Rezepte!$5:$5,0),0)),ISNUMBER(VLOOKUP(AE$5,Materialpreise,3,0))),VLOOKUP(AE$5,Materialpreise,3,0)*VLOOKUP($A24,Rezepte,MATCH(Kalkulation!AE$5,Rezepte!$5:$5,0),0),"")</f>
        <v/>
      </c>
      <c r="AF24" s="23" t="str">
        <f>IF(AND(ISNUMBER(VLOOKUP($A24,Rezepte,MATCH(Kalkulation!AF$5,Rezepte!$5:$5,0),0)),ISNUMBER(VLOOKUP(AF$5,Materialpreise,3,0))),VLOOKUP(AF$5,Materialpreise,3,0)*VLOOKUP($A24,Rezepte,MATCH(Kalkulation!AF$5,Rezepte!$5:$5,0),0),"")</f>
        <v/>
      </c>
      <c r="AG24" s="23" t="str">
        <f>IF(AND(ISNUMBER(VLOOKUP($A24,Rezepte,MATCH(Kalkulation!AG$5,Rezepte!$5:$5,0),0)),ISNUMBER(VLOOKUP(AG$5,Materialpreise,3,0))),VLOOKUP(AG$5,Materialpreise,3,0)*VLOOKUP($A24,Rezepte,MATCH(Kalkulation!AG$5,Rezepte!$5:$5,0),0),"")</f>
        <v/>
      </c>
      <c r="AH24" s="23" t="str">
        <f>IF(AND(ISNUMBER(VLOOKUP($A24,Rezepte,MATCH(Kalkulation!AH$5,Rezepte!$5:$5,0),0)),ISNUMBER(VLOOKUP(AH$5,Materialpreise,3,0))),VLOOKUP(AH$5,Materialpreise,3,0)*VLOOKUP($A24,Rezepte,MATCH(Kalkulation!AH$5,Rezepte!$5:$5,0),0),"")</f>
        <v/>
      </c>
      <c r="AI24" s="23" t="str">
        <f>IF(AND(ISNUMBER(VLOOKUP($A24,Rezepte,MATCH(Kalkulation!AI$5,Rezepte!$5:$5,0),0)),ISNUMBER(VLOOKUP(AI$5,Materialpreise,3,0))),VLOOKUP(AI$5,Materialpreise,3,0)*VLOOKUP($A24,Rezepte,MATCH(Kalkulation!AI$5,Rezepte!$5:$5,0),0),"")</f>
        <v/>
      </c>
      <c r="AJ24" s="23" t="str">
        <f>IF(AND(ISNUMBER(VLOOKUP($A24,Rezepte,MATCH(Kalkulation!AJ$5,Rezepte!$5:$5,0),0)),ISNUMBER(VLOOKUP(AJ$5,Materialpreise,3,0))),VLOOKUP(AJ$5,Materialpreise,3,0)*VLOOKUP($A24,Rezepte,MATCH(Kalkulation!AJ$5,Rezepte!$5:$5,0),0),"")</f>
        <v/>
      </c>
      <c r="AK24" s="23" t="str">
        <f>IF(AND(ISNUMBER(VLOOKUP($A24,Rezepte,MATCH(Kalkulation!AK$5,Rezepte!$5:$5,0),0)),ISNUMBER(VLOOKUP(AK$5,Materialpreise,3,0))),VLOOKUP(AK$5,Materialpreise,3,0)*VLOOKUP($A24,Rezepte,MATCH(Kalkulation!AK$5,Rezepte!$5:$5,0),0),"")</f>
        <v/>
      </c>
      <c r="AL24" s="23" t="str">
        <f>IF(AND(ISNUMBER(VLOOKUP($A24,Rezepte,MATCH(Kalkulation!AL$5,Rezepte!$5:$5,0),0)),ISNUMBER(VLOOKUP(AL$5,Materialpreise,3,0))),VLOOKUP(AL$5,Materialpreise,3,0)*VLOOKUP($A24,Rezepte,MATCH(Kalkulation!AL$5,Rezepte!$5:$5,0),0),"")</f>
        <v/>
      </c>
      <c r="AM24" s="23" t="str">
        <f>IF(AND(ISNUMBER(VLOOKUP($A24,Rezepte,MATCH(Kalkulation!AM$5,Rezepte!$5:$5,0),0)),ISNUMBER(VLOOKUP(AM$5,Materialpreise,3,0))),VLOOKUP(AM$5,Materialpreise,3,0)*VLOOKUP($A24,Rezepte,MATCH(Kalkulation!AM$5,Rezepte!$5:$5,0),0),"")</f>
        <v/>
      </c>
      <c r="AN24" s="23" t="str">
        <f>IF(AND(ISNUMBER(VLOOKUP($A24,Rezepte,MATCH(Kalkulation!AN$5,Rezepte!$5:$5,0),0)),ISNUMBER(VLOOKUP(AN$5,Materialpreise,3,0))),VLOOKUP(AN$5,Materialpreise,3,0)*VLOOKUP($A24,Rezepte,MATCH(Kalkulation!AN$5,Rezepte!$5:$5,0),0),"")</f>
        <v/>
      </c>
      <c r="AO24" s="23" t="str">
        <f>IF(AND(ISNUMBER(VLOOKUP($A24,Rezepte,MATCH(Kalkulation!AO$5,Rezepte!$5:$5,0),0)),ISNUMBER(VLOOKUP(AO$5,Materialpreise,3,0))),VLOOKUP(AO$5,Materialpreise,3,0)*VLOOKUP($A24,Rezepte,MATCH(Kalkulation!AO$5,Rezepte!$5:$5,0),0),"")</f>
        <v/>
      </c>
      <c r="AP24" s="23" t="str">
        <f>IF(AND(ISNUMBER(VLOOKUP($A24,Rezepte,MATCH(Kalkulation!AP$5,Rezepte!$5:$5,0),0)),ISNUMBER(VLOOKUP(AP$5,Materialpreise,3,0))),VLOOKUP(AP$5,Materialpreise,3,0)*VLOOKUP($A24,Rezepte,MATCH(Kalkulation!AP$5,Rezepte!$5:$5,0),0),"")</f>
        <v/>
      </c>
      <c r="AQ24" s="23" t="str">
        <f>IF(AND(ISNUMBER(VLOOKUP($A24,Rezepte,MATCH(Kalkulation!AQ$5,Rezepte!$5:$5,0),0)),ISNUMBER(VLOOKUP(AQ$5,Materialpreise,3,0))),VLOOKUP(AQ$5,Materialpreise,3,0)*VLOOKUP($A24,Rezepte,MATCH(Kalkulation!AQ$5,Rezepte!$5:$5,0),0),"")</f>
        <v/>
      </c>
      <c r="AR24" s="23" t="str">
        <f>IF(AND(ISNUMBER(VLOOKUP($A24,Rezepte,MATCH(Kalkulation!AR$5,Rezepte!$5:$5,0),0)),ISNUMBER(VLOOKUP(AR$5,Materialpreise,3,0))),VLOOKUP(AR$5,Materialpreise,3,0)*VLOOKUP($A24,Rezepte,MATCH(Kalkulation!AR$5,Rezepte!$5:$5,0),0),"")</f>
        <v/>
      </c>
      <c r="AS24" s="23" t="str">
        <f>IF(AND(ISNUMBER(VLOOKUP($A24,Rezepte,MATCH(Kalkulation!AS$5,Rezepte!$5:$5,0),0)),ISNUMBER(VLOOKUP(AS$5,Materialpreise,3,0))),VLOOKUP(AS$5,Materialpreise,3,0)*VLOOKUP($A24,Rezepte,MATCH(Kalkulation!AS$5,Rezepte!$5:$5,0),0),"")</f>
        <v/>
      </c>
      <c r="AT24" s="23" t="str">
        <f>IF(AND(ISNUMBER(VLOOKUP($A24,Rezepte,MATCH(Kalkulation!AT$5,Rezepte!$5:$5,0),0)),ISNUMBER(VLOOKUP(AT$5,Materialpreise,3,0))),VLOOKUP(AT$5,Materialpreise,3,0)*VLOOKUP($A24,Rezepte,MATCH(Kalkulation!AT$5,Rezepte!$5:$5,0),0),"")</f>
        <v/>
      </c>
      <c r="AU24" s="23" t="str">
        <f>IF(AND(ISNUMBER(VLOOKUP($A24,Rezepte,MATCH(Kalkulation!AU$5,Rezepte!$5:$5,0),0)),ISNUMBER(VLOOKUP(AU$5,Materialpreise,3,0))),VLOOKUP(AU$5,Materialpreise,3,0)*VLOOKUP($A24,Rezepte,MATCH(Kalkulation!AU$5,Rezepte!$5:$5,0),0),"")</f>
        <v/>
      </c>
      <c r="AV24" s="23" t="str">
        <f>IF(AND(ISNUMBER(VLOOKUP($A24,Rezepte,MATCH(Kalkulation!AV$5,Rezepte!$5:$5,0),0)),ISNUMBER(VLOOKUP(AV$5,Materialpreise,3,0))),VLOOKUP(AV$5,Materialpreise,3,0)*VLOOKUP($A24,Rezepte,MATCH(Kalkulation!AV$5,Rezepte!$5:$5,0),0),"")</f>
        <v/>
      </c>
      <c r="AW24" s="23" t="str">
        <f>IF(AND(ISNUMBER(VLOOKUP($A24,Rezepte,MATCH(Kalkulation!AW$5,Rezepte!$5:$5,0),0)),ISNUMBER(VLOOKUP(AW$5,Materialpreise,3,0))),VLOOKUP(AW$5,Materialpreise,3,0)*VLOOKUP($A24,Rezepte,MATCH(Kalkulation!AW$5,Rezepte!$5:$5,0),0),"")</f>
        <v/>
      </c>
      <c r="AX24" s="23" t="str">
        <f>IF(AND(ISNUMBER(VLOOKUP($A24,Rezepte,MATCH(Kalkulation!AX$5,Rezepte!$5:$5,0),0)),ISNUMBER(VLOOKUP(AX$5,Materialpreise,3,0))),VLOOKUP(AX$5,Materialpreise,3,0)*VLOOKUP($A24,Rezepte,MATCH(Kalkulation!AX$5,Rezepte!$5:$5,0),0),"")</f>
        <v/>
      </c>
      <c r="AY24" s="23" t="str">
        <f>IF(AND(ISNUMBER(VLOOKUP($A24,Rezepte,MATCH(Kalkulation!AY$5,Rezepte!$5:$5,0),0)),ISNUMBER(VLOOKUP(AY$5,Materialpreise,3,0))),VLOOKUP(AY$5,Materialpreise,3,0)*VLOOKUP($A24,Rezepte,MATCH(Kalkulation!AY$5,Rezepte!$5:$5,0),0),"")</f>
        <v/>
      </c>
      <c r="AZ24" s="23" t="str">
        <f>IF(AND(ISNUMBER(VLOOKUP($A24,Rezepte,MATCH(Kalkulation!AZ$5,Rezepte!$5:$5,0),0)),ISNUMBER(VLOOKUP(AZ$5,Materialpreise,3,0))),VLOOKUP(AZ$5,Materialpreise,3,0)*VLOOKUP($A24,Rezepte,MATCH(Kalkulation!AZ$5,Rezepte!$5:$5,0),0),"")</f>
        <v/>
      </c>
      <c r="BA24" s="23" t="str">
        <f>IF(AND(ISNUMBER(VLOOKUP($A24,Rezepte,MATCH(Kalkulation!BA$5,Rezepte!$5:$5,0),0)),ISNUMBER(VLOOKUP(BA$5,Materialpreise,3,0))),VLOOKUP(BA$5,Materialpreise,3,0)*VLOOKUP($A24,Rezepte,MATCH(Kalkulation!BA$5,Rezepte!$5:$5,0),0),"")</f>
        <v/>
      </c>
    </row>
    <row r="25" spans="1:53" x14ac:dyDescent="0.25">
      <c r="A25" t="str">
        <f t="array" ref="A25">IFERROR(INDEX(Rezepte!$A$6:$A$100,MATCH(1,(COUNTIF(A$6:A24,Rezepte!A$6:A$100)=0)*(Rezepte!A$6:A$100&lt;&gt;""),0)),"")</f>
        <v/>
      </c>
      <c r="B25" s="23" t="str">
        <f t="shared" si="0"/>
        <v/>
      </c>
      <c r="C25" s="23" t="str">
        <f t="shared" si="1"/>
        <v/>
      </c>
      <c r="D25" s="23" t="str">
        <f>IF(AND(ISNUMBER(VLOOKUP($A25,Rezepte,MATCH(Kalkulation!D$5,Rezepte!$5:$5,0),0)),ISNUMBER(VLOOKUP(D$5,Materialpreise,3,0))),VLOOKUP(D$5,Materialpreise,3,0)*VLOOKUP($A25,Rezepte,MATCH(Kalkulation!D$5,Rezepte!$5:$5,0),0),"")</f>
        <v/>
      </c>
      <c r="E25" s="23" t="str">
        <f>IF(AND(ISNUMBER(VLOOKUP($A25,Rezepte,MATCH(Kalkulation!E$5,Rezepte!$5:$5,0),0)),ISNUMBER(VLOOKUP(E$5,Materialpreise,3,0))),VLOOKUP(E$5,Materialpreise,3,0)*VLOOKUP($A25,Rezepte,MATCH(Kalkulation!E$5,Rezepte!$5:$5,0),0),"")</f>
        <v/>
      </c>
      <c r="F25" s="23" t="str">
        <f>IF(AND(ISNUMBER(VLOOKUP($A25,Rezepte,MATCH(Kalkulation!F$5,Rezepte!$5:$5,0),0)),ISNUMBER(VLOOKUP(F$5,Materialpreise,3,0))),VLOOKUP(F$5,Materialpreise,3,0)*VLOOKUP($A25,Rezepte,MATCH(Kalkulation!F$5,Rezepte!$5:$5,0),0),"")</f>
        <v/>
      </c>
      <c r="G25" s="23" t="str">
        <f>IF(AND(ISNUMBER(VLOOKUP($A25,Rezepte,MATCH(Kalkulation!G$5,Rezepte!$5:$5,0),0)),ISNUMBER(VLOOKUP(G$5,Materialpreise,3,0))),VLOOKUP(G$5,Materialpreise,3,0)*VLOOKUP($A25,Rezepte,MATCH(Kalkulation!G$5,Rezepte!$5:$5,0),0),"")</f>
        <v/>
      </c>
      <c r="H25" s="23" t="str">
        <f>IF(AND(ISNUMBER(VLOOKUP($A25,Rezepte,MATCH(Kalkulation!H$5,Rezepte!$5:$5,0),0)),ISNUMBER(VLOOKUP(H$5,Materialpreise,3,0))),VLOOKUP(H$5,Materialpreise,3,0)*VLOOKUP($A25,Rezepte,MATCH(Kalkulation!H$5,Rezepte!$5:$5,0),0),"")</f>
        <v/>
      </c>
      <c r="I25" s="23" t="str">
        <f>IF(AND(ISNUMBER(VLOOKUP($A25,Rezepte,MATCH(Kalkulation!I$5,Rezepte!$5:$5,0),0)),ISNUMBER(VLOOKUP(I$5,Materialpreise,3,0))),VLOOKUP(I$5,Materialpreise,3,0)*VLOOKUP($A25,Rezepte,MATCH(Kalkulation!I$5,Rezepte!$5:$5,0),0),"")</f>
        <v/>
      </c>
      <c r="J25" s="23" t="str">
        <f>IF(AND(ISNUMBER(VLOOKUP($A25,Rezepte,MATCH(Kalkulation!J$5,Rezepte!$5:$5,0),0)),ISNUMBER(VLOOKUP(J$5,Materialpreise,3,0))),VLOOKUP(J$5,Materialpreise,3,0)*VLOOKUP($A25,Rezepte,MATCH(Kalkulation!J$5,Rezepte!$5:$5,0),0),"")</f>
        <v/>
      </c>
      <c r="K25" s="23" t="str">
        <f>IF(AND(ISNUMBER(VLOOKUP($A25,Rezepte,MATCH(Kalkulation!K$5,Rezepte!$5:$5,0),0)),ISNUMBER(VLOOKUP(K$5,Materialpreise,3,0))),VLOOKUP(K$5,Materialpreise,3,0)*VLOOKUP($A25,Rezepte,MATCH(Kalkulation!K$5,Rezepte!$5:$5,0),0),"")</f>
        <v/>
      </c>
      <c r="L25" s="23" t="str">
        <f>IF(AND(ISNUMBER(VLOOKUP($A25,Rezepte,MATCH(Kalkulation!L$5,Rezepte!$5:$5,0),0)),ISNUMBER(VLOOKUP(L$5,Materialpreise,3,0))),VLOOKUP(L$5,Materialpreise,3,0)*VLOOKUP($A25,Rezepte,MATCH(Kalkulation!L$5,Rezepte!$5:$5,0),0),"")</f>
        <v/>
      </c>
      <c r="M25" s="23" t="str">
        <f>IF(AND(ISNUMBER(VLOOKUP($A25,Rezepte,MATCH(Kalkulation!M$5,Rezepte!$5:$5,0),0)),ISNUMBER(VLOOKUP(M$5,Materialpreise,3,0))),VLOOKUP(M$5,Materialpreise,3,0)*VLOOKUP($A25,Rezepte,MATCH(Kalkulation!M$5,Rezepte!$5:$5,0),0),"")</f>
        <v/>
      </c>
      <c r="N25" s="23" t="str">
        <f>IF(AND(ISNUMBER(VLOOKUP($A25,Rezepte,MATCH(Kalkulation!N$5,Rezepte!$5:$5,0),0)),ISNUMBER(VLOOKUP(N$5,Materialpreise,3,0))),VLOOKUP(N$5,Materialpreise,3,0)*VLOOKUP($A25,Rezepte,MATCH(Kalkulation!N$5,Rezepte!$5:$5,0),0),"")</f>
        <v/>
      </c>
      <c r="O25" s="23" t="str">
        <f>IF(AND(ISNUMBER(VLOOKUP($A25,Rezepte,MATCH(Kalkulation!O$5,Rezepte!$5:$5,0),0)),ISNUMBER(VLOOKUP(O$5,Materialpreise,3,0))),VLOOKUP(O$5,Materialpreise,3,0)*VLOOKUP($A25,Rezepte,MATCH(Kalkulation!O$5,Rezepte!$5:$5,0),0),"")</f>
        <v/>
      </c>
      <c r="P25" s="23" t="str">
        <f>IF(AND(ISNUMBER(VLOOKUP($A25,Rezepte,MATCH(Kalkulation!P$5,Rezepte!$5:$5,0),0)),ISNUMBER(VLOOKUP(P$5,Materialpreise,3,0))),VLOOKUP(P$5,Materialpreise,3,0)*VLOOKUP($A25,Rezepte,MATCH(Kalkulation!P$5,Rezepte!$5:$5,0),0),"")</f>
        <v/>
      </c>
      <c r="Q25" s="23" t="str">
        <f>IF(AND(ISNUMBER(VLOOKUP($A25,Rezepte,MATCH(Kalkulation!Q$5,Rezepte!$5:$5,0),0)),ISNUMBER(VLOOKUP(Q$5,Materialpreise,3,0))),VLOOKUP(Q$5,Materialpreise,3,0)*VLOOKUP($A25,Rezepte,MATCH(Kalkulation!Q$5,Rezepte!$5:$5,0),0),"")</f>
        <v/>
      </c>
      <c r="R25" s="23" t="str">
        <f>IF(AND(ISNUMBER(VLOOKUP($A25,Rezepte,MATCH(Kalkulation!R$5,Rezepte!$5:$5,0),0)),ISNUMBER(VLOOKUP(R$5,Materialpreise,3,0))),VLOOKUP(R$5,Materialpreise,3,0)*VLOOKUP($A25,Rezepte,MATCH(Kalkulation!R$5,Rezepte!$5:$5,0),0),"")</f>
        <v/>
      </c>
      <c r="S25" s="23" t="str">
        <f>IF(AND(ISNUMBER(VLOOKUP($A25,Rezepte,MATCH(Kalkulation!S$5,Rezepte!$5:$5,0),0)),ISNUMBER(VLOOKUP(S$5,Materialpreise,3,0))),VLOOKUP(S$5,Materialpreise,3,0)*VLOOKUP($A25,Rezepte,MATCH(Kalkulation!S$5,Rezepte!$5:$5,0),0),"")</f>
        <v/>
      </c>
      <c r="T25" s="23" t="str">
        <f>IF(AND(ISNUMBER(VLOOKUP($A25,Rezepte,MATCH(Kalkulation!T$5,Rezepte!$5:$5,0),0)),ISNUMBER(VLOOKUP(T$5,Materialpreise,3,0))),VLOOKUP(T$5,Materialpreise,3,0)*VLOOKUP($A25,Rezepte,MATCH(Kalkulation!T$5,Rezepte!$5:$5,0),0),"")</f>
        <v/>
      </c>
      <c r="U25" s="23" t="str">
        <f>IF(AND(ISNUMBER(VLOOKUP($A25,Rezepte,MATCH(Kalkulation!U$5,Rezepte!$5:$5,0),0)),ISNUMBER(VLOOKUP(U$5,Materialpreise,3,0))),VLOOKUP(U$5,Materialpreise,3,0)*VLOOKUP($A25,Rezepte,MATCH(Kalkulation!U$5,Rezepte!$5:$5,0),0),"")</f>
        <v/>
      </c>
      <c r="V25" s="23" t="str">
        <f>IF(AND(ISNUMBER(VLOOKUP($A25,Rezepte,MATCH(Kalkulation!V$5,Rezepte!$5:$5,0),0)),ISNUMBER(VLOOKUP(V$5,Materialpreise,3,0))),VLOOKUP(V$5,Materialpreise,3,0)*VLOOKUP($A25,Rezepte,MATCH(Kalkulation!V$5,Rezepte!$5:$5,0),0),"")</f>
        <v/>
      </c>
      <c r="W25" s="23" t="str">
        <f>IF(AND(ISNUMBER(VLOOKUP($A25,Rezepte,MATCH(Kalkulation!W$5,Rezepte!$5:$5,0),0)),ISNUMBER(VLOOKUP(W$5,Materialpreise,3,0))),VLOOKUP(W$5,Materialpreise,3,0)*VLOOKUP($A25,Rezepte,MATCH(Kalkulation!W$5,Rezepte!$5:$5,0),0),"")</f>
        <v/>
      </c>
      <c r="X25" s="23" t="str">
        <f>IF(AND(ISNUMBER(VLOOKUP($A25,Rezepte,MATCH(Kalkulation!X$5,Rezepte!$5:$5,0),0)),ISNUMBER(VLOOKUP(X$5,Materialpreise,3,0))),VLOOKUP(X$5,Materialpreise,3,0)*VLOOKUP($A25,Rezepte,MATCH(Kalkulation!X$5,Rezepte!$5:$5,0),0),"")</f>
        <v/>
      </c>
      <c r="Y25" s="23" t="str">
        <f>IF(AND(ISNUMBER(VLOOKUP($A25,Rezepte,MATCH(Kalkulation!Y$5,Rezepte!$5:$5,0),0)),ISNUMBER(VLOOKUP(Y$5,Materialpreise,3,0))),VLOOKUP(Y$5,Materialpreise,3,0)*VLOOKUP($A25,Rezepte,MATCH(Kalkulation!Y$5,Rezepte!$5:$5,0),0),"")</f>
        <v/>
      </c>
      <c r="Z25" s="23" t="str">
        <f>IF(AND(ISNUMBER(VLOOKUP($A25,Rezepte,MATCH(Kalkulation!Z$5,Rezepte!$5:$5,0),0)),ISNUMBER(VLOOKUP(Z$5,Materialpreise,3,0))),VLOOKUP(Z$5,Materialpreise,3,0)*VLOOKUP($A25,Rezepte,MATCH(Kalkulation!Z$5,Rezepte!$5:$5,0),0),"")</f>
        <v/>
      </c>
      <c r="AA25" s="23" t="str">
        <f>IF(AND(ISNUMBER(VLOOKUP($A25,Rezepte,MATCH(Kalkulation!AA$5,Rezepte!$5:$5,0),0)),ISNUMBER(VLOOKUP(AA$5,Materialpreise,3,0))),VLOOKUP(AA$5,Materialpreise,3,0)*VLOOKUP($A25,Rezepte,MATCH(Kalkulation!AA$5,Rezepte!$5:$5,0),0),"")</f>
        <v/>
      </c>
      <c r="AB25" s="23" t="str">
        <f>IF(AND(ISNUMBER(VLOOKUP($A25,Rezepte,MATCH(Kalkulation!AB$5,Rezepte!$5:$5,0),0)),ISNUMBER(VLOOKUP(AB$5,Materialpreise,3,0))),VLOOKUP(AB$5,Materialpreise,3,0)*VLOOKUP($A25,Rezepte,MATCH(Kalkulation!AB$5,Rezepte!$5:$5,0),0),"")</f>
        <v/>
      </c>
      <c r="AC25" s="23" t="str">
        <f>IF(AND(ISNUMBER(VLOOKUP($A25,Rezepte,MATCH(Kalkulation!AC$5,Rezepte!$5:$5,0),0)),ISNUMBER(VLOOKUP(AC$5,Materialpreise,3,0))),VLOOKUP(AC$5,Materialpreise,3,0)*VLOOKUP($A25,Rezepte,MATCH(Kalkulation!AC$5,Rezepte!$5:$5,0),0),"")</f>
        <v/>
      </c>
      <c r="AD25" s="23" t="str">
        <f>IF(AND(ISNUMBER(VLOOKUP($A25,Rezepte,MATCH(Kalkulation!AD$5,Rezepte!$5:$5,0),0)),ISNUMBER(VLOOKUP(AD$5,Materialpreise,3,0))),VLOOKUP(AD$5,Materialpreise,3,0)*VLOOKUP($A25,Rezepte,MATCH(Kalkulation!AD$5,Rezepte!$5:$5,0),0),"")</f>
        <v/>
      </c>
      <c r="AE25" s="23" t="str">
        <f>IF(AND(ISNUMBER(VLOOKUP($A25,Rezepte,MATCH(Kalkulation!AE$5,Rezepte!$5:$5,0),0)),ISNUMBER(VLOOKUP(AE$5,Materialpreise,3,0))),VLOOKUP(AE$5,Materialpreise,3,0)*VLOOKUP($A25,Rezepte,MATCH(Kalkulation!AE$5,Rezepte!$5:$5,0),0),"")</f>
        <v/>
      </c>
      <c r="AF25" s="23" t="str">
        <f>IF(AND(ISNUMBER(VLOOKUP($A25,Rezepte,MATCH(Kalkulation!AF$5,Rezepte!$5:$5,0),0)),ISNUMBER(VLOOKUP(AF$5,Materialpreise,3,0))),VLOOKUP(AF$5,Materialpreise,3,0)*VLOOKUP($A25,Rezepte,MATCH(Kalkulation!AF$5,Rezepte!$5:$5,0),0),"")</f>
        <v/>
      </c>
      <c r="AG25" s="23" t="str">
        <f>IF(AND(ISNUMBER(VLOOKUP($A25,Rezepte,MATCH(Kalkulation!AG$5,Rezepte!$5:$5,0),0)),ISNUMBER(VLOOKUP(AG$5,Materialpreise,3,0))),VLOOKUP(AG$5,Materialpreise,3,0)*VLOOKUP($A25,Rezepte,MATCH(Kalkulation!AG$5,Rezepte!$5:$5,0),0),"")</f>
        <v/>
      </c>
      <c r="AH25" s="23" t="str">
        <f>IF(AND(ISNUMBER(VLOOKUP($A25,Rezepte,MATCH(Kalkulation!AH$5,Rezepte!$5:$5,0),0)),ISNUMBER(VLOOKUP(AH$5,Materialpreise,3,0))),VLOOKUP(AH$5,Materialpreise,3,0)*VLOOKUP($A25,Rezepte,MATCH(Kalkulation!AH$5,Rezepte!$5:$5,0),0),"")</f>
        <v/>
      </c>
      <c r="AI25" s="23" t="str">
        <f>IF(AND(ISNUMBER(VLOOKUP($A25,Rezepte,MATCH(Kalkulation!AI$5,Rezepte!$5:$5,0),0)),ISNUMBER(VLOOKUP(AI$5,Materialpreise,3,0))),VLOOKUP(AI$5,Materialpreise,3,0)*VLOOKUP($A25,Rezepte,MATCH(Kalkulation!AI$5,Rezepte!$5:$5,0),0),"")</f>
        <v/>
      </c>
      <c r="AJ25" s="23" t="str">
        <f>IF(AND(ISNUMBER(VLOOKUP($A25,Rezepte,MATCH(Kalkulation!AJ$5,Rezepte!$5:$5,0),0)),ISNUMBER(VLOOKUP(AJ$5,Materialpreise,3,0))),VLOOKUP(AJ$5,Materialpreise,3,0)*VLOOKUP($A25,Rezepte,MATCH(Kalkulation!AJ$5,Rezepte!$5:$5,0),0),"")</f>
        <v/>
      </c>
      <c r="AK25" s="23" t="str">
        <f>IF(AND(ISNUMBER(VLOOKUP($A25,Rezepte,MATCH(Kalkulation!AK$5,Rezepte!$5:$5,0),0)),ISNUMBER(VLOOKUP(AK$5,Materialpreise,3,0))),VLOOKUP(AK$5,Materialpreise,3,0)*VLOOKUP($A25,Rezepte,MATCH(Kalkulation!AK$5,Rezepte!$5:$5,0),0),"")</f>
        <v/>
      </c>
      <c r="AL25" s="23" t="str">
        <f>IF(AND(ISNUMBER(VLOOKUP($A25,Rezepte,MATCH(Kalkulation!AL$5,Rezepte!$5:$5,0),0)),ISNUMBER(VLOOKUP(AL$5,Materialpreise,3,0))),VLOOKUP(AL$5,Materialpreise,3,0)*VLOOKUP($A25,Rezepte,MATCH(Kalkulation!AL$5,Rezepte!$5:$5,0),0),"")</f>
        <v/>
      </c>
      <c r="AM25" s="23" t="str">
        <f>IF(AND(ISNUMBER(VLOOKUP($A25,Rezepte,MATCH(Kalkulation!AM$5,Rezepte!$5:$5,0),0)),ISNUMBER(VLOOKUP(AM$5,Materialpreise,3,0))),VLOOKUP(AM$5,Materialpreise,3,0)*VLOOKUP($A25,Rezepte,MATCH(Kalkulation!AM$5,Rezepte!$5:$5,0),0),"")</f>
        <v/>
      </c>
      <c r="AN25" s="23" t="str">
        <f>IF(AND(ISNUMBER(VLOOKUP($A25,Rezepte,MATCH(Kalkulation!AN$5,Rezepte!$5:$5,0),0)),ISNUMBER(VLOOKUP(AN$5,Materialpreise,3,0))),VLOOKUP(AN$5,Materialpreise,3,0)*VLOOKUP($A25,Rezepte,MATCH(Kalkulation!AN$5,Rezepte!$5:$5,0),0),"")</f>
        <v/>
      </c>
      <c r="AO25" s="23" t="str">
        <f>IF(AND(ISNUMBER(VLOOKUP($A25,Rezepte,MATCH(Kalkulation!AO$5,Rezepte!$5:$5,0),0)),ISNUMBER(VLOOKUP(AO$5,Materialpreise,3,0))),VLOOKUP(AO$5,Materialpreise,3,0)*VLOOKUP($A25,Rezepte,MATCH(Kalkulation!AO$5,Rezepte!$5:$5,0),0),"")</f>
        <v/>
      </c>
      <c r="AP25" s="23" t="str">
        <f>IF(AND(ISNUMBER(VLOOKUP($A25,Rezepte,MATCH(Kalkulation!AP$5,Rezepte!$5:$5,0),0)),ISNUMBER(VLOOKUP(AP$5,Materialpreise,3,0))),VLOOKUP(AP$5,Materialpreise,3,0)*VLOOKUP($A25,Rezepte,MATCH(Kalkulation!AP$5,Rezepte!$5:$5,0),0),"")</f>
        <v/>
      </c>
      <c r="AQ25" s="23" t="str">
        <f>IF(AND(ISNUMBER(VLOOKUP($A25,Rezepte,MATCH(Kalkulation!AQ$5,Rezepte!$5:$5,0),0)),ISNUMBER(VLOOKUP(AQ$5,Materialpreise,3,0))),VLOOKUP(AQ$5,Materialpreise,3,0)*VLOOKUP($A25,Rezepte,MATCH(Kalkulation!AQ$5,Rezepte!$5:$5,0),0),"")</f>
        <v/>
      </c>
      <c r="AR25" s="23" t="str">
        <f>IF(AND(ISNUMBER(VLOOKUP($A25,Rezepte,MATCH(Kalkulation!AR$5,Rezepte!$5:$5,0),0)),ISNUMBER(VLOOKUP(AR$5,Materialpreise,3,0))),VLOOKUP(AR$5,Materialpreise,3,0)*VLOOKUP($A25,Rezepte,MATCH(Kalkulation!AR$5,Rezepte!$5:$5,0),0),"")</f>
        <v/>
      </c>
      <c r="AS25" s="23" t="str">
        <f>IF(AND(ISNUMBER(VLOOKUP($A25,Rezepte,MATCH(Kalkulation!AS$5,Rezepte!$5:$5,0),0)),ISNUMBER(VLOOKUP(AS$5,Materialpreise,3,0))),VLOOKUP(AS$5,Materialpreise,3,0)*VLOOKUP($A25,Rezepte,MATCH(Kalkulation!AS$5,Rezepte!$5:$5,0),0),"")</f>
        <v/>
      </c>
      <c r="AT25" s="23" t="str">
        <f>IF(AND(ISNUMBER(VLOOKUP($A25,Rezepte,MATCH(Kalkulation!AT$5,Rezepte!$5:$5,0),0)),ISNUMBER(VLOOKUP(AT$5,Materialpreise,3,0))),VLOOKUP(AT$5,Materialpreise,3,0)*VLOOKUP($A25,Rezepte,MATCH(Kalkulation!AT$5,Rezepte!$5:$5,0),0),"")</f>
        <v/>
      </c>
      <c r="AU25" s="23" t="str">
        <f>IF(AND(ISNUMBER(VLOOKUP($A25,Rezepte,MATCH(Kalkulation!AU$5,Rezepte!$5:$5,0),0)),ISNUMBER(VLOOKUP(AU$5,Materialpreise,3,0))),VLOOKUP(AU$5,Materialpreise,3,0)*VLOOKUP($A25,Rezepte,MATCH(Kalkulation!AU$5,Rezepte!$5:$5,0),0),"")</f>
        <v/>
      </c>
      <c r="AV25" s="23" t="str">
        <f>IF(AND(ISNUMBER(VLOOKUP($A25,Rezepte,MATCH(Kalkulation!AV$5,Rezepte!$5:$5,0),0)),ISNUMBER(VLOOKUP(AV$5,Materialpreise,3,0))),VLOOKUP(AV$5,Materialpreise,3,0)*VLOOKUP($A25,Rezepte,MATCH(Kalkulation!AV$5,Rezepte!$5:$5,0),0),"")</f>
        <v/>
      </c>
      <c r="AW25" s="23" t="str">
        <f>IF(AND(ISNUMBER(VLOOKUP($A25,Rezepte,MATCH(Kalkulation!AW$5,Rezepte!$5:$5,0),0)),ISNUMBER(VLOOKUP(AW$5,Materialpreise,3,0))),VLOOKUP(AW$5,Materialpreise,3,0)*VLOOKUP($A25,Rezepte,MATCH(Kalkulation!AW$5,Rezepte!$5:$5,0),0),"")</f>
        <v/>
      </c>
      <c r="AX25" s="23" t="str">
        <f>IF(AND(ISNUMBER(VLOOKUP($A25,Rezepte,MATCH(Kalkulation!AX$5,Rezepte!$5:$5,0),0)),ISNUMBER(VLOOKUP(AX$5,Materialpreise,3,0))),VLOOKUP(AX$5,Materialpreise,3,0)*VLOOKUP($A25,Rezepte,MATCH(Kalkulation!AX$5,Rezepte!$5:$5,0),0),"")</f>
        <v/>
      </c>
      <c r="AY25" s="23" t="str">
        <f>IF(AND(ISNUMBER(VLOOKUP($A25,Rezepte,MATCH(Kalkulation!AY$5,Rezepte!$5:$5,0),0)),ISNUMBER(VLOOKUP(AY$5,Materialpreise,3,0))),VLOOKUP(AY$5,Materialpreise,3,0)*VLOOKUP($A25,Rezepte,MATCH(Kalkulation!AY$5,Rezepte!$5:$5,0),0),"")</f>
        <v/>
      </c>
      <c r="AZ25" s="23" t="str">
        <f>IF(AND(ISNUMBER(VLOOKUP($A25,Rezepte,MATCH(Kalkulation!AZ$5,Rezepte!$5:$5,0),0)),ISNUMBER(VLOOKUP(AZ$5,Materialpreise,3,0))),VLOOKUP(AZ$5,Materialpreise,3,0)*VLOOKUP($A25,Rezepte,MATCH(Kalkulation!AZ$5,Rezepte!$5:$5,0),0),"")</f>
        <v/>
      </c>
      <c r="BA25" s="23" t="str">
        <f>IF(AND(ISNUMBER(VLOOKUP($A25,Rezepte,MATCH(Kalkulation!BA$5,Rezepte!$5:$5,0),0)),ISNUMBER(VLOOKUP(BA$5,Materialpreise,3,0))),VLOOKUP(BA$5,Materialpreise,3,0)*VLOOKUP($A25,Rezepte,MATCH(Kalkulation!BA$5,Rezepte!$5:$5,0),0),"")</f>
        <v/>
      </c>
    </row>
    <row r="26" spans="1:53" x14ac:dyDescent="0.25">
      <c r="A26" t="str">
        <f t="array" ref="A26">IFERROR(INDEX(Rezepte!$A$6:$A$100,MATCH(1,(COUNTIF(A$6:A25,Rezepte!A$6:A$100)=0)*(Rezepte!A$6:A$100&lt;&gt;""),0)),"")</f>
        <v/>
      </c>
      <c r="B26" s="23" t="str">
        <f t="shared" si="0"/>
        <v/>
      </c>
      <c r="C26" s="23" t="str">
        <f t="shared" si="1"/>
        <v/>
      </c>
      <c r="D26" s="23" t="str">
        <f>IF(AND(ISNUMBER(VLOOKUP($A26,Rezepte,MATCH(Kalkulation!D$5,Rezepte!$5:$5,0),0)),ISNUMBER(VLOOKUP(D$5,Materialpreise,3,0))),VLOOKUP(D$5,Materialpreise,3,0)*VLOOKUP($A26,Rezepte,MATCH(Kalkulation!D$5,Rezepte!$5:$5,0),0),"")</f>
        <v/>
      </c>
      <c r="E26" s="23" t="str">
        <f>IF(AND(ISNUMBER(VLOOKUP($A26,Rezepte,MATCH(Kalkulation!E$5,Rezepte!$5:$5,0),0)),ISNUMBER(VLOOKUP(E$5,Materialpreise,3,0))),VLOOKUP(E$5,Materialpreise,3,0)*VLOOKUP($A26,Rezepte,MATCH(Kalkulation!E$5,Rezepte!$5:$5,0),0),"")</f>
        <v/>
      </c>
      <c r="F26" s="23" t="str">
        <f>IF(AND(ISNUMBER(VLOOKUP($A26,Rezepte,MATCH(Kalkulation!F$5,Rezepte!$5:$5,0),0)),ISNUMBER(VLOOKUP(F$5,Materialpreise,3,0))),VLOOKUP(F$5,Materialpreise,3,0)*VLOOKUP($A26,Rezepte,MATCH(Kalkulation!F$5,Rezepte!$5:$5,0),0),"")</f>
        <v/>
      </c>
      <c r="G26" s="23" t="str">
        <f>IF(AND(ISNUMBER(VLOOKUP($A26,Rezepte,MATCH(Kalkulation!G$5,Rezepte!$5:$5,0),0)),ISNUMBER(VLOOKUP(G$5,Materialpreise,3,0))),VLOOKUP(G$5,Materialpreise,3,0)*VLOOKUP($A26,Rezepte,MATCH(Kalkulation!G$5,Rezepte!$5:$5,0),0),"")</f>
        <v/>
      </c>
      <c r="H26" s="23" t="str">
        <f>IF(AND(ISNUMBER(VLOOKUP($A26,Rezepte,MATCH(Kalkulation!H$5,Rezepte!$5:$5,0),0)),ISNUMBER(VLOOKUP(H$5,Materialpreise,3,0))),VLOOKUP(H$5,Materialpreise,3,0)*VLOOKUP($A26,Rezepte,MATCH(Kalkulation!H$5,Rezepte!$5:$5,0),0),"")</f>
        <v/>
      </c>
      <c r="I26" s="23" t="str">
        <f>IF(AND(ISNUMBER(VLOOKUP($A26,Rezepte,MATCH(Kalkulation!I$5,Rezepte!$5:$5,0),0)),ISNUMBER(VLOOKUP(I$5,Materialpreise,3,0))),VLOOKUP(I$5,Materialpreise,3,0)*VLOOKUP($A26,Rezepte,MATCH(Kalkulation!I$5,Rezepte!$5:$5,0),0),"")</f>
        <v/>
      </c>
      <c r="J26" s="23" t="str">
        <f>IF(AND(ISNUMBER(VLOOKUP($A26,Rezepte,MATCH(Kalkulation!J$5,Rezepte!$5:$5,0),0)),ISNUMBER(VLOOKUP(J$5,Materialpreise,3,0))),VLOOKUP(J$5,Materialpreise,3,0)*VLOOKUP($A26,Rezepte,MATCH(Kalkulation!J$5,Rezepte!$5:$5,0),0),"")</f>
        <v/>
      </c>
      <c r="K26" s="23" t="str">
        <f>IF(AND(ISNUMBER(VLOOKUP($A26,Rezepte,MATCH(Kalkulation!K$5,Rezepte!$5:$5,0),0)),ISNUMBER(VLOOKUP(K$5,Materialpreise,3,0))),VLOOKUP(K$5,Materialpreise,3,0)*VLOOKUP($A26,Rezepte,MATCH(Kalkulation!K$5,Rezepte!$5:$5,0),0),"")</f>
        <v/>
      </c>
      <c r="L26" s="23" t="str">
        <f>IF(AND(ISNUMBER(VLOOKUP($A26,Rezepte,MATCH(Kalkulation!L$5,Rezepte!$5:$5,0),0)),ISNUMBER(VLOOKUP(L$5,Materialpreise,3,0))),VLOOKUP(L$5,Materialpreise,3,0)*VLOOKUP($A26,Rezepte,MATCH(Kalkulation!L$5,Rezepte!$5:$5,0),0),"")</f>
        <v/>
      </c>
      <c r="M26" s="23" t="str">
        <f>IF(AND(ISNUMBER(VLOOKUP($A26,Rezepte,MATCH(Kalkulation!M$5,Rezepte!$5:$5,0),0)),ISNUMBER(VLOOKUP(M$5,Materialpreise,3,0))),VLOOKUP(M$5,Materialpreise,3,0)*VLOOKUP($A26,Rezepte,MATCH(Kalkulation!M$5,Rezepte!$5:$5,0),0),"")</f>
        <v/>
      </c>
      <c r="N26" s="23" t="str">
        <f>IF(AND(ISNUMBER(VLOOKUP($A26,Rezepte,MATCH(Kalkulation!N$5,Rezepte!$5:$5,0),0)),ISNUMBER(VLOOKUP(N$5,Materialpreise,3,0))),VLOOKUP(N$5,Materialpreise,3,0)*VLOOKUP($A26,Rezepte,MATCH(Kalkulation!N$5,Rezepte!$5:$5,0),0),"")</f>
        <v/>
      </c>
      <c r="O26" s="23" t="str">
        <f>IF(AND(ISNUMBER(VLOOKUP($A26,Rezepte,MATCH(Kalkulation!O$5,Rezepte!$5:$5,0),0)),ISNUMBER(VLOOKUP(O$5,Materialpreise,3,0))),VLOOKUP(O$5,Materialpreise,3,0)*VLOOKUP($A26,Rezepte,MATCH(Kalkulation!O$5,Rezepte!$5:$5,0),0),"")</f>
        <v/>
      </c>
      <c r="P26" s="23" t="str">
        <f>IF(AND(ISNUMBER(VLOOKUP($A26,Rezepte,MATCH(Kalkulation!P$5,Rezepte!$5:$5,0),0)),ISNUMBER(VLOOKUP(P$5,Materialpreise,3,0))),VLOOKUP(P$5,Materialpreise,3,0)*VLOOKUP($A26,Rezepte,MATCH(Kalkulation!P$5,Rezepte!$5:$5,0),0),"")</f>
        <v/>
      </c>
      <c r="Q26" s="23" t="str">
        <f>IF(AND(ISNUMBER(VLOOKUP($A26,Rezepte,MATCH(Kalkulation!Q$5,Rezepte!$5:$5,0),0)),ISNUMBER(VLOOKUP(Q$5,Materialpreise,3,0))),VLOOKUP(Q$5,Materialpreise,3,0)*VLOOKUP($A26,Rezepte,MATCH(Kalkulation!Q$5,Rezepte!$5:$5,0),0),"")</f>
        <v/>
      </c>
      <c r="R26" s="23" t="str">
        <f>IF(AND(ISNUMBER(VLOOKUP($A26,Rezepte,MATCH(Kalkulation!R$5,Rezepte!$5:$5,0),0)),ISNUMBER(VLOOKUP(R$5,Materialpreise,3,0))),VLOOKUP(R$5,Materialpreise,3,0)*VLOOKUP($A26,Rezepte,MATCH(Kalkulation!R$5,Rezepte!$5:$5,0),0),"")</f>
        <v/>
      </c>
      <c r="S26" s="23" t="str">
        <f>IF(AND(ISNUMBER(VLOOKUP($A26,Rezepte,MATCH(Kalkulation!S$5,Rezepte!$5:$5,0),0)),ISNUMBER(VLOOKUP(S$5,Materialpreise,3,0))),VLOOKUP(S$5,Materialpreise,3,0)*VLOOKUP($A26,Rezepte,MATCH(Kalkulation!S$5,Rezepte!$5:$5,0),0),"")</f>
        <v/>
      </c>
      <c r="T26" s="23" t="str">
        <f>IF(AND(ISNUMBER(VLOOKUP($A26,Rezepte,MATCH(Kalkulation!T$5,Rezepte!$5:$5,0),0)),ISNUMBER(VLOOKUP(T$5,Materialpreise,3,0))),VLOOKUP(T$5,Materialpreise,3,0)*VLOOKUP($A26,Rezepte,MATCH(Kalkulation!T$5,Rezepte!$5:$5,0),0),"")</f>
        <v/>
      </c>
      <c r="U26" s="23" t="str">
        <f>IF(AND(ISNUMBER(VLOOKUP($A26,Rezepte,MATCH(Kalkulation!U$5,Rezepte!$5:$5,0),0)),ISNUMBER(VLOOKUP(U$5,Materialpreise,3,0))),VLOOKUP(U$5,Materialpreise,3,0)*VLOOKUP($A26,Rezepte,MATCH(Kalkulation!U$5,Rezepte!$5:$5,0),0),"")</f>
        <v/>
      </c>
      <c r="V26" s="23" t="str">
        <f>IF(AND(ISNUMBER(VLOOKUP($A26,Rezepte,MATCH(Kalkulation!V$5,Rezepte!$5:$5,0),0)),ISNUMBER(VLOOKUP(V$5,Materialpreise,3,0))),VLOOKUP(V$5,Materialpreise,3,0)*VLOOKUP($A26,Rezepte,MATCH(Kalkulation!V$5,Rezepte!$5:$5,0),0),"")</f>
        <v/>
      </c>
      <c r="W26" s="23" t="str">
        <f>IF(AND(ISNUMBER(VLOOKUP($A26,Rezepte,MATCH(Kalkulation!W$5,Rezepte!$5:$5,0),0)),ISNUMBER(VLOOKUP(W$5,Materialpreise,3,0))),VLOOKUP(W$5,Materialpreise,3,0)*VLOOKUP($A26,Rezepte,MATCH(Kalkulation!W$5,Rezepte!$5:$5,0),0),"")</f>
        <v/>
      </c>
      <c r="X26" s="23" t="str">
        <f>IF(AND(ISNUMBER(VLOOKUP($A26,Rezepte,MATCH(Kalkulation!X$5,Rezepte!$5:$5,0),0)),ISNUMBER(VLOOKUP(X$5,Materialpreise,3,0))),VLOOKUP(X$5,Materialpreise,3,0)*VLOOKUP($A26,Rezepte,MATCH(Kalkulation!X$5,Rezepte!$5:$5,0),0),"")</f>
        <v/>
      </c>
      <c r="Y26" s="23" t="str">
        <f>IF(AND(ISNUMBER(VLOOKUP($A26,Rezepte,MATCH(Kalkulation!Y$5,Rezepte!$5:$5,0),0)),ISNUMBER(VLOOKUP(Y$5,Materialpreise,3,0))),VLOOKUP(Y$5,Materialpreise,3,0)*VLOOKUP($A26,Rezepte,MATCH(Kalkulation!Y$5,Rezepte!$5:$5,0),0),"")</f>
        <v/>
      </c>
      <c r="Z26" s="23" t="str">
        <f>IF(AND(ISNUMBER(VLOOKUP($A26,Rezepte,MATCH(Kalkulation!Z$5,Rezepte!$5:$5,0),0)),ISNUMBER(VLOOKUP(Z$5,Materialpreise,3,0))),VLOOKUP(Z$5,Materialpreise,3,0)*VLOOKUP($A26,Rezepte,MATCH(Kalkulation!Z$5,Rezepte!$5:$5,0),0),"")</f>
        <v/>
      </c>
      <c r="AA26" s="23" t="str">
        <f>IF(AND(ISNUMBER(VLOOKUP($A26,Rezepte,MATCH(Kalkulation!AA$5,Rezepte!$5:$5,0),0)),ISNUMBER(VLOOKUP(AA$5,Materialpreise,3,0))),VLOOKUP(AA$5,Materialpreise,3,0)*VLOOKUP($A26,Rezepte,MATCH(Kalkulation!AA$5,Rezepte!$5:$5,0),0),"")</f>
        <v/>
      </c>
      <c r="AB26" s="23" t="str">
        <f>IF(AND(ISNUMBER(VLOOKUP($A26,Rezepte,MATCH(Kalkulation!AB$5,Rezepte!$5:$5,0),0)),ISNUMBER(VLOOKUP(AB$5,Materialpreise,3,0))),VLOOKUP(AB$5,Materialpreise,3,0)*VLOOKUP($A26,Rezepte,MATCH(Kalkulation!AB$5,Rezepte!$5:$5,0),0),"")</f>
        <v/>
      </c>
      <c r="AC26" s="23" t="str">
        <f>IF(AND(ISNUMBER(VLOOKUP($A26,Rezepte,MATCH(Kalkulation!AC$5,Rezepte!$5:$5,0),0)),ISNUMBER(VLOOKUP(AC$5,Materialpreise,3,0))),VLOOKUP(AC$5,Materialpreise,3,0)*VLOOKUP($A26,Rezepte,MATCH(Kalkulation!AC$5,Rezepte!$5:$5,0),0),"")</f>
        <v/>
      </c>
      <c r="AD26" s="23" t="str">
        <f>IF(AND(ISNUMBER(VLOOKUP($A26,Rezepte,MATCH(Kalkulation!AD$5,Rezepte!$5:$5,0),0)),ISNUMBER(VLOOKUP(AD$5,Materialpreise,3,0))),VLOOKUP(AD$5,Materialpreise,3,0)*VLOOKUP($A26,Rezepte,MATCH(Kalkulation!AD$5,Rezepte!$5:$5,0),0),"")</f>
        <v/>
      </c>
      <c r="AE26" s="23" t="str">
        <f>IF(AND(ISNUMBER(VLOOKUP($A26,Rezepte,MATCH(Kalkulation!AE$5,Rezepte!$5:$5,0),0)),ISNUMBER(VLOOKUP(AE$5,Materialpreise,3,0))),VLOOKUP(AE$5,Materialpreise,3,0)*VLOOKUP($A26,Rezepte,MATCH(Kalkulation!AE$5,Rezepte!$5:$5,0),0),"")</f>
        <v/>
      </c>
      <c r="AF26" s="23" t="str">
        <f>IF(AND(ISNUMBER(VLOOKUP($A26,Rezepte,MATCH(Kalkulation!AF$5,Rezepte!$5:$5,0),0)),ISNUMBER(VLOOKUP(AF$5,Materialpreise,3,0))),VLOOKUP(AF$5,Materialpreise,3,0)*VLOOKUP($A26,Rezepte,MATCH(Kalkulation!AF$5,Rezepte!$5:$5,0),0),"")</f>
        <v/>
      </c>
      <c r="AG26" s="23" t="str">
        <f>IF(AND(ISNUMBER(VLOOKUP($A26,Rezepte,MATCH(Kalkulation!AG$5,Rezepte!$5:$5,0),0)),ISNUMBER(VLOOKUP(AG$5,Materialpreise,3,0))),VLOOKUP(AG$5,Materialpreise,3,0)*VLOOKUP($A26,Rezepte,MATCH(Kalkulation!AG$5,Rezepte!$5:$5,0),0),"")</f>
        <v/>
      </c>
      <c r="AH26" s="23" t="str">
        <f>IF(AND(ISNUMBER(VLOOKUP($A26,Rezepte,MATCH(Kalkulation!AH$5,Rezepte!$5:$5,0),0)),ISNUMBER(VLOOKUP(AH$5,Materialpreise,3,0))),VLOOKUP(AH$5,Materialpreise,3,0)*VLOOKUP($A26,Rezepte,MATCH(Kalkulation!AH$5,Rezepte!$5:$5,0),0),"")</f>
        <v/>
      </c>
      <c r="AI26" s="23" t="str">
        <f>IF(AND(ISNUMBER(VLOOKUP($A26,Rezepte,MATCH(Kalkulation!AI$5,Rezepte!$5:$5,0),0)),ISNUMBER(VLOOKUP(AI$5,Materialpreise,3,0))),VLOOKUP(AI$5,Materialpreise,3,0)*VLOOKUP($A26,Rezepte,MATCH(Kalkulation!AI$5,Rezepte!$5:$5,0),0),"")</f>
        <v/>
      </c>
      <c r="AJ26" s="23" t="str">
        <f>IF(AND(ISNUMBER(VLOOKUP($A26,Rezepte,MATCH(Kalkulation!AJ$5,Rezepte!$5:$5,0),0)),ISNUMBER(VLOOKUP(AJ$5,Materialpreise,3,0))),VLOOKUP(AJ$5,Materialpreise,3,0)*VLOOKUP($A26,Rezepte,MATCH(Kalkulation!AJ$5,Rezepte!$5:$5,0),0),"")</f>
        <v/>
      </c>
      <c r="AK26" s="23" t="str">
        <f>IF(AND(ISNUMBER(VLOOKUP($A26,Rezepte,MATCH(Kalkulation!AK$5,Rezepte!$5:$5,0),0)),ISNUMBER(VLOOKUP(AK$5,Materialpreise,3,0))),VLOOKUP(AK$5,Materialpreise,3,0)*VLOOKUP($A26,Rezepte,MATCH(Kalkulation!AK$5,Rezepte!$5:$5,0),0),"")</f>
        <v/>
      </c>
      <c r="AL26" s="23" t="str">
        <f>IF(AND(ISNUMBER(VLOOKUP($A26,Rezepte,MATCH(Kalkulation!AL$5,Rezepte!$5:$5,0),0)),ISNUMBER(VLOOKUP(AL$5,Materialpreise,3,0))),VLOOKUP(AL$5,Materialpreise,3,0)*VLOOKUP($A26,Rezepte,MATCH(Kalkulation!AL$5,Rezepte!$5:$5,0),0),"")</f>
        <v/>
      </c>
      <c r="AM26" s="23" t="str">
        <f>IF(AND(ISNUMBER(VLOOKUP($A26,Rezepte,MATCH(Kalkulation!AM$5,Rezepte!$5:$5,0),0)),ISNUMBER(VLOOKUP(AM$5,Materialpreise,3,0))),VLOOKUP(AM$5,Materialpreise,3,0)*VLOOKUP($A26,Rezepte,MATCH(Kalkulation!AM$5,Rezepte!$5:$5,0),0),"")</f>
        <v/>
      </c>
      <c r="AN26" s="23" t="str">
        <f>IF(AND(ISNUMBER(VLOOKUP($A26,Rezepte,MATCH(Kalkulation!AN$5,Rezepte!$5:$5,0),0)),ISNUMBER(VLOOKUP(AN$5,Materialpreise,3,0))),VLOOKUP(AN$5,Materialpreise,3,0)*VLOOKUP($A26,Rezepte,MATCH(Kalkulation!AN$5,Rezepte!$5:$5,0),0),"")</f>
        <v/>
      </c>
      <c r="AO26" s="23" t="str">
        <f>IF(AND(ISNUMBER(VLOOKUP($A26,Rezepte,MATCH(Kalkulation!AO$5,Rezepte!$5:$5,0),0)),ISNUMBER(VLOOKUP(AO$5,Materialpreise,3,0))),VLOOKUP(AO$5,Materialpreise,3,0)*VLOOKUP($A26,Rezepte,MATCH(Kalkulation!AO$5,Rezepte!$5:$5,0),0),"")</f>
        <v/>
      </c>
      <c r="AP26" s="23" t="str">
        <f>IF(AND(ISNUMBER(VLOOKUP($A26,Rezepte,MATCH(Kalkulation!AP$5,Rezepte!$5:$5,0),0)),ISNUMBER(VLOOKUP(AP$5,Materialpreise,3,0))),VLOOKUP(AP$5,Materialpreise,3,0)*VLOOKUP($A26,Rezepte,MATCH(Kalkulation!AP$5,Rezepte!$5:$5,0),0),"")</f>
        <v/>
      </c>
      <c r="AQ26" s="23" t="str">
        <f>IF(AND(ISNUMBER(VLOOKUP($A26,Rezepte,MATCH(Kalkulation!AQ$5,Rezepte!$5:$5,0),0)),ISNUMBER(VLOOKUP(AQ$5,Materialpreise,3,0))),VLOOKUP(AQ$5,Materialpreise,3,0)*VLOOKUP($A26,Rezepte,MATCH(Kalkulation!AQ$5,Rezepte!$5:$5,0),0),"")</f>
        <v/>
      </c>
      <c r="AR26" s="23" t="str">
        <f>IF(AND(ISNUMBER(VLOOKUP($A26,Rezepte,MATCH(Kalkulation!AR$5,Rezepte!$5:$5,0),0)),ISNUMBER(VLOOKUP(AR$5,Materialpreise,3,0))),VLOOKUP(AR$5,Materialpreise,3,0)*VLOOKUP($A26,Rezepte,MATCH(Kalkulation!AR$5,Rezepte!$5:$5,0),0),"")</f>
        <v/>
      </c>
      <c r="AS26" s="23" t="str">
        <f>IF(AND(ISNUMBER(VLOOKUP($A26,Rezepte,MATCH(Kalkulation!AS$5,Rezepte!$5:$5,0),0)),ISNUMBER(VLOOKUP(AS$5,Materialpreise,3,0))),VLOOKUP(AS$5,Materialpreise,3,0)*VLOOKUP($A26,Rezepte,MATCH(Kalkulation!AS$5,Rezepte!$5:$5,0),0),"")</f>
        <v/>
      </c>
      <c r="AT26" s="23" t="str">
        <f>IF(AND(ISNUMBER(VLOOKUP($A26,Rezepte,MATCH(Kalkulation!AT$5,Rezepte!$5:$5,0),0)),ISNUMBER(VLOOKUP(AT$5,Materialpreise,3,0))),VLOOKUP(AT$5,Materialpreise,3,0)*VLOOKUP($A26,Rezepte,MATCH(Kalkulation!AT$5,Rezepte!$5:$5,0),0),"")</f>
        <v/>
      </c>
      <c r="AU26" s="23" t="str">
        <f>IF(AND(ISNUMBER(VLOOKUP($A26,Rezepte,MATCH(Kalkulation!AU$5,Rezepte!$5:$5,0),0)),ISNUMBER(VLOOKUP(AU$5,Materialpreise,3,0))),VLOOKUP(AU$5,Materialpreise,3,0)*VLOOKUP($A26,Rezepte,MATCH(Kalkulation!AU$5,Rezepte!$5:$5,0),0),"")</f>
        <v/>
      </c>
      <c r="AV26" s="23" t="str">
        <f>IF(AND(ISNUMBER(VLOOKUP($A26,Rezepte,MATCH(Kalkulation!AV$5,Rezepte!$5:$5,0),0)),ISNUMBER(VLOOKUP(AV$5,Materialpreise,3,0))),VLOOKUP(AV$5,Materialpreise,3,0)*VLOOKUP($A26,Rezepte,MATCH(Kalkulation!AV$5,Rezepte!$5:$5,0),0),"")</f>
        <v/>
      </c>
      <c r="AW26" s="23" t="str">
        <f>IF(AND(ISNUMBER(VLOOKUP($A26,Rezepte,MATCH(Kalkulation!AW$5,Rezepte!$5:$5,0),0)),ISNUMBER(VLOOKUP(AW$5,Materialpreise,3,0))),VLOOKUP(AW$5,Materialpreise,3,0)*VLOOKUP($A26,Rezepte,MATCH(Kalkulation!AW$5,Rezepte!$5:$5,0),0),"")</f>
        <v/>
      </c>
      <c r="AX26" s="23" t="str">
        <f>IF(AND(ISNUMBER(VLOOKUP($A26,Rezepte,MATCH(Kalkulation!AX$5,Rezepte!$5:$5,0),0)),ISNUMBER(VLOOKUP(AX$5,Materialpreise,3,0))),VLOOKUP(AX$5,Materialpreise,3,0)*VLOOKUP($A26,Rezepte,MATCH(Kalkulation!AX$5,Rezepte!$5:$5,0),0),"")</f>
        <v/>
      </c>
      <c r="AY26" s="23" t="str">
        <f>IF(AND(ISNUMBER(VLOOKUP($A26,Rezepte,MATCH(Kalkulation!AY$5,Rezepte!$5:$5,0),0)),ISNUMBER(VLOOKUP(AY$5,Materialpreise,3,0))),VLOOKUP(AY$5,Materialpreise,3,0)*VLOOKUP($A26,Rezepte,MATCH(Kalkulation!AY$5,Rezepte!$5:$5,0),0),"")</f>
        <v/>
      </c>
      <c r="AZ26" s="23" t="str">
        <f>IF(AND(ISNUMBER(VLOOKUP($A26,Rezepte,MATCH(Kalkulation!AZ$5,Rezepte!$5:$5,0),0)),ISNUMBER(VLOOKUP(AZ$5,Materialpreise,3,0))),VLOOKUP(AZ$5,Materialpreise,3,0)*VLOOKUP($A26,Rezepte,MATCH(Kalkulation!AZ$5,Rezepte!$5:$5,0),0),"")</f>
        <v/>
      </c>
      <c r="BA26" s="23" t="str">
        <f>IF(AND(ISNUMBER(VLOOKUP($A26,Rezepte,MATCH(Kalkulation!BA$5,Rezepte!$5:$5,0),0)),ISNUMBER(VLOOKUP(BA$5,Materialpreise,3,0))),VLOOKUP(BA$5,Materialpreise,3,0)*VLOOKUP($A26,Rezepte,MATCH(Kalkulation!BA$5,Rezepte!$5:$5,0),0),"")</f>
        <v/>
      </c>
    </row>
    <row r="27" spans="1:53" x14ac:dyDescent="0.25">
      <c r="A27" t="str">
        <f t="array" ref="A27">IFERROR(INDEX(Rezepte!$A$6:$A$100,MATCH(1,(COUNTIF(A$6:A26,Rezepte!A$6:A$100)=0)*(Rezepte!A$6:A$100&lt;&gt;""),0)),"")</f>
        <v/>
      </c>
      <c r="B27" s="23" t="str">
        <f t="shared" si="0"/>
        <v/>
      </c>
      <c r="C27" s="23" t="str">
        <f t="shared" si="1"/>
        <v/>
      </c>
      <c r="D27" s="23" t="str">
        <f>IF(AND(ISNUMBER(VLOOKUP($A27,Rezepte,MATCH(Kalkulation!D$5,Rezepte!$5:$5,0),0)),ISNUMBER(VLOOKUP(D$5,Materialpreise,3,0))),VLOOKUP(D$5,Materialpreise,3,0)*VLOOKUP($A27,Rezepte,MATCH(Kalkulation!D$5,Rezepte!$5:$5,0),0),"")</f>
        <v/>
      </c>
      <c r="E27" s="23" t="str">
        <f>IF(AND(ISNUMBER(VLOOKUP($A27,Rezepte,MATCH(Kalkulation!E$5,Rezepte!$5:$5,0),0)),ISNUMBER(VLOOKUP(E$5,Materialpreise,3,0))),VLOOKUP(E$5,Materialpreise,3,0)*VLOOKUP($A27,Rezepte,MATCH(Kalkulation!E$5,Rezepte!$5:$5,0),0),"")</f>
        <v/>
      </c>
      <c r="F27" s="23" t="str">
        <f>IF(AND(ISNUMBER(VLOOKUP($A27,Rezepte,MATCH(Kalkulation!F$5,Rezepte!$5:$5,0),0)),ISNUMBER(VLOOKUP(F$5,Materialpreise,3,0))),VLOOKUP(F$5,Materialpreise,3,0)*VLOOKUP($A27,Rezepte,MATCH(Kalkulation!F$5,Rezepte!$5:$5,0),0),"")</f>
        <v/>
      </c>
      <c r="G27" s="23" t="str">
        <f>IF(AND(ISNUMBER(VLOOKUP($A27,Rezepte,MATCH(Kalkulation!G$5,Rezepte!$5:$5,0),0)),ISNUMBER(VLOOKUP(G$5,Materialpreise,3,0))),VLOOKUP(G$5,Materialpreise,3,0)*VLOOKUP($A27,Rezepte,MATCH(Kalkulation!G$5,Rezepte!$5:$5,0),0),"")</f>
        <v/>
      </c>
      <c r="H27" s="23" t="str">
        <f>IF(AND(ISNUMBER(VLOOKUP($A27,Rezepte,MATCH(Kalkulation!H$5,Rezepte!$5:$5,0),0)),ISNUMBER(VLOOKUP(H$5,Materialpreise,3,0))),VLOOKUP(H$5,Materialpreise,3,0)*VLOOKUP($A27,Rezepte,MATCH(Kalkulation!H$5,Rezepte!$5:$5,0),0),"")</f>
        <v/>
      </c>
      <c r="I27" s="23" t="str">
        <f>IF(AND(ISNUMBER(VLOOKUP($A27,Rezepte,MATCH(Kalkulation!I$5,Rezepte!$5:$5,0),0)),ISNUMBER(VLOOKUP(I$5,Materialpreise,3,0))),VLOOKUP(I$5,Materialpreise,3,0)*VLOOKUP($A27,Rezepte,MATCH(Kalkulation!I$5,Rezepte!$5:$5,0),0),"")</f>
        <v/>
      </c>
      <c r="J27" s="23" t="str">
        <f>IF(AND(ISNUMBER(VLOOKUP($A27,Rezepte,MATCH(Kalkulation!J$5,Rezepte!$5:$5,0),0)),ISNUMBER(VLOOKUP(J$5,Materialpreise,3,0))),VLOOKUP(J$5,Materialpreise,3,0)*VLOOKUP($A27,Rezepte,MATCH(Kalkulation!J$5,Rezepte!$5:$5,0),0),"")</f>
        <v/>
      </c>
      <c r="K27" s="23" t="str">
        <f>IF(AND(ISNUMBER(VLOOKUP($A27,Rezepte,MATCH(Kalkulation!K$5,Rezepte!$5:$5,0),0)),ISNUMBER(VLOOKUP(K$5,Materialpreise,3,0))),VLOOKUP(K$5,Materialpreise,3,0)*VLOOKUP($A27,Rezepte,MATCH(Kalkulation!K$5,Rezepte!$5:$5,0),0),"")</f>
        <v/>
      </c>
      <c r="L27" s="23" t="str">
        <f>IF(AND(ISNUMBER(VLOOKUP($A27,Rezepte,MATCH(Kalkulation!L$5,Rezepte!$5:$5,0),0)),ISNUMBER(VLOOKUP(L$5,Materialpreise,3,0))),VLOOKUP(L$5,Materialpreise,3,0)*VLOOKUP($A27,Rezepte,MATCH(Kalkulation!L$5,Rezepte!$5:$5,0),0),"")</f>
        <v/>
      </c>
      <c r="M27" s="23" t="str">
        <f>IF(AND(ISNUMBER(VLOOKUP($A27,Rezepte,MATCH(Kalkulation!M$5,Rezepte!$5:$5,0),0)),ISNUMBER(VLOOKUP(M$5,Materialpreise,3,0))),VLOOKUP(M$5,Materialpreise,3,0)*VLOOKUP($A27,Rezepte,MATCH(Kalkulation!M$5,Rezepte!$5:$5,0),0),"")</f>
        <v/>
      </c>
      <c r="N27" s="23" t="str">
        <f>IF(AND(ISNUMBER(VLOOKUP($A27,Rezepte,MATCH(Kalkulation!N$5,Rezepte!$5:$5,0),0)),ISNUMBER(VLOOKUP(N$5,Materialpreise,3,0))),VLOOKUP(N$5,Materialpreise,3,0)*VLOOKUP($A27,Rezepte,MATCH(Kalkulation!N$5,Rezepte!$5:$5,0),0),"")</f>
        <v/>
      </c>
      <c r="O27" s="23" t="str">
        <f>IF(AND(ISNUMBER(VLOOKUP($A27,Rezepte,MATCH(Kalkulation!O$5,Rezepte!$5:$5,0),0)),ISNUMBER(VLOOKUP(O$5,Materialpreise,3,0))),VLOOKUP(O$5,Materialpreise,3,0)*VLOOKUP($A27,Rezepte,MATCH(Kalkulation!O$5,Rezepte!$5:$5,0),0),"")</f>
        <v/>
      </c>
      <c r="P27" s="23" t="str">
        <f>IF(AND(ISNUMBER(VLOOKUP($A27,Rezepte,MATCH(Kalkulation!P$5,Rezepte!$5:$5,0),0)),ISNUMBER(VLOOKUP(P$5,Materialpreise,3,0))),VLOOKUP(P$5,Materialpreise,3,0)*VLOOKUP($A27,Rezepte,MATCH(Kalkulation!P$5,Rezepte!$5:$5,0),0),"")</f>
        <v/>
      </c>
      <c r="Q27" s="23" t="str">
        <f>IF(AND(ISNUMBER(VLOOKUP($A27,Rezepte,MATCH(Kalkulation!Q$5,Rezepte!$5:$5,0),0)),ISNUMBER(VLOOKUP(Q$5,Materialpreise,3,0))),VLOOKUP(Q$5,Materialpreise,3,0)*VLOOKUP($A27,Rezepte,MATCH(Kalkulation!Q$5,Rezepte!$5:$5,0),0),"")</f>
        <v/>
      </c>
      <c r="R27" s="23" t="str">
        <f>IF(AND(ISNUMBER(VLOOKUP($A27,Rezepte,MATCH(Kalkulation!R$5,Rezepte!$5:$5,0),0)),ISNUMBER(VLOOKUP(R$5,Materialpreise,3,0))),VLOOKUP(R$5,Materialpreise,3,0)*VLOOKUP($A27,Rezepte,MATCH(Kalkulation!R$5,Rezepte!$5:$5,0),0),"")</f>
        <v/>
      </c>
      <c r="S27" s="23" t="str">
        <f>IF(AND(ISNUMBER(VLOOKUP($A27,Rezepte,MATCH(Kalkulation!S$5,Rezepte!$5:$5,0),0)),ISNUMBER(VLOOKUP(S$5,Materialpreise,3,0))),VLOOKUP(S$5,Materialpreise,3,0)*VLOOKUP($A27,Rezepte,MATCH(Kalkulation!S$5,Rezepte!$5:$5,0),0),"")</f>
        <v/>
      </c>
      <c r="T27" s="23" t="str">
        <f>IF(AND(ISNUMBER(VLOOKUP($A27,Rezepte,MATCH(Kalkulation!T$5,Rezepte!$5:$5,0),0)),ISNUMBER(VLOOKUP(T$5,Materialpreise,3,0))),VLOOKUP(T$5,Materialpreise,3,0)*VLOOKUP($A27,Rezepte,MATCH(Kalkulation!T$5,Rezepte!$5:$5,0),0),"")</f>
        <v/>
      </c>
      <c r="U27" s="23" t="str">
        <f>IF(AND(ISNUMBER(VLOOKUP($A27,Rezepte,MATCH(Kalkulation!U$5,Rezepte!$5:$5,0),0)),ISNUMBER(VLOOKUP(U$5,Materialpreise,3,0))),VLOOKUP(U$5,Materialpreise,3,0)*VLOOKUP($A27,Rezepte,MATCH(Kalkulation!U$5,Rezepte!$5:$5,0),0),"")</f>
        <v/>
      </c>
      <c r="V27" s="23" t="str">
        <f>IF(AND(ISNUMBER(VLOOKUP($A27,Rezepte,MATCH(Kalkulation!V$5,Rezepte!$5:$5,0),0)),ISNUMBER(VLOOKUP(V$5,Materialpreise,3,0))),VLOOKUP(V$5,Materialpreise,3,0)*VLOOKUP($A27,Rezepte,MATCH(Kalkulation!V$5,Rezepte!$5:$5,0),0),"")</f>
        <v/>
      </c>
      <c r="W27" s="23" t="str">
        <f>IF(AND(ISNUMBER(VLOOKUP($A27,Rezepte,MATCH(Kalkulation!W$5,Rezepte!$5:$5,0),0)),ISNUMBER(VLOOKUP(W$5,Materialpreise,3,0))),VLOOKUP(W$5,Materialpreise,3,0)*VLOOKUP($A27,Rezepte,MATCH(Kalkulation!W$5,Rezepte!$5:$5,0),0),"")</f>
        <v/>
      </c>
      <c r="X27" s="23" t="str">
        <f>IF(AND(ISNUMBER(VLOOKUP($A27,Rezepte,MATCH(Kalkulation!X$5,Rezepte!$5:$5,0),0)),ISNUMBER(VLOOKUP(X$5,Materialpreise,3,0))),VLOOKUP(X$5,Materialpreise,3,0)*VLOOKUP($A27,Rezepte,MATCH(Kalkulation!X$5,Rezepte!$5:$5,0),0),"")</f>
        <v/>
      </c>
      <c r="Y27" s="23" t="str">
        <f>IF(AND(ISNUMBER(VLOOKUP($A27,Rezepte,MATCH(Kalkulation!Y$5,Rezepte!$5:$5,0),0)),ISNUMBER(VLOOKUP(Y$5,Materialpreise,3,0))),VLOOKUP(Y$5,Materialpreise,3,0)*VLOOKUP($A27,Rezepte,MATCH(Kalkulation!Y$5,Rezepte!$5:$5,0),0),"")</f>
        <v/>
      </c>
      <c r="Z27" s="23" t="str">
        <f>IF(AND(ISNUMBER(VLOOKUP($A27,Rezepte,MATCH(Kalkulation!Z$5,Rezepte!$5:$5,0),0)),ISNUMBER(VLOOKUP(Z$5,Materialpreise,3,0))),VLOOKUP(Z$5,Materialpreise,3,0)*VLOOKUP($A27,Rezepte,MATCH(Kalkulation!Z$5,Rezepte!$5:$5,0),0),"")</f>
        <v/>
      </c>
      <c r="AA27" s="23" t="str">
        <f>IF(AND(ISNUMBER(VLOOKUP($A27,Rezepte,MATCH(Kalkulation!AA$5,Rezepte!$5:$5,0),0)),ISNUMBER(VLOOKUP(AA$5,Materialpreise,3,0))),VLOOKUP(AA$5,Materialpreise,3,0)*VLOOKUP($A27,Rezepte,MATCH(Kalkulation!AA$5,Rezepte!$5:$5,0),0),"")</f>
        <v/>
      </c>
      <c r="AB27" s="23" t="str">
        <f>IF(AND(ISNUMBER(VLOOKUP($A27,Rezepte,MATCH(Kalkulation!AB$5,Rezepte!$5:$5,0),0)),ISNUMBER(VLOOKUP(AB$5,Materialpreise,3,0))),VLOOKUP(AB$5,Materialpreise,3,0)*VLOOKUP($A27,Rezepte,MATCH(Kalkulation!AB$5,Rezepte!$5:$5,0),0),"")</f>
        <v/>
      </c>
      <c r="AC27" s="23" t="str">
        <f>IF(AND(ISNUMBER(VLOOKUP($A27,Rezepte,MATCH(Kalkulation!AC$5,Rezepte!$5:$5,0),0)),ISNUMBER(VLOOKUP(AC$5,Materialpreise,3,0))),VLOOKUP(AC$5,Materialpreise,3,0)*VLOOKUP($A27,Rezepte,MATCH(Kalkulation!AC$5,Rezepte!$5:$5,0),0),"")</f>
        <v/>
      </c>
      <c r="AD27" s="23" t="str">
        <f>IF(AND(ISNUMBER(VLOOKUP($A27,Rezepte,MATCH(Kalkulation!AD$5,Rezepte!$5:$5,0),0)),ISNUMBER(VLOOKUP(AD$5,Materialpreise,3,0))),VLOOKUP(AD$5,Materialpreise,3,0)*VLOOKUP($A27,Rezepte,MATCH(Kalkulation!AD$5,Rezepte!$5:$5,0),0),"")</f>
        <v/>
      </c>
      <c r="AE27" s="23" t="str">
        <f>IF(AND(ISNUMBER(VLOOKUP($A27,Rezepte,MATCH(Kalkulation!AE$5,Rezepte!$5:$5,0),0)),ISNUMBER(VLOOKUP(AE$5,Materialpreise,3,0))),VLOOKUP(AE$5,Materialpreise,3,0)*VLOOKUP($A27,Rezepte,MATCH(Kalkulation!AE$5,Rezepte!$5:$5,0),0),"")</f>
        <v/>
      </c>
      <c r="AF27" s="23" t="str">
        <f>IF(AND(ISNUMBER(VLOOKUP($A27,Rezepte,MATCH(Kalkulation!AF$5,Rezepte!$5:$5,0),0)),ISNUMBER(VLOOKUP(AF$5,Materialpreise,3,0))),VLOOKUP(AF$5,Materialpreise,3,0)*VLOOKUP($A27,Rezepte,MATCH(Kalkulation!AF$5,Rezepte!$5:$5,0),0),"")</f>
        <v/>
      </c>
      <c r="AG27" s="23" t="str">
        <f>IF(AND(ISNUMBER(VLOOKUP($A27,Rezepte,MATCH(Kalkulation!AG$5,Rezepte!$5:$5,0),0)),ISNUMBER(VLOOKUP(AG$5,Materialpreise,3,0))),VLOOKUP(AG$5,Materialpreise,3,0)*VLOOKUP($A27,Rezepte,MATCH(Kalkulation!AG$5,Rezepte!$5:$5,0),0),"")</f>
        <v/>
      </c>
      <c r="AH27" s="23" t="str">
        <f>IF(AND(ISNUMBER(VLOOKUP($A27,Rezepte,MATCH(Kalkulation!AH$5,Rezepte!$5:$5,0),0)),ISNUMBER(VLOOKUP(AH$5,Materialpreise,3,0))),VLOOKUP(AH$5,Materialpreise,3,0)*VLOOKUP($A27,Rezepte,MATCH(Kalkulation!AH$5,Rezepte!$5:$5,0),0),"")</f>
        <v/>
      </c>
      <c r="AI27" s="23" t="str">
        <f>IF(AND(ISNUMBER(VLOOKUP($A27,Rezepte,MATCH(Kalkulation!AI$5,Rezepte!$5:$5,0),0)),ISNUMBER(VLOOKUP(AI$5,Materialpreise,3,0))),VLOOKUP(AI$5,Materialpreise,3,0)*VLOOKUP($A27,Rezepte,MATCH(Kalkulation!AI$5,Rezepte!$5:$5,0),0),"")</f>
        <v/>
      </c>
      <c r="AJ27" s="23" t="str">
        <f>IF(AND(ISNUMBER(VLOOKUP($A27,Rezepte,MATCH(Kalkulation!AJ$5,Rezepte!$5:$5,0),0)),ISNUMBER(VLOOKUP(AJ$5,Materialpreise,3,0))),VLOOKUP(AJ$5,Materialpreise,3,0)*VLOOKUP($A27,Rezepte,MATCH(Kalkulation!AJ$5,Rezepte!$5:$5,0),0),"")</f>
        <v/>
      </c>
      <c r="AK27" s="23" t="str">
        <f>IF(AND(ISNUMBER(VLOOKUP($A27,Rezepte,MATCH(Kalkulation!AK$5,Rezepte!$5:$5,0),0)),ISNUMBER(VLOOKUP(AK$5,Materialpreise,3,0))),VLOOKUP(AK$5,Materialpreise,3,0)*VLOOKUP($A27,Rezepte,MATCH(Kalkulation!AK$5,Rezepte!$5:$5,0),0),"")</f>
        <v/>
      </c>
      <c r="AL27" s="23" t="str">
        <f>IF(AND(ISNUMBER(VLOOKUP($A27,Rezepte,MATCH(Kalkulation!AL$5,Rezepte!$5:$5,0),0)),ISNUMBER(VLOOKUP(AL$5,Materialpreise,3,0))),VLOOKUP(AL$5,Materialpreise,3,0)*VLOOKUP($A27,Rezepte,MATCH(Kalkulation!AL$5,Rezepte!$5:$5,0),0),"")</f>
        <v/>
      </c>
      <c r="AM27" s="23" t="str">
        <f>IF(AND(ISNUMBER(VLOOKUP($A27,Rezepte,MATCH(Kalkulation!AM$5,Rezepte!$5:$5,0),0)),ISNUMBER(VLOOKUP(AM$5,Materialpreise,3,0))),VLOOKUP(AM$5,Materialpreise,3,0)*VLOOKUP($A27,Rezepte,MATCH(Kalkulation!AM$5,Rezepte!$5:$5,0),0),"")</f>
        <v/>
      </c>
      <c r="AN27" s="23" t="str">
        <f>IF(AND(ISNUMBER(VLOOKUP($A27,Rezepte,MATCH(Kalkulation!AN$5,Rezepte!$5:$5,0),0)),ISNUMBER(VLOOKUP(AN$5,Materialpreise,3,0))),VLOOKUP(AN$5,Materialpreise,3,0)*VLOOKUP($A27,Rezepte,MATCH(Kalkulation!AN$5,Rezepte!$5:$5,0),0),"")</f>
        <v/>
      </c>
      <c r="AO27" s="23" t="str">
        <f>IF(AND(ISNUMBER(VLOOKUP($A27,Rezepte,MATCH(Kalkulation!AO$5,Rezepte!$5:$5,0),0)),ISNUMBER(VLOOKUP(AO$5,Materialpreise,3,0))),VLOOKUP(AO$5,Materialpreise,3,0)*VLOOKUP($A27,Rezepte,MATCH(Kalkulation!AO$5,Rezepte!$5:$5,0),0),"")</f>
        <v/>
      </c>
      <c r="AP27" s="23" t="str">
        <f>IF(AND(ISNUMBER(VLOOKUP($A27,Rezepte,MATCH(Kalkulation!AP$5,Rezepte!$5:$5,0),0)),ISNUMBER(VLOOKUP(AP$5,Materialpreise,3,0))),VLOOKUP(AP$5,Materialpreise,3,0)*VLOOKUP($A27,Rezepte,MATCH(Kalkulation!AP$5,Rezepte!$5:$5,0),0),"")</f>
        <v/>
      </c>
      <c r="AQ27" s="23" t="str">
        <f>IF(AND(ISNUMBER(VLOOKUP($A27,Rezepte,MATCH(Kalkulation!AQ$5,Rezepte!$5:$5,0),0)),ISNUMBER(VLOOKUP(AQ$5,Materialpreise,3,0))),VLOOKUP(AQ$5,Materialpreise,3,0)*VLOOKUP($A27,Rezepte,MATCH(Kalkulation!AQ$5,Rezepte!$5:$5,0),0),"")</f>
        <v/>
      </c>
      <c r="AR27" s="23" t="str">
        <f>IF(AND(ISNUMBER(VLOOKUP($A27,Rezepte,MATCH(Kalkulation!AR$5,Rezepte!$5:$5,0),0)),ISNUMBER(VLOOKUP(AR$5,Materialpreise,3,0))),VLOOKUP(AR$5,Materialpreise,3,0)*VLOOKUP($A27,Rezepte,MATCH(Kalkulation!AR$5,Rezepte!$5:$5,0),0),"")</f>
        <v/>
      </c>
      <c r="AS27" s="23" t="str">
        <f>IF(AND(ISNUMBER(VLOOKUP($A27,Rezepte,MATCH(Kalkulation!AS$5,Rezepte!$5:$5,0),0)),ISNUMBER(VLOOKUP(AS$5,Materialpreise,3,0))),VLOOKUP(AS$5,Materialpreise,3,0)*VLOOKUP($A27,Rezepte,MATCH(Kalkulation!AS$5,Rezepte!$5:$5,0),0),"")</f>
        <v/>
      </c>
      <c r="AT27" s="23" t="str">
        <f>IF(AND(ISNUMBER(VLOOKUP($A27,Rezepte,MATCH(Kalkulation!AT$5,Rezepte!$5:$5,0),0)),ISNUMBER(VLOOKUP(AT$5,Materialpreise,3,0))),VLOOKUP(AT$5,Materialpreise,3,0)*VLOOKUP($A27,Rezepte,MATCH(Kalkulation!AT$5,Rezepte!$5:$5,0),0),"")</f>
        <v/>
      </c>
      <c r="AU27" s="23" t="str">
        <f>IF(AND(ISNUMBER(VLOOKUP($A27,Rezepte,MATCH(Kalkulation!AU$5,Rezepte!$5:$5,0),0)),ISNUMBER(VLOOKUP(AU$5,Materialpreise,3,0))),VLOOKUP(AU$5,Materialpreise,3,0)*VLOOKUP($A27,Rezepte,MATCH(Kalkulation!AU$5,Rezepte!$5:$5,0),0),"")</f>
        <v/>
      </c>
      <c r="AV27" s="23" t="str">
        <f>IF(AND(ISNUMBER(VLOOKUP($A27,Rezepte,MATCH(Kalkulation!AV$5,Rezepte!$5:$5,0),0)),ISNUMBER(VLOOKUP(AV$5,Materialpreise,3,0))),VLOOKUP(AV$5,Materialpreise,3,0)*VLOOKUP($A27,Rezepte,MATCH(Kalkulation!AV$5,Rezepte!$5:$5,0),0),"")</f>
        <v/>
      </c>
      <c r="AW27" s="23" t="str">
        <f>IF(AND(ISNUMBER(VLOOKUP($A27,Rezepte,MATCH(Kalkulation!AW$5,Rezepte!$5:$5,0),0)),ISNUMBER(VLOOKUP(AW$5,Materialpreise,3,0))),VLOOKUP(AW$5,Materialpreise,3,0)*VLOOKUP($A27,Rezepte,MATCH(Kalkulation!AW$5,Rezepte!$5:$5,0),0),"")</f>
        <v/>
      </c>
      <c r="AX27" s="23" t="str">
        <f>IF(AND(ISNUMBER(VLOOKUP($A27,Rezepte,MATCH(Kalkulation!AX$5,Rezepte!$5:$5,0),0)),ISNUMBER(VLOOKUP(AX$5,Materialpreise,3,0))),VLOOKUP(AX$5,Materialpreise,3,0)*VLOOKUP($A27,Rezepte,MATCH(Kalkulation!AX$5,Rezepte!$5:$5,0),0),"")</f>
        <v/>
      </c>
      <c r="AY27" s="23" t="str">
        <f>IF(AND(ISNUMBER(VLOOKUP($A27,Rezepte,MATCH(Kalkulation!AY$5,Rezepte!$5:$5,0),0)),ISNUMBER(VLOOKUP(AY$5,Materialpreise,3,0))),VLOOKUP(AY$5,Materialpreise,3,0)*VLOOKUP($A27,Rezepte,MATCH(Kalkulation!AY$5,Rezepte!$5:$5,0),0),"")</f>
        <v/>
      </c>
      <c r="AZ27" s="23" t="str">
        <f>IF(AND(ISNUMBER(VLOOKUP($A27,Rezepte,MATCH(Kalkulation!AZ$5,Rezepte!$5:$5,0),0)),ISNUMBER(VLOOKUP(AZ$5,Materialpreise,3,0))),VLOOKUP(AZ$5,Materialpreise,3,0)*VLOOKUP($A27,Rezepte,MATCH(Kalkulation!AZ$5,Rezepte!$5:$5,0),0),"")</f>
        <v/>
      </c>
      <c r="BA27" s="23" t="str">
        <f>IF(AND(ISNUMBER(VLOOKUP($A27,Rezepte,MATCH(Kalkulation!BA$5,Rezepte!$5:$5,0),0)),ISNUMBER(VLOOKUP(BA$5,Materialpreise,3,0))),VLOOKUP(BA$5,Materialpreise,3,0)*VLOOKUP($A27,Rezepte,MATCH(Kalkulation!BA$5,Rezepte!$5:$5,0),0),"")</f>
        <v/>
      </c>
    </row>
    <row r="28" spans="1:53" x14ac:dyDescent="0.25">
      <c r="A28" t="str">
        <f t="array" ref="A28">IFERROR(INDEX(Rezepte!$A$6:$A$100,MATCH(1,(COUNTIF(A$6:A27,Rezepte!A$6:A$100)=0)*(Rezepte!A$6:A$100&lt;&gt;""),0)),"")</f>
        <v/>
      </c>
      <c r="B28" s="23" t="str">
        <f t="shared" si="0"/>
        <v/>
      </c>
      <c r="C28" s="23" t="str">
        <f t="shared" si="1"/>
        <v/>
      </c>
      <c r="D28" s="23" t="str">
        <f>IF(AND(ISNUMBER(VLOOKUP($A28,Rezepte,MATCH(Kalkulation!D$5,Rezepte!$5:$5,0),0)),ISNUMBER(VLOOKUP(D$5,Materialpreise,3,0))),VLOOKUP(D$5,Materialpreise,3,0)*VLOOKUP($A28,Rezepte,MATCH(Kalkulation!D$5,Rezepte!$5:$5,0),0),"")</f>
        <v/>
      </c>
      <c r="E28" s="23" t="str">
        <f>IF(AND(ISNUMBER(VLOOKUP($A28,Rezepte,MATCH(Kalkulation!E$5,Rezepte!$5:$5,0),0)),ISNUMBER(VLOOKUP(E$5,Materialpreise,3,0))),VLOOKUP(E$5,Materialpreise,3,0)*VLOOKUP($A28,Rezepte,MATCH(Kalkulation!E$5,Rezepte!$5:$5,0),0),"")</f>
        <v/>
      </c>
      <c r="F28" s="23" t="str">
        <f>IF(AND(ISNUMBER(VLOOKUP($A28,Rezepte,MATCH(Kalkulation!F$5,Rezepte!$5:$5,0),0)),ISNUMBER(VLOOKUP(F$5,Materialpreise,3,0))),VLOOKUP(F$5,Materialpreise,3,0)*VLOOKUP($A28,Rezepte,MATCH(Kalkulation!F$5,Rezepte!$5:$5,0),0),"")</f>
        <v/>
      </c>
      <c r="G28" s="23" t="str">
        <f>IF(AND(ISNUMBER(VLOOKUP($A28,Rezepte,MATCH(Kalkulation!G$5,Rezepte!$5:$5,0),0)),ISNUMBER(VLOOKUP(G$5,Materialpreise,3,0))),VLOOKUP(G$5,Materialpreise,3,0)*VLOOKUP($A28,Rezepte,MATCH(Kalkulation!G$5,Rezepte!$5:$5,0),0),"")</f>
        <v/>
      </c>
      <c r="H28" s="23" t="str">
        <f>IF(AND(ISNUMBER(VLOOKUP($A28,Rezepte,MATCH(Kalkulation!H$5,Rezepte!$5:$5,0),0)),ISNUMBER(VLOOKUP(H$5,Materialpreise,3,0))),VLOOKUP(H$5,Materialpreise,3,0)*VLOOKUP($A28,Rezepte,MATCH(Kalkulation!H$5,Rezepte!$5:$5,0),0),"")</f>
        <v/>
      </c>
      <c r="I28" s="23" t="str">
        <f>IF(AND(ISNUMBER(VLOOKUP($A28,Rezepte,MATCH(Kalkulation!I$5,Rezepte!$5:$5,0),0)),ISNUMBER(VLOOKUP(I$5,Materialpreise,3,0))),VLOOKUP(I$5,Materialpreise,3,0)*VLOOKUP($A28,Rezepte,MATCH(Kalkulation!I$5,Rezepte!$5:$5,0),0),"")</f>
        <v/>
      </c>
      <c r="J28" s="23" t="str">
        <f>IF(AND(ISNUMBER(VLOOKUP($A28,Rezepte,MATCH(Kalkulation!J$5,Rezepte!$5:$5,0),0)),ISNUMBER(VLOOKUP(J$5,Materialpreise,3,0))),VLOOKUP(J$5,Materialpreise,3,0)*VLOOKUP($A28,Rezepte,MATCH(Kalkulation!J$5,Rezepte!$5:$5,0),0),"")</f>
        <v/>
      </c>
      <c r="K28" s="23" t="str">
        <f>IF(AND(ISNUMBER(VLOOKUP($A28,Rezepte,MATCH(Kalkulation!K$5,Rezepte!$5:$5,0),0)),ISNUMBER(VLOOKUP(K$5,Materialpreise,3,0))),VLOOKUP(K$5,Materialpreise,3,0)*VLOOKUP($A28,Rezepte,MATCH(Kalkulation!K$5,Rezepte!$5:$5,0),0),"")</f>
        <v/>
      </c>
      <c r="L28" s="23" t="str">
        <f>IF(AND(ISNUMBER(VLOOKUP($A28,Rezepte,MATCH(Kalkulation!L$5,Rezepte!$5:$5,0),0)),ISNUMBER(VLOOKUP(L$5,Materialpreise,3,0))),VLOOKUP(L$5,Materialpreise,3,0)*VLOOKUP($A28,Rezepte,MATCH(Kalkulation!L$5,Rezepte!$5:$5,0),0),"")</f>
        <v/>
      </c>
      <c r="M28" s="23" t="str">
        <f>IF(AND(ISNUMBER(VLOOKUP($A28,Rezepte,MATCH(Kalkulation!M$5,Rezepte!$5:$5,0),0)),ISNUMBER(VLOOKUP(M$5,Materialpreise,3,0))),VLOOKUP(M$5,Materialpreise,3,0)*VLOOKUP($A28,Rezepte,MATCH(Kalkulation!M$5,Rezepte!$5:$5,0),0),"")</f>
        <v/>
      </c>
      <c r="N28" s="23" t="str">
        <f>IF(AND(ISNUMBER(VLOOKUP($A28,Rezepte,MATCH(Kalkulation!N$5,Rezepte!$5:$5,0),0)),ISNUMBER(VLOOKUP(N$5,Materialpreise,3,0))),VLOOKUP(N$5,Materialpreise,3,0)*VLOOKUP($A28,Rezepte,MATCH(Kalkulation!N$5,Rezepte!$5:$5,0),0),"")</f>
        <v/>
      </c>
      <c r="O28" s="23" t="str">
        <f>IF(AND(ISNUMBER(VLOOKUP($A28,Rezepte,MATCH(Kalkulation!O$5,Rezepte!$5:$5,0),0)),ISNUMBER(VLOOKUP(O$5,Materialpreise,3,0))),VLOOKUP(O$5,Materialpreise,3,0)*VLOOKUP($A28,Rezepte,MATCH(Kalkulation!O$5,Rezepte!$5:$5,0),0),"")</f>
        <v/>
      </c>
      <c r="P28" s="23" t="str">
        <f>IF(AND(ISNUMBER(VLOOKUP($A28,Rezepte,MATCH(Kalkulation!P$5,Rezepte!$5:$5,0),0)),ISNUMBER(VLOOKUP(P$5,Materialpreise,3,0))),VLOOKUP(P$5,Materialpreise,3,0)*VLOOKUP($A28,Rezepte,MATCH(Kalkulation!P$5,Rezepte!$5:$5,0),0),"")</f>
        <v/>
      </c>
      <c r="Q28" s="23" t="str">
        <f>IF(AND(ISNUMBER(VLOOKUP($A28,Rezepte,MATCH(Kalkulation!Q$5,Rezepte!$5:$5,0),0)),ISNUMBER(VLOOKUP(Q$5,Materialpreise,3,0))),VLOOKUP(Q$5,Materialpreise,3,0)*VLOOKUP($A28,Rezepte,MATCH(Kalkulation!Q$5,Rezepte!$5:$5,0),0),"")</f>
        <v/>
      </c>
      <c r="R28" s="23" t="str">
        <f>IF(AND(ISNUMBER(VLOOKUP($A28,Rezepte,MATCH(Kalkulation!R$5,Rezepte!$5:$5,0),0)),ISNUMBER(VLOOKUP(R$5,Materialpreise,3,0))),VLOOKUP(R$5,Materialpreise,3,0)*VLOOKUP($A28,Rezepte,MATCH(Kalkulation!R$5,Rezepte!$5:$5,0),0),"")</f>
        <v/>
      </c>
      <c r="S28" s="23" t="str">
        <f>IF(AND(ISNUMBER(VLOOKUP($A28,Rezepte,MATCH(Kalkulation!S$5,Rezepte!$5:$5,0),0)),ISNUMBER(VLOOKUP(S$5,Materialpreise,3,0))),VLOOKUP(S$5,Materialpreise,3,0)*VLOOKUP($A28,Rezepte,MATCH(Kalkulation!S$5,Rezepte!$5:$5,0),0),"")</f>
        <v/>
      </c>
      <c r="T28" s="23" t="str">
        <f>IF(AND(ISNUMBER(VLOOKUP($A28,Rezepte,MATCH(Kalkulation!T$5,Rezepte!$5:$5,0),0)),ISNUMBER(VLOOKUP(T$5,Materialpreise,3,0))),VLOOKUP(T$5,Materialpreise,3,0)*VLOOKUP($A28,Rezepte,MATCH(Kalkulation!T$5,Rezepte!$5:$5,0),0),"")</f>
        <v/>
      </c>
      <c r="U28" s="23" t="str">
        <f>IF(AND(ISNUMBER(VLOOKUP($A28,Rezepte,MATCH(Kalkulation!U$5,Rezepte!$5:$5,0),0)),ISNUMBER(VLOOKUP(U$5,Materialpreise,3,0))),VLOOKUP(U$5,Materialpreise,3,0)*VLOOKUP($A28,Rezepte,MATCH(Kalkulation!U$5,Rezepte!$5:$5,0),0),"")</f>
        <v/>
      </c>
      <c r="V28" s="23" t="str">
        <f>IF(AND(ISNUMBER(VLOOKUP($A28,Rezepte,MATCH(Kalkulation!V$5,Rezepte!$5:$5,0),0)),ISNUMBER(VLOOKUP(V$5,Materialpreise,3,0))),VLOOKUP(V$5,Materialpreise,3,0)*VLOOKUP($A28,Rezepte,MATCH(Kalkulation!V$5,Rezepte!$5:$5,0),0),"")</f>
        <v/>
      </c>
      <c r="W28" s="23" t="str">
        <f>IF(AND(ISNUMBER(VLOOKUP($A28,Rezepte,MATCH(Kalkulation!W$5,Rezepte!$5:$5,0),0)),ISNUMBER(VLOOKUP(W$5,Materialpreise,3,0))),VLOOKUP(W$5,Materialpreise,3,0)*VLOOKUP($A28,Rezepte,MATCH(Kalkulation!W$5,Rezepte!$5:$5,0),0),"")</f>
        <v/>
      </c>
      <c r="X28" s="23" t="str">
        <f>IF(AND(ISNUMBER(VLOOKUP($A28,Rezepte,MATCH(Kalkulation!X$5,Rezepte!$5:$5,0),0)),ISNUMBER(VLOOKUP(X$5,Materialpreise,3,0))),VLOOKUP(X$5,Materialpreise,3,0)*VLOOKUP($A28,Rezepte,MATCH(Kalkulation!X$5,Rezepte!$5:$5,0),0),"")</f>
        <v/>
      </c>
      <c r="Y28" s="23" t="str">
        <f>IF(AND(ISNUMBER(VLOOKUP($A28,Rezepte,MATCH(Kalkulation!Y$5,Rezepte!$5:$5,0),0)),ISNUMBER(VLOOKUP(Y$5,Materialpreise,3,0))),VLOOKUP(Y$5,Materialpreise,3,0)*VLOOKUP($A28,Rezepte,MATCH(Kalkulation!Y$5,Rezepte!$5:$5,0),0),"")</f>
        <v/>
      </c>
      <c r="Z28" s="23" t="str">
        <f>IF(AND(ISNUMBER(VLOOKUP($A28,Rezepte,MATCH(Kalkulation!Z$5,Rezepte!$5:$5,0),0)),ISNUMBER(VLOOKUP(Z$5,Materialpreise,3,0))),VLOOKUP(Z$5,Materialpreise,3,0)*VLOOKUP($A28,Rezepte,MATCH(Kalkulation!Z$5,Rezepte!$5:$5,0),0),"")</f>
        <v/>
      </c>
      <c r="AA28" s="23" t="str">
        <f>IF(AND(ISNUMBER(VLOOKUP($A28,Rezepte,MATCH(Kalkulation!AA$5,Rezepte!$5:$5,0),0)),ISNUMBER(VLOOKUP(AA$5,Materialpreise,3,0))),VLOOKUP(AA$5,Materialpreise,3,0)*VLOOKUP($A28,Rezepte,MATCH(Kalkulation!AA$5,Rezepte!$5:$5,0),0),"")</f>
        <v/>
      </c>
      <c r="AB28" s="23" t="str">
        <f>IF(AND(ISNUMBER(VLOOKUP($A28,Rezepte,MATCH(Kalkulation!AB$5,Rezepte!$5:$5,0),0)),ISNUMBER(VLOOKUP(AB$5,Materialpreise,3,0))),VLOOKUP(AB$5,Materialpreise,3,0)*VLOOKUP($A28,Rezepte,MATCH(Kalkulation!AB$5,Rezepte!$5:$5,0),0),"")</f>
        <v/>
      </c>
      <c r="AC28" s="23" t="str">
        <f>IF(AND(ISNUMBER(VLOOKUP($A28,Rezepte,MATCH(Kalkulation!AC$5,Rezepte!$5:$5,0),0)),ISNUMBER(VLOOKUP(AC$5,Materialpreise,3,0))),VLOOKUP(AC$5,Materialpreise,3,0)*VLOOKUP($A28,Rezepte,MATCH(Kalkulation!AC$5,Rezepte!$5:$5,0),0),"")</f>
        <v/>
      </c>
      <c r="AD28" s="23" t="str">
        <f>IF(AND(ISNUMBER(VLOOKUP($A28,Rezepte,MATCH(Kalkulation!AD$5,Rezepte!$5:$5,0),0)),ISNUMBER(VLOOKUP(AD$5,Materialpreise,3,0))),VLOOKUP(AD$5,Materialpreise,3,0)*VLOOKUP($A28,Rezepte,MATCH(Kalkulation!AD$5,Rezepte!$5:$5,0),0),"")</f>
        <v/>
      </c>
      <c r="AE28" s="23" t="str">
        <f>IF(AND(ISNUMBER(VLOOKUP($A28,Rezepte,MATCH(Kalkulation!AE$5,Rezepte!$5:$5,0),0)),ISNUMBER(VLOOKUP(AE$5,Materialpreise,3,0))),VLOOKUP(AE$5,Materialpreise,3,0)*VLOOKUP($A28,Rezepte,MATCH(Kalkulation!AE$5,Rezepte!$5:$5,0),0),"")</f>
        <v/>
      </c>
      <c r="AF28" s="23" t="str">
        <f>IF(AND(ISNUMBER(VLOOKUP($A28,Rezepte,MATCH(Kalkulation!AF$5,Rezepte!$5:$5,0),0)),ISNUMBER(VLOOKUP(AF$5,Materialpreise,3,0))),VLOOKUP(AF$5,Materialpreise,3,0)*VLOOKUP($A28,Rezepte,MATCH(Kalkulation!AF$5,Rezepte!$5:$5,0),0),"")</f>
        <v/>
      </c>
      <c r="AG28" s="23" t="str">
        <f>IF(AND(ISNUMBER(VLOOKUP($A28,Rezepte,MATCH(Kalkulation!AG$5,Rezepte!$5:$5,0),0)),ISNUMBER(VLOOKUP(AG$5,Materialpreise,3,0))),VLOOKUP(AG$5,Materialpreise,3,0)*VLOOKUP($A28,Rezepte,MATCH(Kalkulation!AG$5,Rezepte!$5:$5,0),0),"")</f>
        <v/>
      </c>
      <c r="AH28" s="23" t="str">
        <f>IF(AND(ISNUMBER(VLOOKUP($A28,Rezepte,MATCH(Kalkulation!AH$5,Rezepte!$5:$5,0),0)),ISNUMBER(VLOOKUP(AH$5,Materialpreise,3,0))),VLOOKUP(AH$5,Materialpreise,3,0)*VLOOKUP($A28,Rezepte,MATCH(Kalkulation!AH$5,Rezepte!$5:$5,0),0),"")</f>
        <v/>
      </c>
      <c r="AI28" s="23" t="str">
        <f>IF(AND(ISNUMBER(VLOOKUP($A28,Rezepte,MATCH(Kalkulation!AI$5,Rezepte!$5:$5,0),0)),ISNUMBER(VLOOKUP(AI$5,Materialpreise,3,0))),VLOOKUP(AI$5,Materialpreise,3,0)*VLOOKUP($A28,Rezepte,MATCH(Kalkulation!AI$5,Rezepte!$5:$5,0),0),"")</f>
        <v/>
      </c>
      <c r="AJ28" s="23" t="str">
        <f>IF(AND(ISNUMBER(VLOOKUP($A28,Rezepte,MATCH(Kalkulation!AJ$5,Rezepte!$5:$5,0),0)),ISNUMBER(VLOOKUP(AJ$5,Materialpreise,3,0))),VLOOKUP(AJ$5,Materialpreise,3,0)*VLOOKUP($A28,Rezepte,MATCH(Kalkulation!AJ$5,Rezepte!$5:$5,0),0),"")</f>
        <v/>
      </c>
      <c r="AK28" s="23" t="str">
        <f>IF(AND(ISNUMBER(VLOOKUP($A28,Rezepte,MATCH(Kalkulation!AK$5,Rezepte!$5:$5,0),0)),ISNUMBER(VLOOKUP(AK$5,Materialpreise,3,0))),VLOOKUP(AK$5,Materialpreise,3,0)*VLOOKUP($A28,Rezepte,MATCH(Kalkulation!AK$5,Rezepte!$5:$5,0),0),"")</f>
        <v/>
      </c>
      <c r="AL28" s="23" t="str">
        <f>IF(AND(ISNUMBER(VLOOKUP($A28,Rezepte,MATCH(Kalkulation!AL$5,Rezepte!$5:$5,0),0)),ISNUMBER(VLOOKUP(AL$5,Materialpreise,3,0))),VLOOKUP(AL$5,Materialpreise,3,0)*VLOOKUP($A28,Rezepte,MATCH(Kalkulation!AL$5,Rezepte!$5:$5,0),0),"")</f>
        <v/>
      </c>
      <c r="AM28" s="23" t="str">
        <f>IF(AND(ISNUMBER(VLOOKUP($A28,Rezepte,MATCH(Kalkulation!AM$5,Rezepte!$5:$5,0),0)),ISNUMBER(VLOOKUP(AM$5,Materialpreise,3,0))),VLOOKUP(AM$5,Materialpreise,3,0)*VLOOKUP($A28,Rezepte,MATCH(Kalkulation!AM$5,Rezepte!$5:$5,0),0),"")</f>
        <v/>
      </c>
      <c r="AN28" s="23" t="str">
        <f>IF(AND(ISNUMBER(VLOOKUP($A28,Rezepte,MATCH(Kalkulation!AN$5,Rezepte!$5:$5,0),0)),ISNUMBER(VLOOKUP(AN$5,Materialpreise,3,0))),VLOOKUP(AN$5,Materialpreise,3,0)*VLOOKUP($A28,Rezepte,MATCH(Kalkulation!AN$5,Rezepte!$5:$5,0),0),"")</f>
        <v/>
      </c>
      <c r="AO28" s="23" t="str">
        <f>IF(AND(ISNUMBER(VLOOKUP($A28,Rezepte,MATCH(Kalkulation!AO$5,Rezepte!$5:$5,0),0)),ISNUMBER(VLOOKUP(AO$5,Materialpreise,3,0))),VLOOKUP(AO$5,Materialpreise,3,0)*VLOOKUP($A28,Rezepte,MATCH(Kalkulation!AO$5,Rezepte!$5:$5,0),0),"")</f>
        <v/>
      </c>
      <c r="AP28" s="23" t="str">
        <f>IF(AND(ISNUMBER(VLOOKUP($A28,Rezepte,MATCH(Kalkulation!AP$5,Rezepte!$5:$5,0),0)),ISNUMBER(VLOOKUP(AP$5,Materialpreise,3,0))),VLOOKUP(AP$5,Materialpreise,3,0)*VLOOKUP($A28,Rezepte,MATCH(Kalkulation!AP$5,Rezepte!$5:$5,0),0),"")</f>
        <v/>
      </c>
      <c r="AQ28" s="23" t="str">
        <f>IF(AND(ISNUMBER(VLOOKUP($A28,Rezepte,MATCH(Kalkulation!AQ$5,Rezepte!$5:$5,0),0)),ISNUMBER(VLOOKUP(AQ$5,Materialpreise,3,0))),VLOOKUP(AQ$5,Materialpreise,3,0)*VLOOKUP($A28,Rezepte,MATCH(Kalkulation!AQ$5,Rezepte!$5:$5,0),0),"")</f>
        <v/>
      </c>
      <c r="AR28" s="23" t="str">
        <f>IF(AND(ISNUMBER(VLOOKUP($A28,Rezepte,MATCH(Kalkulation!AR$5,Rezepte!$5:$5,0),0)),ISNUMBER(VLOOKUP(AR$5,Materialpreise,3,0))),VLOOKUP(AR$5,Materialpreise,3,0)*VLOOKUP($A28,Rezepte,MATCH(Kalkulation!AR$5,Rezepte!$5:$5,0),0),"")</f>
        <v/>
      </c>
      <c r="AS28" s="23" t="str">
        <f>IF(AND(ISNUMBER(VLOOKUP($A28,Rezepte,MATCH(Kalkulation!AS$5,Rezepte!$5:$5,0),0)),ISNUMBER(VLOOKUP(AS$5,Materialpreise,3,0))),VLOOKUP(AS$5,Materialpreise,3,0)*VLOOKUP($A28,Rezepte,MATCH(Kalkulation!AS$5,Rezepte!$5:$5,0),0),"")</f>
        <v/>
      </c>
      <c r="AT28" s="23" t="str">
        <f>IF(AND(ISNUMBER(VLOOKUP($A28,Rezepte,MATCH(Kalkulation!AT$5,Rezepte!$5:$5,0),0)),ISNUMBER(VLOOKUP(AT$5,Materialpreise,3,0))),VLOOKUP(AT$5,Materialpreise,3,0)*VLOOKUP($A28,Rezepte,MATCH(Kalkulation!AT$5,Rezepte!$5:$5,0),0),"")</f>
        <v/>
      </c>
      <c r="AU28" s="23" t="str">
        <f>IF(AND(ISNUMBER(VLOOKUP($A28,Rezepte,MATCH(Kalkulation!AU$5,Rezepte!$5:$5,0),0)),ISNUMBER(VLOOKUP(AU$5,Materialpreise,3,0))),VLOOKUP(AU$5,Materialpreise,3,0)*VLOOKUP($A28,Rezepte,MATCH(Kalkulation!AU$5,Rezepte!$5:$5,0),0),"")</f>
        <v/>
      </c>
      <c r="AV28" s="23" t="str">
        <f>IF(AND(ISNUMBER(VLOOKUP($A28,Rezepte,MATCH(Kalkulation!AV$5,Rezepte!$5:$5,0),0)),ISNUMBER(VLOOKUP(AV$5,Materialpreise,3,0))),VLOOKUP(AV$5,Materialpreise,3,0)*VLOOKUP($A28,Rezepte,MATCH(Kalkulation!AV$5,Rezepte!$5:$5,0),0),"")</f>
        <v/>
      </c>
      <c r="AW28" s="23" t="str">
        <f>IF(AND(ISNUMBER(VLOOKUP($A28,Rezepte,MATCH(Kalkulation!AW$5,Rezepte!$5:$5,0),0)),ISNUMBER(VLOOKUP(AW$5,Materialpreise,3,0))),VLOOKUP(AW$5,Materialpreise,3,0)*VLOOKUP($A28,Rezepte,MATCH(Kalkulation!AW$5,Rezepte!$5:$5,0),0),"")</f>
        <v/>
      </c>
      <c r="AX28" s="23" t="str">
        <f>IF(AND(ISNUMBER(VLOOKUP($A28,Rezepte,MATCH(Kalkulation!AX$5,Rezepte!$5:$5,0),0)),ISNUMBER(VLOOKUP(AX$5,Materialpreise,3,0))),VLOOKUP(AX$5,Materialpreise,3,0)*VLOOKUP($A28,Rezepte,MATCH(Kalkulation!AX$5,Rezepte!$5:$5,0),0),"")</f>
        <v/>
      </c>
      <c r="AY28" s="23" t="str">
        <f>IF(AND(ISNUMBER(VLOOKUP($A28,Rezepte,MATCH(Kalkulation!AY$5,Rezepte!$5:$5,0),0)),ISNUMBER(VLOOKUP(AY$5,Materialpreise,3,0))),VLOOKUP(AY$5,Materialpreise,3,0)*VLOOKUP($A28,Rezepte,MATCH(Kalkulation!AY$5,Rezepte!$5:$5,0),0),"")</f>
        <v/>
      </c>
      <c r="AZ28" s="23" t="str">
        <f>IF(AND(ISNUMBER(VLOOKUP($A28,Rezepte,MATCH(Kalkulation!AZ$5,Rezepte!$5:$5,0),0)),ISNUMBER(VLOOKUP(AZ$5,Materialpreise,3,0))),VLOOKUP(AZ$5,Materialpreise,3,0)*VLOOKUP($A28,Rezepte,MATCH(Kalkulation!AZ$5,Rezepte!$5:$5,0),0),"")</f>
        <v/>
      </c>
      <c r="BA28" s="23" t="str">
        <f>IF(AND(ISNUMBER(VLOOKUP($A28,Rezepte,MATCH(Kalkulation!BA$5,Rezepte!$5:$5,0),0)),ISNUMBER(VLOOKUP(BA$5,Materialpreise,3,0))),VLOOKUP(BA$5,Materialpreise,3,0)*VLOOKUP($A28,Rezepte,MATCH(Kalkulation!BA$5,Rezepte!$5:$5,0),0),"")</f>
        <v/>
      </c>
    </row>
    <row r="29" spans="1:53" x14ac:dyDescent="0.25">
      <c r="A29" t="str">
        <f t="array" ref="A29">IFERROR(INDEX(Rezepte!$A$6:$A$100,MATCH(1,(COUNTIF(A$6:A28,Rezepte!A$6:A$100)=0)*(Rezepte!A$6:A$100&lt;&gt;""),0)),"")</f>
        <v/>
      </c>
      <c r="B29" s="23" t="str">
        <f t="shared" si="0"/>
        <v/>
      </c>
      <c r="C29" s="23" t="str">
        <f t="shared" si="1"/>
        <v/>
      </c>
      <c r="D29" s="23" t="str">
        <f>IF(AND(ISNUMBER(VLOOKUP($A29,Rezepte,MATCH(Kalkulation!D$5,Rezepte!$5:$5,0),0)),ISNUMBER(VLOOKUP(D$5,Materialpreise,3,0))),VLOOKUP(D$5,Materialpreise,3,0)*VLOOKUP($A29,Rezepte,MATCH(Kalkulation!D$5,Rezepte!$5:$5,0),0),"")</f>
        <v/>
      </c>
      <c r="E29" s="23" t="str">
        <f>IF(AND(ISNUMBER(VLOOKUP($A29,Rezepte,MATCH(Kalkulation!E$5,Rezepte!$5:$5,0),0)),ISNUMBER(VLOOKUP(E$5,Materialpreise,3,0))),VLOOKUP(E$5,Materialpreise,3,0)*VLOOKUP($A29,Rezepte,MATCH(Kalkulation!E$5,Rezepte!$5:$5,0),0),"")</f>
        <v/>
      </c>
      <c r="F29" s="23" t="str">
        <f>IF(AND(ISNUMBER(VLOOKUP($A29,Rezepte,MATCH(Kalkulation!F$5,Rezepte!$5:$5,0),0)),ISNUMBER(VLOOKUP(F$5,Materialpreise,3,0))),VLOOKUP(F$5,Materialpreise,3,0)*VLOOKUP($A29,Rezepte,MATCH(Kalkulation!F$5,Rezepte!$5:$5,0),0),"")</f>
        <v/>
      </c>
      <c r="G29" s="23" t="str">
        <f>IF(AND(ISNUMBER(VLOOKUP($A29,Rezepte,MATCH(Kalkulation!G$5,Rezepte!$5:$5,0),0)),ISNUMBER(VLOOKUP(G$5,Materialpreise,3,0))),VLOOKUP(G$5,Materialpreise,3,0)*VLOOKUP($A29,Rezepte,MATCH(Kalkulation!G$5,Rezepte!$5:$5,0),0),"")</f>
        <v/>
      </c>
      <c r="H29" s="23" t="str">
        <f>IF(AND(ISNUMBER(VLOOKUP($A29,Rezepte,MATCH(Kalkulation!H$5,Rezepte!$5:$5,0),0)),ISNUMBER(VLOOKUP(H$5,Materialpreise,3,0))),VLOOKUP(H$5,Materialpreise,3,0)*VLOOKUP($A29,Rezepte,MATCH(Kalkulation!H$5,Rezepte!$5:$5,0),0),"")</f>
        <v/>
      </c>
      <c r="I29" s="23" t="str">
        <f>IF(AND(ISNUMBER(VLOOKUP($A29,Rezepte,MATCH(Kalkulation!I$5,Rezepte!$5:$5,0),0)),ISNUMBER(VLOOKUP(I$5,Materialpreise,3,0))),VLOOKUP(I$5,Materialpreise,3,0)*VLOOKUP($A29,Rezepte,MATCH(Kalkulation!I$5,Rezepte!$5:$5,0),0),"")</f>
        <v/>
      </c>
      <c r="J29" s="23" t="str">
        <f>IF(AND(ISNUMBER(VLOOKUP($A29,Rezepte,MATCH(Kalkulation!J$5,Rezepte!$5:$5,0),0)),ISNUMBER(VLOOKUP(J$5,Materialpreise,3,0))),VLOOKUP(J$5,Materialpreise,3,0)*VLOOKUP($A29,Rezepte,MATCH(Kalkulation!J$5,Rezepte!$5:$5,0),0),"")</f>
        <v/>
      </c>
      <c r="K29" s="23" t="str">
        <f>IF(AND(ISNUMBER(VLOOKUP($A29,Rezepte,MATCH(Kalkulation!K$5,Rezepte!$5:$5,0),0)),ISNUMBER(VLOOKUP(K$5,Materialpreise,3,0))),VLOOKUP(K$5,Materialpreise,3,0)*VLOOKUP($A29,Rezepte,MATCH(Kalkulation!K$5,Rezepte!$5:$5,0),0),"")</f>
        <v/>
      </c>
      <c r="L29" s="23" t="str">
        <f>IF(AND(ISNUMBER(VLOOKUP($A29,Rezepte,MATCH(Kalkulation!L$5,Rezepte!$5:$5,0),0)),ISNUMBER(VLOOKUP(L$5,Materialpreise,3,0))),VLOOKUP(L$5,Materialpreise,3,0)*VLOOKUP($A29,Rezepte,MATCH(Kalkulation!L$5,Rezepte!$5:$5,0),0),"")</f>
        <v/>
      </c>
      <c r="M29" s="23" t="str">
        <f>IF(AND(ISNUMBER(VLOOKUP($A29,Rezepte,MATCH(Kalkulation!M$5,Rezepte!$5:$5,0),0)),ISNUMBER(VLOOKUP(M$5,Materialpreise,3,0))),VLOOKUP(M$5,Materialpreise,3,0)*VLOOKUP($A29,Rezepte,MATCH(Kalkulation!M$5,Rezepte!$5:$5,0),0),"")</f>
        <v/>
      </c>
      <c r="N29" s="23" t="str">
        <f>IF(AND(ISNUMBER(VLOOKUP($A29,Rezepte,MATCH(Kalkulation!N$5,Rezepte!$5:$5,0),0)),ISNUMBER(VLOOKUP(N$5,Materialpreise,3,0))),VLOOKUP(N$5,Materialpreise,3,0)*VLOOKUP($A29,Rezepte,MATCH(Kalkulation!N$5,Rezepte!$5:$5,0),0),"")</f>
        <v/>
      </c>
      <c r="O29" s="23" t="str">
        <f>IF(AND(ISNUMBER(VLOOKUP($A29,Rezepte,MATCH(Kalkulation!O$5,Rezepte!$5:$5,0),0)),ISNUMBER(VLOOKUP(O$5,Materialpreise,3,0))),VLOOKUP(O$5,Materialpreise,3,0)*VLOOKUP($A29,Rezepte,MATCH(Kalkulation!O$5,Rezepte!$5:$5,0),0),"")</f>
        <v/>
      </c>
      <c r="P29" s="23" t="str">
        <f>IF(AND(ISNUMBER(VLOOKUP($A29,Rezepte,MATCH(Kalkulation!P$5,Rezepte!$5:$5,0),0)),ISNUMBER(VLOOKUP(P$5,Materialpreise,3,0))),VLOOKUP(P$5,Materialpreise,3,0)*VLOOKUP($A29,Rezepte,MATCH(Kalkulation!P$5,Rezepte!$5:$5,0),0),"")</f>
        <v/>
      </c>
      <c r="Q29" s="23" t="str">
        <f>IF(AND(ISNUMBER(VLOOKUP($A29,Rezepte,MATCH(Kalkulation!Q$5,Rezepte!$5:$5,0),0)),ISNUMBER(VLOOKUP(Q$5,Materialpreise,3,0))),VLOOKUP(Q$5,Materialpreise,3,0)*VLOOKUP($A29,Rezepte,MATCH(Kalkulation!Q$5,Rezepte!$5:$5,0),0),"")</f>
        <v/>
      </c>
      <c r="R29" s="23" t="str">
        <f>IF(AND(ISNUMBER(VLOOKUP($A29,Rezepte,MATCH(Kalkulation!R$5,Rezepte!$5:$5,0),0)),ISNUMBER(VLOOKUP(R$5,Materialpreise,3,0))),VLOOKUP(R$5,Materialpreise,3,0)*VLOOKUP($A29,Rezepte,MATCH(Kalkulation!R$5,Rezepte!$5:$5,0),0),"")</f>
        <v/>
      </c>
      <c r="S29" s="23" t="str">
        <f>IF(AND(ISNUMBER(VLOOKUP($A29,Rezepte,MATCH(Kalkulation!S$5,Rezepte!$5:$5,0),0)),ISNUMBER(VLOOKUP(S$5,Materialpreise,3,0))),VLOOKUP(S$5,Materialpreise,3,0)*VLOOKUP($A29,Rezepte,MATCH(Kalkulation!S$5,Rezepte!$5:$5,0),0),"")</f>
        <v/>
      </c>
      <c r="T29" s="23" t="str">
        <f>IF(AND(ISNUMBER(VLOOKUP($A29,Rezepte,MATCH(Kalkulation!T$5,Rezepte!$5:$5,0),0)),ISNUMBER(VLOOKUP(T$5,Materialpreise,3,0))),VLOOKUP(T$5,Materialpreise,3,0)*VLOOKUP($A29,Rezepte,MATCH(Kalkulation!T$5,Rezepte!$5:$5,0),0),"")</f>
        <v/>
      </c>
      <c r="U29" s="23" t="str">
        <f>IF(AND(ISNUMBER(VLOOKUP($A29,Rezepte,MATCH(Kalkulation!U$5,Rezepte!$5:$5,0),0)),ISNUMBER(VLOOKUP(U$5,Materialpreise,3,0))),VLOOKUP(U$5,Materialpreise,3,0)*VLOOKUP($A29,Rezepte,MATCH(Kalkulation!U$5,Rezepte!$5:$5,0),0),"")</f>
        <v/>
      </c>
      <c r="V29" s="23" t="str">
        <f>IF(AND(ISNUMBER(VLOOKUP($A29,Rezepte,MATCH(Kalkulation!V$5,Rezepte!$5:$5,0),0)),ISNUMBER(VLOOKUP(V$5,Materialpreise,3,0))),VLOOKUP(V$5,Materialpreise,3,0)*VLOOKUP($A29,Rezepte,MATCH(Kalkulation!V$5,Rezepte!$5:$5,0),0),"")</f>
        <v/>
      </c>
      <c r="W29" s="23" t="str">
        <f>IF(AND(ISNUMBER(VLOOKUP($A29,Rezepte,MATCH(Kalkulation!W$5,Rezepte!$5:$5,0),0)),ISNUMBER(VLOOKUP(W$5,Materialpreise,3,0))),VLOOKUP(W$5,Materialpreise,3,0)*VLOOKUP($A29,Rezepte,MATCH(Kalkulation!W$5,Rezepte!$5:$5,0),0),"")</f>
        <v/>
      </c>
      <c r="X29" s="23" t="str">
        <f>IF(AND(ISNUMBER(VLOOKUP($A29,Rezepte,MATCH(Kalkulation!X$5,Rezepte!$5:$5,0),0)),ISNUMBER(VLOOKUP(X$5,Materialpreise,3,0))),VLOOKUP(X$5,Materialpreise,3,0)*VLOOKUP($A29,Rezepte,MATCH(Kalkulation!X$5,Rezepte!$5:$5,0),0),"")</f>
        <v/>
      </c>
      <c r="Y29" s="23" t="str">
        <f>IF(AND(ISNUMBER(VLOOKUP($A29,Rezepte,MATCH(Kalkulation!Y$5,Rezepte!$5:$5,0),0)),ISNUMBER(VLOOKUP(Y$5,Materialpreise,3,0))),VLOOKUP(Y$5,Materialpreise,3,0)*VLOOKUP($A29,Rezepte,MATCH(Kalkulation!Y$5,Rezepte!$5:$5,0),0),"")</f>
        <v/>
      </c>
      <c r="Z29" s="23" t="str">
        <f>IF(AND(ISNUMBER(VLOOKUP($A29,Rezepte,MATCH(Kalkulation!Z$5,Rezepte!$5:$5,0),0)),ISNUMBER(VLOOKUP(Z$5,Materialpreise,3,0))),VLOOKUP(Z$5,Materialpreise,3,0)*VLOOKUP($A29,Rezepte,MATCH(Kalkulation!Z$5,Rezepte!$5:$5,0),0),"")</f>
        <v/>
      </c>
      <c r="AA29" s="23" t="str">
        <f>IF(AND(ISNUMBER(VLOOKUP($A29,Rezepte,MATCH(Kalkulation!AA$5,Rezepte!$5:$5,0),0)),ISNUMBER(VLOOKUP(AA$5,Materialpreise,3,0))),VLOOKUP(AA$5,Materialpreise,3,0)*VLOOKUP($A29,Rezepte,MATCH(Kalkulation!AA$5,Rezepte!$5:$5,0),0),"")</f>
        <v/>
      </c>
      <c r="AB29" s="23" t="str">
        <f>IF(AND(ISNUMBER(VLOOKUP($A29,Rezepte,MATCH(Kalkulation!AB$5,Rezepte!$5:$5,0),0)),ISNUMBER(VLOOKUP(AB$5,Materialpreise,3,0))),VLOOKUP(AB$5,Materialpreise,3,0)*VLOOKUP($A29,Rezepte,MATCH(Kalkulation!AB$5,Rezepte!$5:$5,0),0),"")</f>
        <v/>
      </c>
      <c r="AC29" s="23" t="str">
        <f>IF(AND(ISNUMBER(VLOOKUP($A29,Rezepte,MATCH(Kalkulation!AC$5,Rezepte!$5:$5,0),0)),ISNUMBER(VLOOKUP(AC$5,Materialpreise,3,0))),VLOOKUP(AC$5,Materialpreise,3,0)*VLOOKUP($A29,Rezepte,MATCH(Kalkulation!AC$5,Rezepte!$5:$5,0),0),"")</f>
        <v/>
      </c>
      <c r="AD29" s="23" t="str">
        <f>IF(AND(ISNUMBER(VLOOKUP($A29,Rezepte,MATCH(Kalkulation!AD$5,Rezepte!$5:$5,0),0)),ISNUMBER(VLOOKUP(AD$5,Materialpreise,3,0))),VLOOKUP(AD$5,Materialpreise,3,0)*VLOOKUP($A29,Rezepte,MATCH(Kalkulation!AD$5,Rezepte!$5:$5,0),0),"")</f>
        <v/>
      </c>
      <c r="AE29" s="23" t="str">
        <f>IF(AND(ISNUMBER(VLOOKUP($A29,Rezepte,MATCH(Kalkulation!AE$5,Rezepte!$5:$5,0),0)),ISNUMBER(VLOOKUP(AE$5,Materialpreise,3,0))),VLOOKUP(AE$5,Materialpreise,3,0)*VLOOKUP($A29,Rezepte,MATCH(Kalkulation!AE$5,Rezepte!$5:$5,0),0),"")</f>
        <v/>
      </c>
      <c r="AF29" s="23" t="str">
        <f>IF(AND(ISNUMBER(VLOOKUP($A29,Rezepte,MATCH(Kalkulation!AF$5,Rezepte!$5:$5,0),0)),ISNUMBER(VLOOKUP(AF$5,Materialpreise,3,0))),VLOOKUP(AF$5,Materialpreise,3,0)*VLOOKUP($A29,Rezepte,MATCH(Kalkulation!AF$5,Rezepte!$5:$5,0),0),"")</f>
        <v/>
      </c>
      <c r="AG29" s="23" t="str">
        <f>IF(AND(ISNUMBER(VLOOKUP($A29,Rezepte,MATCH(Kalkulation!AG$5,Rezepte!$5:$5,0),0)),ISNUMBER(VLOOKUP(AG$5,Materialpreise,3,0))),VLOOKUP(AG$5,Materialpreise,3,0)*VLOOKUP($A29,Rezepte,MATCH(Kalkulation!AG$5,Rezepte!$5:$5,0),0),"")</f>
        <v/>
      </c>
      <c r="AH29" s="23" t="str">
        <f>IF(AND(ISNUMBER(VLOOKUP($A29,Rezepte,MATCH(Kalkulation!AH$5,Rezepte!$5:$5,0),0)),ISNUMBER(VLOOKUP(AH$5,Materialpreise,3,0))),VLOOKUP(AH$5,Materialpreise,3,0)*VLOOKUP($A29,Rezepte,MATCH(Kalkulation!AH$5,Rezepte!$5:$5,0),0),"")</f>
        <v/>
      </c>
      <c r="AI29" s="23" t="str">
        <f>IF(AND(ISNUMBER(VLOOKUP($A29,Rezepte,MATCH(Kalkulation!AI$5,Rezepte!$5:$5,0),0)),ISNUMBER(VLOOKUP(AI$5,Materialpreise,3,0))),VLOOKUP(AI$5,Materialpreise,3,0)*VLOOKUP($A29,Rezepte,MATCH(Kalkulation!AI$5,Rezepte!$5:$5,0),0),"")</f>
        <v/>
      </c>
      <c r="AJ29" s="23" t="str">
        <f>IF(AND(ISNUMBER(VLOOKUP($A29,Rezepte,MATCH(Kalkulation!AJ$5,Rezepte!$5:$5,0),0)),ISNUMBER(VLOOKUP(AJ$5,Materialpreise,3,0))),VLOOKUP(AJ$5,Materialpreise,3,0)*VLOOKUP($A29,Rezepte,MATCH(Kalkulation!AJ$5,Rezepte!$5:$5,0),0),"")</f>
        <v/>
      </c>
      <c r="AK29" s="23" t="str">
        <f>IF(AND(ISNUMBER(VLOOKUP($A29,Rezepte,MATCH(Kalkulation!AK$5,Rezepte!$5:$5,0),0)),ISNUMBER(VLOOKUP(AK$5,Materialpreise,3,0))),VLOOKUP(AK$5,Materialpreise,3,0)*VLOOKUP($A29,Rezepte,MATCH(Kalkulation!AK$5,Rezepte!$5:$5,0),0),"")</f>
        <v/>
      </c>
      <c r="AL29" s="23" t="str">
        <f>IF(AND(ISNUMBER(VLOOKUP($A29,Rezepte,MATCH(Kalkulation!AL$5,Rezepte!$5:$5,0),0)),ISNUMBER(VLOOKUP(AL$5,Materialpreise,3,0))),VLOOKUP(AL$5,Materialpreise,3,0)*VLOOKUP($A29,Rezepte,MATCH(Kalkulation!AL$5,Rezepte!$5:$5,0),0),"")</f>
        <v/>
      </c>
      <c r="AM29" s="23" t="str">
        <f>IF(AND(ISNUMBER(VLOOKUP($A29,Rezepte,MATCH(Kalkulation!AM$5,Rezepte!$5:$5,0),0)),ISNUMBER(VLOOKUP(AM$5,Materialpreise,3,0))),VLOOKUP(AM$5,Materialpreise,3,0)*VLOOKUP($A29,Rezepte,MATCH(Kalkulation!AM$5,Rezepte!$5:$5,0),0),"")</f>
        <v/>
      </c>
      <c r="AN29" s="23" t="str">
        <f>IF(AND(ISNUMBER(VLOOKUP($A29,Rezepte,MATCH(Kalkulation!AN$5,Rezepte!$5:$5,0),0)),ISNUMBER(VLOOKUP(AN$5,Materialpreise,3,0))),VLOOKUP(AN$5,Materialpreise,3,0)*VLOOKUP($A29,Rezepte,MATCH(Kalkulation!AN$5,Rezepte!$5:$5,0),0),"")</f>
        <v/>
      </c>
      <c r="AO29" s="23" t="str">
        <f>IF(AND(ISNUMBER(VLOOKUP($A29,Rezepte,MATCH(Kalkulation!AO$5,Rezepte!$5:$5,0),0)),ISNUMBER(VLOOKUP(AO$5,Materialpreise,3,0))),VLOOKUP(AO$5,Materialpreise,3,0)*VLOOKUP($A29,Rezepte,MATCH(Kalkulation!AO$5,Rezepte!$5:$5,0),0),"")</f>
        <v/>
      </c>
      <c r="AP29" s="23" t="str">
        <f>IF(AND(ISNUMBER(VLOOKUP($A29,Rezepte,MATCH(Kalkulation!AP$5,Rezepte!$5:$5,0),0)),ISNUMBER(VLOOKUP(AP$5,Materialpreise,3,0))),VLOOKUP(AP$5,Materialpreise,3,0)*VLOOKUP($A29,Rezepte,MATCH(Kalkulation!AP$5,Rezepte!$5:$5,0),0),"")</f>
        <v/>
      </c>
      <c r="AQ29" s="23" t="str">
        <f>IF(AND(ISNUMBER(VLOOKUP($A29,Rezepte,MATCH(Kalkulation!AQ$5,Rezepte!$5:$5,0),0)),ISNUMBER(VLOOKUP(AQ$5,Materialpreise,3,0))),VLOOKUP(AQ$5,Materialpreise,3,0)*VLOOKUP($A29,Rezepte,MATCH(Kalkulation!AQ$5,Rezepte!$5:$5,0),0),"")</f>
        <v/>
      </c>
      <c r="AR29" s="23" t="str">
        <f>IF(AND(ISNUMBER(VLOOKUP($A29,Rezepte,MATCH(Kalkulation!AR$5,Rezepte!$5:$5,0),0)),ISNUMBER(VLOOKUP(AR$5,Materialpreise,3,0))),VLOOKUP(AR$5,Materialpreise,3,0)*VLOOKUP($A29,Rezepte,MATCH(Kalkulation!AR$5,Rezepte!$5:$5,0),0),"")</f>
        <v/>
      </c>
      <c r="AS29" s="23" t="str">
        <f>IF(AND(ISNUMBER(VLOOKUP($A29,Rezepte,MATCH(Kalkulation!AS$5,Rezepte!$5:$5,0),0)),ISNUMBER(VLOOKUP(AS$5,Materialpreise,3,0))),VLOOKUP(AS$5,Materialpreise,3,0)*VLOOKUP($A29,Rezepte,MATCH(Kalkulation!AS$5,Rezepte!$5:$5,0),0),"")</f>
        <v/>
      </c>
      <c r="AT29" s="23" t="str">
        <f>IF(AND(ISNUMBER(VLOOKUP($A29,Rezepte,MATCH(Kalkulation!AT$5,Rezepte!$5:$5,0),0)),ISNUMBER(VLOOKUP(AT$5,Materialpreise,3,0))),VLOOKUP(AT$5,Materialpreise,3,0)*VLOOKUP($A29,Rezepte,MATCH(Kalkulation!AT$5,Rezepte!$5:$5,0),0),"")</f>
        <v/>
      </c>
      <c r="AU29" s="23" t="str">
        <f>IF(AND(ISNUMBER(VLOOKUP($A29,Rezepte,MATCH(Kalkulation!AU$5,Rezepte!$5:$5,0),0)),ISNUMBER(VLOOKUP(AU$5,Materialpreise,3,0))),VLOOKUP(AU$5,Materialpreise,3,0)*VLOOKUP($A29,Rezepte,MATCH(Kalkulation!AU$5,Rezepte!$5:$5,0),0),"")</f>
        <v/>
      </c>
      <c r="AV29" s="23" t="str">
        <f>IF(AND(ISNUMBER(VLOOKUP($A29,Rezepte,MATCH(Kalkulation!AV$5,Rezepte!$5:$5,0),0)),ISNUMBER(VLOOKUP(AV$5,Materialpreise,3,0))),VLOOKUP(AV$5,Materialpreise,3,0)*VLOOKUP($A29,Rezepte,MATCH(Kalkulation!AV$5,Rezepte!$5:$5,0),0),"")</f>
        <v/>
      </c>
      <c r="AW29" s="23" t="str">
        <f>IF(AND(ISNUMBER(VLOOKUP($A29,Rezepte,MATCH(Kalkulation!AW$5,Rezepte!$5:$5,0),0)),ISNUMBER(VLOOKUP(AW$5,Materialpreise,3,0))),VLOOKUP(AW$5,Materialpreise,3,0)*VLOOKUP($A29,Rezepte,MATCH(Kalkulation!AW$5,Rezepte!$5:$5,0),0),"")</f>
        <v/>
      </c>
      <c r="AX29" s="23" t="str">
        <f>IF(AND(ISNUMBER(VLOOKUP($A29,Rezepte,MATCH(Kalkulation!AX$5,Rezepte!$5:$5,0),0)),ISNUMBER(VLOOKUP(AX$5,Materialpreise,3,0))),VLOOKUP(AX$5,Materialpreise,3,0)*VLOOKUP($A29,Rezepte,MATCH(Kalkulation!AX$5,Rezepte!$5:$5,0),0),"")</f>
        <v/>
      </c>
      <c r="AY29" s="23" t="str">
        <f>IF(AND(ISNUMBER(VLOOKUP($A29,Rezepte,MATCH(Kalkulation!AY$5,Rezepte!$5:$5,0),0)),ISNUMBER(VLOOKUP(AY$5,Materialpreise,3,0))),VLOOKUP(AY$5,Materialpreise,3,0)*VLOOKUP($A29,Rezepte,MATCH(Kalkulation!AY$5,Rezepte!$5:$5,0),0),"")</f>
        <v/>
      </c>
      <c r="AZ29" s="23" t="str">
        <f>IF(AND(ISNUMBER(VLOOKUP($A29,Rezepte,MATCH(Kalkulation!AZ$5,Rezepte!$5:$5,0),0)),ISNUMBER(VLOOKUP(AZ$5,Materialpreise,3,0))),VLOOKUP(AZ$5,Materialpreise,3,0)*VLOOKUP($A29,Rezepte,MATCH(Kalkulation!AZ$5,Rezepte!$5:$5,0),0),"")</f>
        <v/>
      </c>
      <c r="BA29" s="23" t="str">
        <f>IF(AND(ISNUMBER(VLOOKUP($A29,Rezepte,MATCH(Kalkulation!BA$5,Rezepte!$5:$5,0),0)),ISNUMBER(VLOOKUP(BA$5,Materialpreise,3,0))),VLOOKUP(BA$5,Materialpreise,3,0)*VLOOKUP($A29,Rezepte,MATCH(Kalkulation!BA$5,Rezepte!$5:$5,0),0),"")</f>
        <v/>
      </c>
    </row>
    <row r="30" spans="1:53" x14ac:dyDescent="0.25">
      <c r="A30" t="str">
        <f t="array" ref="A30">IFERROR(INDEX(Rezepte!$A$6:$A$100,MATCH(1,(COUNTIF(A$6:A29,Rezepte!A$6:A$100)=0)*(Rezepte!A$6:A$100&lt;&gt;""),0)),"")</f>
        <v/>
      </c>
      <c r="B30" s="23" t="str">
        <f t="shared" ref="B30:B38" si="2">IF(COUNT(D30:XFD30),SUM(D30:XFD30),"")</f>
        <v/>
      </c>
      <c r="C30" s="23" t="str">
        <f t="shared" si="1"/>
        <v/>
      </c>
      <c r="D30" s="23" t="str">
        <f>IF(AND(ISNUMBER(VLOOKUP($A30,Rezepte,MATCH(Kalkulation!D$5,Rezepte!$5:$5,0),0)),ISNUMBER(VLOOKUP(D$5,Materialpreise,3,0))),VLOOKUP(D$5,Materialpreise,3,0)*VLOOKUP($A30,Rezepte,MATCH(Kalkulation!D$5,Rezepte!$5:$5,0),0),"")</f>
        <v/>
      </c>
      <c r="E30" s="23" t="str">
        <f>IF(AND(ISNUMBER(VLOOKUP($A30,Rezepte,MATCH(Kalkulation!E$5,Rezepte!$5:$5,0),0)),ISNUMBER(VLOOKUP(E$5,Materialpreise,3,0))),VLOOKUP(E$5,Materialpreise,3,0)*VLOOKUP($A30,Rezepte,MATCH(Kalkulation!E$5,Rezepte!$5:$5,0),0),"")</f>
        <v/>
      </c>
      <c r="F30" s="23" t="str">
        <f>IF(AND(ISNUMBER(VLOOKUP($A30,Rezepte,MATCH(Kalkulation!F$5,Rezepte!$5:$5,0),0)),ISNUMBER(VLOOKUP(F$5,Materialpreise,3,0))),VLOOKUP(F$5,Materialpreise,3,0)*VLOOKUP($A30,Rezepte,MATCH(Kalkulation!F$5,Rezepte!$5:$5,0),0),"")</f>
        <v/>
      </c>
      <c r="G30" s="23" t="str">
        <f>IF(AND(ISNUMBER(VLOOKUP($A30,Rezepte,MATCH(Kalkulation!G$5,Rezepte!$5:$5,0),0)),ISNUMBER(VLOOKUP(G$5,Materialpreise,3,0))),VLOOKUP(G$5,Materialpreise,3,0)*VLOOKUP($A30,Rezepte,MATCH(Kalkulation!G$5,Rezepte!$5:$5,0),0),"")</f>
        <v/>
      </c>
      <c r="H30" s="23" t="str">
        <f>IF(AND(ISNUMBER(VLOOKUP($A30,Rezepte,MATCH(Kalkulation!H$5,Rezepte!$5:$5,0),0)),ISNUMBER(VLOOKUP(H$5,Materialpreise,3,0))),VLOOKUP(H$5,Materialpreise,3,0)*VLOOKUP($A30,Rezepte,MATCH(Kalkulation!H$5,Rezepte!$5:$5,0),0),"")</f>
        <v/>
      </c>
      <c r="I30" s="23" t="str">
        <f>IF(AND(ISNUMBER(VLOOKUP($A30,Rezepte,MATCH(Kalkulation!I$5,Rezepte!$5:$5,0),0)),ISNUMBER(VLOOKUP(I$5,Materialpreise,3,0))),VLOOKUP(I$5,Materialpreise,3,0)*VLOOKUP($A30,Rezepte,MATCH(Kalkulation!I$5,Rezepte!$5:$5,0),0),"")</f>
        <v/>
      </c>
      <c r="J30" s="23" t="str">
        <f>IF(AND(ISNUMBER(VLOOKUP($A30,Rezepte,MATCH(Kalkulation!J$5,Rezepte!$5:$5,0),0)),ISNUMBER(VLOOKUP(J$5,Materialpreise,3,0))),VLOOKUP(J$5,Materialpreise,3,0)*VLOOKUP($A30,Rezepte,MATCH(Kalkulation!J$5,Rezepte!$5:$5,0),0),"")</f>
        <v/>
      </c>
      <c r="K30" s="23" t="str">
        <f>IF(AND(ISNUMBER(VLOOKUP($A30,Rezepte,MATCH(Kalkulation!K$5,Rezepte!$5:$5,0),0)),ISNUMBER(VLOOKUP(K$5,Materialpreise,3,0))),VLOOKUP(K$5,Materialpreise,3,0)*VLOOKUP($A30,Rezepte,MATCH(Kalkulation!K$5,Rezepte!$5:$5,0),0),"")</f>
        <v/>
      </c>
      <c r="L30" s="23" t="str">
        <f>IF(AND(ISNUMBER(VLOOKUP($A30,Rezepte,MATCH(Kalkulation!L$5,Rezepte!$5:$5,0),0)),ISNUMBER(VLOOKUP(L$5,Materialpreise,3,0))),VLOOKUP(L$5,Materialpreise,3,0)*VLOOKUP($A30,Rezepte,MATCH(Kalkulation!L$5,Rezepte!$5:$5,0),0),"")</f>
        <v/>
      </c>
      <c r="M30" s="23" t="str">
        <f>IF(AND(ISNUMBER(VLOOKUP($A30,Rezepte,MATCH(Kalkulation!M$5,Rezepte!$5:$5,0),0)),ISNUMBER(VLOOKUP(M$5,Materialpreise,3,0))),VLOOKUP(M$5,Materialpreise,3,0)*VLOOKUP($A30,Rezepte,MATCH(Kalkulation!M$5,Rezepte!$5:$5,0),0),"")</f>
        <v/>
      </c>
      <c r="N30" s="23" t="str">
        <f>IF(AND(ISNUMBER(VLOOKUP($A30,Rezepte,MATCH(Kalkulation!N$5,Rezepte!$5:$5,0),0)),ISNUMBER(VLOOKUP(N$5,Materialpreise,3,0))),VLOOKUP(N$5,Materialpreise,3,0)*VLOOKUP($A30,Rezepte,MATCH(Kalkulation!N$5,Rezepte!$5:$5,0),0),"")</f>
        <v/>
      </c>
      <c r="O30" s="23" t="str">
        <f>IF(AND(ISNUMBER(VLOOKUP($A30,Rezepte,MATCH(Kalkulation!O$5,Rezepte!$5:$5,0),0)),ISNUMBER(VLOOKUP(O$5,Materialpreise,3,0))),VLOOKUP(O$5,Materialpreise,3,0)*VLOOKUP($A30,Rezepte,MATCH(Kalkulation!O$5,Rezepte!$5:$5,0),0),"")</f>
        <v/>
      </c>
      <c r="P30" s="23" t="str">
        <f>IF(AND(ISNUMBER(VLOOKUP($A30,Rezepte,MATCH(Kalkulation!P$5,Rezepte!$5:$5,0),0)),ISNUMBER(VLOOKUP(P$5,Materialpreise,3,0))),VLOOKUP(P$5,Materialpreise,3,0)*VLOOKUP($A30,Rezepte,MATCH(Kalkulation!P$5,Rezepte!$5:$5,0),0),"")</f>
        <v/>
      </c>
      <c r="Q30" s="23" t="str">
        <f>IF(AND(ISNUMBER(VLOOKUP($A30,Rezepte,MATCH(Kalkulation!Q$5,Rezepte!$5:$5,0),0)),ISNUMBER(VLOOKUP(Q$5,Materialpreise,3,0))),VLOOKUP(Q$5,Materialpreise,3,0)*VLOOKUP($A30,Rezepte,MATCH(Kalkulation!Q$5,Rezepte!$5:$5,0),0),"")</f>
        <v/>
      </c>
      <c r="R30" s="23" t="str">
        <f>IF(AND(ISNUMBER(VLOOKUP($A30,Rezepte,MATCH(Kalkulation!R$5,Rezepte!$5:$5,0),0)),ISNUMBER(VLOOKUP(R$5,Materialpreise,3,0))),VLOOKUP(R$5,Materialpreise,3,0)*VLOOKUP($A30,Rezepte,MATCH(Kalkulation!R$5,Rezepte!$5:$5,0),0),"")</f>
        <v/>
      </c>
      <c r="S30" s="23" t="str">
        <f>IF(AND(ISNUMBER(VLOOKUP($A30,Rezepte,MATCH(Kalkulation!S$5,Rezepte!$5:$5,0),0)),ISNUMBER(VLOOKUP(S$5,Materialpreise,3,0))),VLOOKUP(S$5,Materialpreise,3,0)*VLOOKUP($A30,Rezepte,MATCH(Kalkulation!S$5,Rezepte!$5:$5,0),0),"")</f>
        <v/>
      </c>
      <c r="T30" s="23" t="str">
        <f>IF(AND(ISNUMBER(VLOOKUP($A30,Rezepte,MATCH(Kalkulation!T$5,Rezepte!$5:$5,0),0)),ISNUMBER(VLOOKUP(T$5,Materialpreise,3,0))),VLOOKUP(T$5,Materialpreise,3,0)*VLOOKUP($A30,Rezepte,MATCH(Kalkulation!T$5,Rezepte!$5:$5,0),0),"")</f>
        <v/>
      </c>
      <c r="U30" s="23" t="str">
        <f>IF(AND(ISNUMBER(VLOOKUP($A30,Rezepte,MATCH(Kalkulation!U$5,Rezepte!$5:$5,0),0)),ISNUMBER(VLOOKUP(U$5,Materialpreise,3,0))),VLOOKUP(U$5,Materialpreise,3,0)*VLOOKUP($A30,Rezepte,MATCH(Kalkulation!U$5,Rezepte!$5:$5,0),0),"")</f>
        <v/>
      </c>
      <c r="V30" s="23" t="str">
        <f>IF(AND(ISNUMBER(VLOOKUP($A30,Rezepte,MATCH(Kalkulation!V$5,Rezepte!$5:$5,0),0)),ISNUMBER(VLOOKUP(V$5,Materialpreise,3,0))),VLOOKUP(V$5,Materialpreise,3,0)*VLOOKUP($A30,Rezepte,MATCH(Kalkulation!V$5,Rezepte!$5:$5,0),0),"")</f>
        <v/>
      </c>
      <c r="W30" s="23" t="str">
        <f>IF(AND(ISNUMBER(VLOOKUP($A30,Rezepte,MATCH(Kalkulation!W$5,Rezepte!$5:$5,0),0)),ISNUMBER(VLOOKUP(W$5,Materialpreise,3,0))),VLOOKUP(W$5,Materialpreise,3,0)*VLOOKUP($A30,Rezepte,MATCH(Kalkulation!W$5,Rezepte!$5:$5,0),0),"")</f>
        <v/>
      </c>
      <c r="X30" s="23" t="str">
        <f>IF(AND(ISNUMBER(VLOOKUP($A30,Rezepte,MATCH(Kalkulation!X$5,Rezepte!$5:$5,0),0)),ISNUMBER(VLOOKUP(X$5,Materialpreise,3,0))),VLOOKUP(X$5,Materialpreise,3,0)*VLOOKUP($A30,Rezepte,MATCH(Kalkulation!X$5,Rezepte!$5:$5,0),0),"")</f>
        <v/>
      </c>
      <c r="Y30" s="23" t="str">
        <f>IF(AND(ISNUMBER(VLOOKUP($A30,Rezepte,MATCH(Kalkulation!Y$5,Rezepte!$5:$5,0),0)),ISNUMBER(VLOOKUP(Y$5,Materialpreise,3,0))),VLOOKUP(Y$5,Materialpreise,3,0)*VLOOKUP($A30,Rezepte,MATCH(Kalkulation!Y$5,Rezepte!$5:$5,0),0),"")</f>
        <v/>
      </c>
      <c r="Z30" s="23" t="str">
        <f>IF(AND(ISNUMBER(VLOOKUP($A30,Rezepte,MATCH(Kalkulation!Z$5,Rezepte!$5:$5,0),0)),ISNUMBER(VLOOKUP(Z$5,Materialpreise,3,0))),VLOOKUP(Z$5,Materialpreise,3,0)*VLOOKUP($A30,Rezepte,MATCH(Kalkulation!Z$5,Rezepte!$5:$5,0),0),"")</f>
        <v/>
      </c>
      <c r="AA30" s="23" t="str">
        <f>IF(AND(ISNUMBER(VLOOKUP($A30,Rezepte,MATCH(Kalkulation!AA$5,Rezepte!$5:$5,0),0)),ISNUMBER(VLOOKUP(AA$5,Materialpreise,3,0))),VLOOKUP(AA$5,Materialpreise,3,0)*VLOOKUP($A30,Rezepte,MATCH(Kalkulation!AA$5,Rezepte!$5:$5,0),0),"")</f>
        <v/>
      </c>
      <c r="AB30" s="23" t="str">
        <f>IF(AND(ISNUMBER(VLOOKUP($A30,Rezepte,MATCH(Kalkulation!AB$5,Rezepte!$5:$5,0),0)),ISNUMBER(VLOOKUP(AB$5,Materialpreise,3,0))),VLOOKUP(AB$5,Materialpreise,3,0)*VLOOKUP($A30,Rezepte,MATCH(Kalkulation!AB$5,Rezepte!$5:$5,0),0),"")</f>
        <v/>
      </c>
      <c r="AC30" s="23" t="str">
        <f>IF(AND(ISNUMBER(VLOOKUP($A30,Rezepte,MATCH(Kalkulation!AC$5,Rezepte!$5:$5,0),0)),ISNUMBER(VLOOKUP(AC$5,Materialpreise,3,0))),VLOOKUP(AC$5,Materialpreise,3,0)*VLOOKUP($A30,Rezepte,MATCH(Kalkulation!AC$5,Rezepte!$5:$5,0),0),"")</f>
        <v/>
      </c>
      <c r="AD30" s="23" t="str">
        <f>IF(AND(ISNUMBER(VLOOKUP($A30,Rezepte,MATCH(Kalkulation!AD$5,Rezepte!$5:$5,0),0)),ISNUMBER(VLOOKUP(AD$5,Materialpreise,3,0))),VLOOKUP(AD$5,Materialpreise,3,0)*VLOOKUP($A30,Rezepte,MATCH(Kalkulation!AD$5,Rezepte!$5:$5,0),0),"")</f>
        <v/>
      </c>
      <c r="AE30" s="23" t="str">
        <f>IF(AND(ISNUMBER(VLOOKUP($A30,Rezepte,MATCH(Kalkulation!AE$5,Rezepte!$5:$5,0),0)),ISNUMBER(VLOOKUP(AE$5,Materialpreise,3,0))),VLOOKUP(AE$5,Materialpreise,3,0)*VLOOKUP($A30,Rezepte,MATCH(Kalkulation!AE$5,Rezepte!$5:$5,0),0),"")</f>
        <v/>
      </c>
      <c r="AF30" s="23" t="str">
        <f>IF(AND(ISNUMBER(VLOOKUP($A30,Rezepte,MATCH(Kalkulation!AF$5,Rezepte!$5:$5,0),0)),ISNUMBER(VLOOKUP(AF$5,Materialpreise,3,0))),VLOOKUP(AF$5,Materialpreise,3,0)*VLOOKUP($A30,Rezepte,MATCH(Kalkulation!AF$5,Rezepte!$5:$5,0),0),"")</f>
        <v/>
      </c>
      <c r="AG30" s="23" t="str">
        <f>IF(AND(ISNUMBER(VLOOKUP($A30,Rezepte,MATCH(Kalkulation!AG$5,Rezepte!$5:$5,0),0)),ISNUMBER(VLOOKUP(AG$5,Materialpreise,3,0))),VLOOKUP(AG$5,Materialpreise,3,0)*VLOOKUP($A30,Rezepte,MATCH(Kalkulation!AG$5,Rezepte!$5:$5,0),0),"")</f>
        <v/>
      </c>
      <c r="AH30" s="23" t="str">
        <f>IF(AND(ISNUMBER(VLOOKUP($A30,Rezepte,MATCH(Kalkulation!AH$5,Rezepte!$5:$5,0),0)),ISNUMBER(VLOOKUP(AH$5,Materialpreise,3,0))),VLOOKUP(AH$5,Materialpreise,3,0)*VLOOKUP($A30,Rezepte,MATCH(Kalkulation!AH$5,Rezepte!$5:$5,0),0),"")</f>
        <v/>
      </c>
      <c r="AI30" s="23" t="str">
        <f>IF(AND(ISNUMBER(VLOOKUP($A30,Rezepte,MATCH(Kalkulation!AI$5,Rezepte!$5:$5,0),0)),ISNUMBER(VLOOKUP(AI$5,Materialpreise,3,0))),VLOOKUP(AI$5,Materialpreise,3,0)*VLOOKUP($A30,Rezepte,MATCH(Kalkulation!AI$5,Rezepte!$5:$5,0),0),"")</f>
        <v/>
      </c>
      <c r="AJ30" s="23" t="str">
        <f>IF(AND(ISNUMBER(VLOOKUP($A30,Rezepte,MATCH(Kalkulation!AJ$5,Rezepte!$5:$5,0),0)),ISNUMBER(VLOOKUP(AJ$5,Materialpreise,3,0))),VLOOKUP(AJ$5,Materialpreise,3,0)*VLOOKUP($A30,Rezepte,MATCH(Kalkulation!AJ$5,Rezepte!$5:$5,0),0),"")</f>
        <v/>
      </c>
      <c r="AK30" s="23" t="str">
        <f>IF(AND(ISNUMBER(VLOOKUP($A30,Rezepte,MATCH(Kalkulation!AK$5,Rezepte!$5:$5,0),0)),ISNUMBER(VLOOKUP(AK$5,Materialpreise,3,0))),VLOOKUP(AK$5,Materialpreise,3,0)*VLOOKUP($A30,Rezepte,MATCH(Kalkulation!AK$5,Rezepte!$5:$5,0),0),"")</f>
        <v/>
      </c>
      <c r="AL30" s="23" t="str">
        <f>IF(AND(ISNUMBER(VLOOKUP($A30,Rezepte,MATCH(Kalkulation!AL$5,Rezepte!$5:$5,0),0)),ISNUMBER(VLOOKUP(AL$5,Materialpreise,3,0))),VLOOKUP(AL$5,Materialpreise,3,0)*VLOOKUP($A30,Rezepte,MATCH(Kalkulation!AL$5,Rezepte!$5:$5,0),0),"")</f>
        <v/>
      </c>
      <c r="AM30" s="23" t="str">
        <f>IF(AND(ISNUMBER(VLOOKUP($A30,Rezepte,MATCH(Kalkulation!AM$5,Rezepte!$5:$5,0),0)),ISNUMBER(VLOOKUP(AM$5,Materialpreise,3,0))),VLOOKUP(AM$5,Materialpreise,3,0)*VLOOKUP($A30,Rezepte,MATCH(Kalkulation!AM$5,Rezepte!$5:$5,0),0),"")</f>
        <v/>
      </c>
      <c r="AN30" s="23" t="str">
        <f>IF(AND(ISNUMBER(VLOOKUP($A30,Rezepte,MATCH(Kalkulation!AN$5,Rezepte!$5:$5,0),0)),ISNUMBER(VLOOKUP(AN$5,Materialpreise,3,0))),VLOOKUP(AN$5,Materialpreise,3,0)*VLOOKUP($A30,Rezepte,MATCH(Kalkulation!AN$5,Rezepte!$5:$5,0),0),"")</f>
        <v/>
      </c>
      <c r="AO30" s="23" t="str">
        <f>IF(AND(ISNUMBER(VLOOKUP($A30,Rezepte,MATCH(Kalkulation!AO$5,Rezepte!$5:$5,0),0)),ISNUMBER(VLOOKUP(AO$5,Materialpreise,3,0))),VLOOKUP(AO$5,Materialpreise,3,0)*VLOOKUP($A30,Rezepte,MATCH(Kalkulation!AO$5,Rezepte!$5:$5,0),0),"")</f>
        <v/>
      </c>
      <c r="AP30" s="23" t="str">
        <f>IF(AND(ISNUMBER(VLOOKUP($A30,Rezepte,MATCH(Kalkulation!AP$5,Rezepte!$5:$5,0),0)),ISNUMBER(VLOOKUP(AP$5,Materialpreise,3,0))),VLOOKUP(AP$5,Materialpreise,3,0)*VLOOKUP($A30,Rezepte,MATCH(Kalkulation!AP$5,Rezepte!$5:$5,0),0),"")</f>
        <v/>
      </c>
      <c r="AQ30" s="23" t="str">
        <f>IF(AND(ISNUMBER(VLOOKUP($A30,Rezepte,MATCH(Kalkulation!AQ$5,Rezepte!$5:$5,0),0)),ISNUMBER(VLOOKUP(AQ$5,Materialpreise,3,0))),VLOOKUP(AQ$5,Materialpreise,3,0)*VLOOKUP($A30,Rezepte,MATCH(Kalkulation!AQ$5,Rezepte!$5:$5,0),0),"")</f>
        <v/>
      </c>
      <c r="AR30" s="23" t="str">
        <f>IF(AND(ISNUMBER(VLOOKUP($A30,Rezepte,MATCH(Kalkulation!AR$5,Rezepte!$5:$5,0),0)),ISNUMBER(VLOOKUP(AR$5,Materialpreise,3,0))),VLOOKUP(AR$5,Materialpreise,3,0)*VLOOKUP($A30,Rezepte,MATCH(Kalkulation!AR$5,Rezepte!$5:$5,0),0),"")</f>
        <v/>
      </c>
      <c r="AS30" s="23" t="str">
        <f>IF(AND(ISNUMBER(VLOOKUP($A30,Rezepte,MATCH(Kalkulation!AS$5,Rezepte!$5:$5,0),0)),ISNUMBER(VLOOKUP(AS$5,Materialpreise,3,0))),VLOOKUP(AS$5,Materialpreise,3,0)*VLOOKUP($A30,Rezepte,MATCH(Kalkulation!AS$5,Rezepte!$5:$5,0),0),"")</f>
        <v/>
      </c>
      <c r="AT30" s="23" t="str">
        <f>IF(AND(ISNUMBER(VLOOKUP($A30,Rezepte,MATCH(Kalkulation!AT$5,Rezepte!$5:$5,0),0)),ISNUMBER(VLOOKUP(AT$5,Materialpreise,3,0))),VLOOKUP(AT$5,Materialpreise,3,0)*VLOOKUP($A30,Rezepte,MATCH(Kalkulation!AT$5,Rezepte!$5:$5,0),0),"")</f>
        <v/>
      </c>
      <c r="AU30" s="23" t="str">
        <f>IF(AND(ISNUMBER(VLOOKUP($A30,Rezepte,MATCH(Kalkulation!AU$5,Rezepte!$5:$5,0),0)),ISNUMBER(VLOOKUP(AU$5,Materialpreise,3,0))),VLOOKUP(AU$5,Materialpreise,3,0)*VLOOKUP($A30,Rezepte,MATCH(Kalkulation!AU$5,Rezepte!$5:$5,0),0),"")</f>
        <v/>
      </c>
      <c r="AV30" s="23" t="str">
        <f>IF(AND(ISNUMBER(VLOOKUP($A30,Rezepte,MATCH(Kalkulation!AV$5,Rezepte!$5:$5,0),0)),ISNUMBER(VLOOKUP(AV$5,Materialpreise,3,0))),VLOOKUP(AV$5,Materialpreise,3,0)*VLOOKUP($A30,Rezepte,MATCH(Kalkulation!AV$5,Rezepte!$5:$5,0),0),"")</f>
        <v/>
      </c>
      <c r="AW30" s="23" t="str">
        <f>IF(AND(ISNUMBER(VLOOKUP($A30,Rezepte,MATCH(Kalkulation!AW$5,Rezepte!$5:$5,0),0)),ISNUMBER(VLOOKUP(AW$5,Materialpreise,3,0))),VLOOKUP(AW$5,Materialpreise,3,0)*VLOOKUP($A30,Rezepte,MATCH(Kalkulation!AW$5,Rezepte!$5:$5,0),0),"")</f>
        <v/>
      </c>
      <c r="AX30" s="23" t="str">
        <f>IF(AND(ISNUMBER(VLOOKUP($A30,Rezepte,MATCH(Kalkulation!AX$5,Rezepte!$5:$5,0),0)),ISNUMBER(VLOOKUP(AX$5,Materialpreise,3,0))),VLOOKUP(AX$5,Materialpreise,3,0)*VLOOKUP($A30,Rezepte,MATCH(Kalkulation!AX$5,Rezepte!$5:$5,0),0),"")</f>
        <v/>
      </c>
      <c r="AY30" s="23" t="str">
        <f>IF(AND(ISNUMBER(VLOOKUP($A30,Rezepte,MATCH(Kalkulation!AY$5,Rezepte!$5:$5,0),0)),ISNUMBER(VLOOKUP(AY$5,Materialpreise,3,0))),VLOOKUP(AY$5,Materialpreise,3,0)*VLOOKUP($A30,Rezepte,MATCH(Kalkulation!AY$5,Rezepte!$5:$5,0),0),"")</f>
        <v/>
      </c>
      <c r="AZ30" s="23" t="str">
        <f>IF(AND(ISNUMBER(VLOOKUP($A30,Rezepte,MATCH(Kalkulation!AZ$5,Rezepte!$5:$5,0),0)),ISNUMBER(VLOOKUP(AZ$5,Materialpreise,3,0))),VLOOKUP(AZ$5,Materialpreise,3,0)*VLOOKUP($A30,Rezepte,MATCH(Kalkulation!AZ$5,Rezepte!$5:$5,0),0),"")</f>
        <v/>
      </c>
      <c r="BA30" s="23" t="str">
        <f>IF(AND(ISNUMBER(VLOOKUP($A30,Rezepte,MATCH(Kalkulation!BA$5,Rezepte!$5:$5,0),0)),ISNUMBER(VLOOKUP(BA$5,Materialpreise,3,0))),VLOOKUP(BA$5,Materialpreise,3,0)*VLOOKUP($A30,Rezepte,MATCH(Kalkulation!BA$5,Rezepte!$5:$5,0),0),"")</f>
        <v/>
      </c>
    </row>
    <row r="31" spans="1:53" x14ac:dyDescent="0.25">
      <c r="A31" t="str">
        <f t="array" ref="A31">IFERROR(INDEX(Rezepte!$A$6:$A$100,MATCH(1,(COUNTIF(A$6:A30,Rezepte!A$6:A$100)=0)*(Rezepte!A$6:A$100&lt;&gt;""),0)),"")</f>
        <v/>
      </c>
      <c r="B31" s="23" t="str">
        <f t="shared" si="2"/>
        <v/>
      </c>
      <c r="C31" s="23" t="str">
        <f t="shared" si="1"/>
        <v/>
      </c>
      <c r="D31" s="23" t="str">
        <f>IF(AND(ISNUMBER(VLOOKUP($A31,Rezepte,MATCH(Kalkulation!D$5,Rezepte!$5:$5,0),0)),ISNUMBER(VLOOKUP(D$5,Materialpreise,3,0))),VLOOKUP(D$5,Materialpreise,3,0)*VLOOKUP($A31,Rezepte,MATCH(Kalkulation!D$5,Rezepte!$5:$5,0),0),"")</f>
        <v/>
      </c>
      <c r="E31" s="23" t="str">
        <f>IF(AND(ISNUMBER(VLOOKUP($A31,Rezepte,MATCH(Kalkulation!E$5,Rezepte!$5:$5,0),0)),ISNUMBER(VLOOKUP(E$5,Materialpreise,3,0))),VLOOKUP(E$5,Materialpreise,3,0)*VLOOKUP($A31,Rezepte,MATCH(Kalkulation!E$5,Rezepte!$5:$5,0),0),"")</f>
        <v/>
      </c>
      <c r="F31" s="23" t="str">
        <f>IF(AND(ISNUMBER(VLOOKUP($A31,Rezepte,MATCH(Kalkulation!F$5,Rezepte!$5:$5,0),0)),ISNUMBER(VLOOKUP(F$5,Materialpreise,3,0))),VLOOKUP(F$5,Materialpreise,3,0)*VLOOKUP($A31,Rezepte,MATCH(Kalkulation!F$5,Rezepte!$5:$5,0),0),"")</f>
        <v/>
      </c>
      <c r="G31" s="23" t="str">
        <f>IF(AND(ISNUMBER(VLOOKUP($A31,Rezepte,MATCH(Kalkulation!G$5,Rezepte!$5:$5,0),0)),ISNUMBER(VLOOKUP(G$5,Materialpreise,3,0))),VLOOKUP(G$5,Materialpreise,3,0)*VLOOKUP($A31,Rezepte,MATCH(Kalkulation!G$5,Rezepte!$5:$5,0),0),"")</f>
        <v/>
      </c>
      <c r="H31" s="23" t="str">
        <f>IF(AND(ISNUMBER(VLOOKUP($A31,Rezepte,MATCH(Kalkulation!H$5,Rezepte!$5:$5,0),0)),ISNUMBER(VLOOKUP(H$5,Materialpreise,3,0))),VLOOKUP(H$5,Materialpreise,3,0)*VLOOKUP($A31,Rezepte,MATCH(Kalkulation!H$5,Rezepte!$5:$5,0),0),"")</f>
        <v/>
      </c>
      <c r="I31" s="23" t="str">
        <f>IF(AND(ISNUMBER(VLOOKUP($A31,Rezepte,MATCH(Kalkulation!I$5,Rezepte!$5:$5,0),0)),ISNUMBER(VLOOKUP(I$5,Materialpreise,3,0))),VLOOKUP(I$5,Materialpreise,3,0)*VLOOKUP($A31,Rezepte,MATCH(Kalkulation!I$5,Rezepte!$5:$5,0),0),"")</f>
        <v/>
      </c>
      <c r="J31" s="23" t="str">
        <f>IF(AND(ISNUMBER(VLOOKUP($A31,Rezepte,MATCH(Kalkulation!J$5,Rezepte!$5:$5,0),0)),ISNUMBER(VLOOKUP(J$5,Materialpreise,3,0))),VLOOKUP(J$5,Materialpreise,3,0)*VLOOKUP($A31,Rezepte,MATCH(Kalkulation!J$5,Rezepte!$5:$5,0),0),"")</f>
        <v/>
      </c>
      <c r="K31" s="23" t="str">
        <f>IF(AND(ISNUMBER(VLOOKUP($A31,Rezepte,MATCH(Kalkulation!K$5,Rezepte!$5:$5,0),0)),ISNUMBER(VLOOKUP(K$5,Materialpreise,3,0))),VLOOKUP(K$5,Materialpreise,3,0)*VLOOKUP($A31,Rezepte,MATCH(Kalkulation!K$5,Rezepte!$5:$5,0),0),"")</f>
        <v/>
      </c>
      <c r="L31" s="23" t="str">
        <f>IF(AND(ISNUMBER(VLOOKUP($A31,Rezepte,MATCH(Kalkulation!L$5,Rezepte!$5:$5,0),0)),ISNUMBER(VLOOKUP(L$5,Materialpreise,3,0))),VLOOKUP(L$5,Materialpreise,3,0)*VLOOKUP($A31,Rezepte,MATCH(Kalkulation!L$5,Rezepte!$5:$5,0),0),"")</f>
        <v/>
      </c>
      <c r="M31" s="23" t="str">
        <f>IF(AND(ISNUMBER(VLOOKUP($A31,Rezepte,MATCH(Kalkulation!M$5,Rezepte!$5:$5,0),0)),ISNUMBER(VLOOKUP(M$5,Materialpreise,3,0))),VLOOKUP(M$5,Materialpreise,3,0)*VLOOKUP($A31,Rezepte,MATCH(Kalkulation!M$5,Rezepte!$5:$5,0),0),"")</f>
        <v/>
      </c>
      <c r="N31" s="23" t="str">
        <f>IF(AND(ISNUMBER(VLOOKUP($A31,Rezepte,MATCH(Kalkulation!N$5,Rezepte!$5:$5,0),0)),ISNUMBER(VLOOKUP(N$5,Materialpreise,3,0))),VLOOKUP(N$5,Materialpreise,3,0)*VLOOKUP($A31,Rezepte,MATCH(Kalkulation!N$5,Rezepte!$5:$5,0),0),"")</f>
        <v/>
      </c>
      <c r="O31" s="23" t="str">
        <f>IF(AND(ISNUMBER(VLOOKUP($A31,Rezepte,MATCH(Kalkulation!O$5,Rezepte!$5:$5,0),0)),ISNUMBER(VLOOKUP(O$5,Materialpreise,3,0))),VLOOKUP(O$5,Materialpreise,3,0)*VLOOKUP($A31,Rezepte,MATCH(Kalkulation!O$5,Rezepte!$5:$5,0),0),"")</f>
        <v/>
      </c>
      <c r="P31" s="23" t="str">
        <f>IF(AND(ISNUMBER(VLOOKUP($A31,Rezepte,MATCH(Kalkulation!P$5,Rezepte!$5:$5,0),0)),ISNUMBER(VLOOKUP(P$5,Materialpreise,3,0))),VLOOKUP(P$5,Materialpreise,3,0)*VLOOKUP($A31,Rezepte,MATCH(Kalkulation!P$5,Rezepte!$5:$5,0),0),"")</f>
        <v/>
      </c>
      <c r="Q31" s="23" t="str">
        <f>IF(AND(ISNUMBER(VLOOKUP($A31,Rezepte,MATCH(Kalkulation!Q$5,Rezepte!$5:$5,0),0)),ISNUMBER(VLOOKUP(Q$5,Materialpreise,3,0))),VLOOKUP(Q$5,Materialpreise,3,0)*VLOOKUP($A31,Rezepte,MATCH(Kalkulation!Q$5,Rezepte!$5:$5,0),0),"")</f>
        <v/>
      </c>
      <c r="R31" s="23" t="str">
        <f>IF(AND(ISNUMBER(VLOOKUP($A31,Rezepte,MATCH(Kalkulation!R$5,Rezepte!$5:$5,0),0)),ISNUMBER(VLOOKUP(R$5,Materialpreise,3,0))),VLOOKUP(R$5,Materialpreise,3,0)*VLOOKUP($A31,Rezepte,MATCH(Kalkulation!R$5,Rezepte!$5:$5,0),0),"")</f>
        <v/>
      </c>
      <c r="S31" s="23" t="str">
        <f>IF(AND(ISNUMBER(VLOOKUP($A31,Rezepte,MATCH(Kalkulation!S$5,Rezepte!$5:$5,0),0)),ISNUMBER(VLOOKUP(S$5,Materialpreise,3,0))),VLOOKUP(S$5,Materialpreise,3,0)*VLOOKUP($A31,Rezepte,MATCH(Kalkulation!S$5,Rezepte!$5:$5,0),0),"")</f>
        <v/>
      </c>
      <c r="T31" s="23" t="str">
        <f>IF(AND(ISNUMBER(VLOOKUP($A31,Rezepte,MATCH(Kalkulation!T$5,Rezepte!$5:$5,0),0)),ISNUMBER(VLOOKUP(T$5,Materialpreise,3,0))),VLOOKUP(T$5,Materialpreise,3,0)*VLOOKUP($A31,Rezepte,MATCH(Kalkulation!T$5,Rezepte!$5:$5,0),0),"")</f>
        <v/>
      </c>
      <c r="U31" s="23" t="str">
        <f>IF(AND(ISNUMBER(VLOOKUP($A31,Rezepte,MATCH(Kalkulation!U$5,Rezepte!$5:$5,0),0)),ISNUMBER(VLOOKUP(U$5,Materialpreise,3,0))),VLOOKUP(U$5,Materialpreise,3,0)*VLOOKUP($A31,Rezepte,MATCH(Kalkulation!U$5,Rezepte!$5:$5,0),0),"")</f>
        <v/>
      </c>
      <c r="V31" s="23" t="str">
        <f>IF(AND(ISNUMBER(VLOOKUP($A31,Rezepte,MATCH(Kalkulation!V$5,Rezepte!$5:$5,0),0)),ISNUMBER(VLOOKUP(V$5,Materialpreise,3,0))),VLOOKUP(V$5,Materialpreise,3,0)*VLOOKUP($A31,Rezepte,MATCH(Kalkulation!V$5,Rezepte!$5:$5,0),0),"")</f>
        <v/>
      </c>
      <c r="W31" s="23" t="str">
        <f>IF(AND(ISNUMBER(VLOOKUP($A31,Rezepte,MATCH(Kalkulation!W$5,Rezepte!$5:$5,0),0)),ISNUMBER(VLOOKUP(W$5,Materialpreise,3,0))),VLOOKUP(W$5,Materialpreise,3,0)*VLOOKUP($A31,Rezepte,MATCH(Kalkulation!W$5,Rezepte!$5:$5,0),0),"")</f>
        <v/>
      </c>
      <c r="X31" s="23" t="str">
        <f>IF(AND(ISNUMBER(VLOOKUP($A31,Rezepte,MATCH(Kalkulation!X$5,Rezepte!$5:$5,0),0)),ISNUMBER(VLOOKUP(X$5,Materialpreise,3,0))),VLOOKUP(X$5,Materialpreise,3,0)*VLOOKUP($A31,Rezepte,MATCH(Kalkulation!X$5,Rezepte!$5:$5,0),0),"")</f>
        <v/>
      </c>
      <c r="Y31" s="23" t="str">
        <f>IF(AND(ISNUMBER(VLOOKUP($A31,Rezepte,MATCH(Kalkulation!Y$5,Rezepte!$5:$5,0),0)),ISNUMBER(VLOOKUP(Y$5,Materialpreise,3,0))),VLOOKUP(Y$5,Materialpreise,3,0)*VLOOKUP($A31,Rezepte,MATCH(Kalkulation!Y$5,Rezepte!$5:$5,0),0),"")</f>
        <v/>
      </c>
      <c r="Z31" s="23" t="str">
        <f>IF(AND(ISNUMBER(VLOOKUP($A31,Rezepte,MATCH(Kalkulation!Z$5,Rezepte!$5:$5,0),0)),ISNUMBER(VLOOKUP(Z$5,Materialpreise,3,0))),VLOOKUP(Z$5,Materialpreise,3,0)*VLOOKUP($A31,Rezepte,MATCH(Kalkulation!Z$5,Rezepte!$5:$5,0),0),"")</f>
        <v/>
      </c>
      <c r="AA31" s="23" t="str">
        <f>IF(AND(ISNUMBER(VLOOKUP($A31,Rezepte,MATCH(Kalkulation!AA$5,Rezepte!$5:$5,0),0)),ISNUMBER(VLOOKUP(AA$5,Materialpreise,3,0))),VLOOKUP(AA$5,Materialpreise,3,0)*VLOOKUP($A31,Rezepte,MATCH(Kalkulation!AA$5,Rezepte!$5:$5,0),0),"")</f>
        <v/>
      </c>
      <c r="AB31" s="23" t="str">
        <f>IF(AND(ISNUMBER(VLOOKUP($A31,Rezepte,MATCH(Kalkulation!AB$5,Rezepte!$5:$5,0),0)),ISNUMBER(VLOOKUP(AB$5,Materialpreise,3,0))),VLOOKUP(AB$5,Materialpreise,3,0)*VLOOKUP($A31,Rezepte,MATCH(Kalkulation!AB$5,Rezepte!$5:$5,0),0),"")</f>
        <v/>
      </c>
      <c r="AC31" s="23" t="str">
        <f>IF(AND(ISNUMBER(VLOOKUP($A31,Rezepte,MATCH(Kalkulation!AC$5,Rezepte!$5:$5,0),0)),ISNUMBER(VLOOKUP(AC$5,Materialpreise,3,0))),VLOOKUP(AC$5,Materialpreise,3,0)*VLOOKUP($A31,Rezepte,MATCH(Kalkulation!AC$5,Rezepte!$5:$5,0),0),"")</f>
        <v/>
      </c>
      <c r="AD31" s="23" t="str">
        <f>IF(AND(ISNUMBER(VLOOKUP($A31,Rezepte,MATCH(Kalkulation!AD$5,Rezepte!$5:$5,0),0)),ISNUMBER(VLOOKUP(AD$5,Materialpreise,3,0))),VLOOKUP(AD$5,Materialpreise,3,0)*VLOOKUP($A31,Rezepte,MATCH(Kalkulation!AD$5,Rezepte!$5:$5,0),0),"")</f>
        <v/>
      </c>
      <c r="AE31" s="23" t="str">
        <f>IF(AND(ISNUMBER(VLOOKUP($A31,Rezepte,MATCH(Kalkulation!AE$5,Rezepte!$5:$5,0),0)),ISNUMBER(VLOOKUP(AE$5,Materialpreise,3,0))),VLOOKUP(AE$5,Materialpreise,3,0)*VLOOKUP($A31,Rezepte,MATCH(Kalkulation!AE$5,Rezepte!$5:$5,0),0),"")</f>
        <v/>
      </c>
      <c r="AF31" s="23" t="str">
        <f>IF(AND(ISNUMBER(VLOOKUP($A31,Rezepte,MATCH(Kalkulation!AF$5,Rezepte!$5:$5,0),0)),ISNUMBER(VLOOKUP(AF$5,Materialpreise,3,0))),VLOOKUP(AF$5,Materialpreise,3,0)*VLOOKUP($A31,Rezepte,MATCH(Kalkulation!AF$5,Rezepte!$5:$5,0),0),"")</f>
        <v/>
      </c>
      <c r="AG31" s="23" t="str">
        <f>IF(AND(ISNUMBER(VLOOKUP($A31,Rezepte,MATCH(Kalkulation!AG$5,Rezepte!$5:$5,0),0)),ISNUMBER(VLOOKUP(AG$5,Materialpreise,3,0))),VLOOKUP(AG$5,Materialpreise,3,0)*VLOOKUP($A31,Rezepte,MATCH(Kalkulation!AG$5,Rezepte!$5:$5,0),0),"")</f>
        <v/>
      </c>
      <c r="AH31" s="23" t="str">
        <f>IF(AND(ISNUMBER(VLOOKUP($A31,Rezepte,MATCH(Kalkulation!AH$5,Rezepte!$5:$5,0),0)),ISNUMBER(VLOOKUP(AH$5,Materialpreise,3,0))),VLOOKUP(AH$5,Materialpreise,3,0)*VLOOKUP($A31,Rezepte,MATCH(Kalkulation!AH$5,Rezepte!$5:$5,0),0),"")</f>
        <v/>
      </c>
      <c r="AI31" s="23" t="str">
        <f>IF(AND(ISNUMBER(VLOOKUP($A31,Rezepte,MATCH(Kalkulation!AI$5,Rezepte!$5:$5,0),0)),ISNUMBER(VLOOKUP(AI$5,Materialpreise,3,0))),VLOOKUP(AI$5,Materialpreise,3,0)*VLOOKUP($A31,Rezepte,MATCH(Kalkulation!AI$5,Rezepte!$5:$5,0),0),"")</f>
        <v/>
      </c>
      <c r="AJ31" s="23" t="str">
        <f>IF(AND(ISNUMBER(VLOOKUP($A31,Rezepte,MATCH(Kalkulation!AJ$5,Rezepte!$5:$5,0),0)),ISNUMBER(VLOOKUP(AJ$5,Materialpreise,3,0))),VLOOKUP(AJ$5,Materialpreise,3,0)*VLOOKUP($A31,Rezepte,MATCH(Kalkulation!AJ$5,Rezepte!$5:$5,0),0),"")</f>
        <v/>
      </c>
      <c r="AK31" s="23" t="str">
        <f>IF(AND(ISNUMBER(VLOOKUP($A31,Rezepte,MATCH(Kalkulation!AK$5,Rezepte!$5:$5,0),0)),ISNUMBER(VLOOKUP(AK$5,Materialpreise,3,0))),VLOOKUP(AK$5,Materialpreise,3,0)*VLOOKUP($A31,Rezepte,MATCH(Kalkulation!AK$5,Rezepte!$5:$5,0),0),"")</f>
        <v/>
      </c>
      <c r="AL31" s="23" t="str">
        <f>IF(AND(ISNUMBER(VLOOKUP($A31,Rezepte,MATCH(Kalkulation!AL$5,Rezepte!$5:$5,0),0)),ISNUMBER(VLOOKUP(AL$5,Materialpreise,3,0))),VLOOKUP(AL$5,Materialpreise,3,0)*VLOOKUP($A31,Rezepte,MATCH(Kalkulation!AL$5,Rezepte!$5:$5,0),0),"")</f>
        <v/>
      </c>
      <c r="AM31" s="23" t="str">
        <f>IF(AND(ISNUMBER(VLOOKUP($A31,Rezepte,MATCH(Kalkulation!AM$5,Rezepte!$5:$5,0),0)),ISNUMBER(VLOOKUP(AM$5,Materialpreise,3,0))),VLOOKUP(AM$5,Materialpreise,3,0)*VLOOKUP($A31,Rezepte,MATCH(Kalkulation!AM$5,Rezepte!$5:$5,0),0),"")</f>
        <v/>
      </c>
      <c r="AN31" s="23" t="str">
        <f>IF(AND(ISNUMBER(VLOOKUP($A31,Rezepte,MATCH(Kalkulation!AN$5,Rezepte!$5:$5,0),0)),ISNUMBER(VLOOKUP(AN$5,Materialpreise,3,0))),VLOOKUP(AN$5,Materialpreise,3,0)*VLOOKUP($A31,Rezepte,MATCH(Kalkulation!AN$5,Rezepte!$5:$5,0),0),"")</f>
        <v/>
      </c>
      <c r="AO31" s="23" t="str">
        <f>IF(AND(ISNUMBER(VLOOKUP($A31,Rezepte,MATCH(Kalkulation!AO$5,Rezepte!$5:$5,0),0)),ISNUMBER(VLOOKUP(AO$5,Materialpreise,3,0))),VLOOKUP(AO$5,Materialpreise,3,0)*VLOOKUP($A31,Rezepte,MATCH(Kalkulation!AO$5,Rezepte!$5:$5,0),0),"")</f>
        <v/>
      </c>
      <c r="AP31" s="23" t="str">
        <f>IF(AND(ISNUMBER(VLOOKUP($A31,Rezepte,MATCH(Kalkulation!AP$5,Rezepte!$5:$5,0),0)),ISNUMBER(VLOOKUP(AP$5,Materialpreise,3,0))),VLOOKUP(AP$5,Materialpreise,3,0)*VLOOKUP($A31,Rezepte,MATCH(Kalkulation!AP$5,Rezepte!$5:$5,0),0),"")</f>
        <v/>
      </c>
      <c r="AQ31" s="23" t="str">
        <f>IF(AND(ISNUMBER(VLOOKUP($A31,Rezepte,MATCH(Kalkulation!AQ$5,Rezepte!$5:$5,0),0)),ISNUMBER(VLOOKUP(AQ$5,Materialpreise,3,0))),VLOOKUP(AQ$5,Materialpreise,3,0)*VLOOKUP($A31,Rezepte,MATCH(Kalkulation!AQ$5,Rezepte!$5:$5,0),0),"")</f>
        <v/>
      </c>
      <c r="AR31" s="23" t="str">
        <f>IF(AND(ISNUMBER(VLOOKUP($A31,Rezepte,MATCH(Kalkulation!AR$5,Rezepte!$5:$5,0),0)),ISNUMBER(VLOOKUP(AR$5,Materialpreise,3,0))),VLOOKUP(AR$5,Materialpreise,3,0)*VLOOKUP($A31,Rezepte,MATCH(Kalkulation!AR$5,Rezepte!$5:$5,0),0),"")</f>
        <v/>
      </c>
      <c r="AS31" s="23" t="str">
        <f>IF(AND(ISNUMBER(VLOOKUP($A31,Rezepte,MATCH(Kalkulation!AS$5,Rezepte!$5:$5,0),0)),ISNUMBER(VLOOKUP(AS$5,Materialpreise,3,0))),VLOOKUP(AS$5,Materialpreise,3,0)*VLOOKUP($A31,Rezepte,MATCH(Kalkulation!AS$5,Rezepte!$5:$5,0),0),"")</f>
        <v/>
      </c>
      <c r="AT31" s="23" t="str">
        <f>IF(AND(ISNUMBER(VLOOKUP($A31,Rezepte,MATCH(Kalkulation!AT$5,Rezepte!$5:$5,0),0)),ISNUMBER(VLOOKUP(AT$5,Materialpreise,3,0))),VLOOKUP(AT$5,Materialpreise,3,0)*VLOOKUP($A31,Rezepte,MATCH(Kalkulation!AT$5,Rezepte!$5:$5,0),0),"")</f>
        <v/>
      </c>
      <c r="AU31" s="23" t="str">
        <f>IF(AND(ISNUMBER(VLOOKUP($A31,Rezepte,MATCH(Kalkulation!AU$5,Rezepte!$5:$5,0),0)),ISNUMBER(VLOOKUP(AU$5,Materialpreise,3,0))),VLOOKUP(AU$5,Materialpreise,3,0)*VLOOKUP($A31,Rezepte,MATCH(Kalkulation!AU$5,Rezepte!$5:$5,0),0),"")</f>
        <v/>
      </c>
      <c r="AV31" s="23" t="str">
        <f>IF(AND(ISNUMBER(VLOOKUP($A31,Rezepte,MATCH(Kalkulation!AV$5,Rezepte!$5:$5,0),0)),ISNUMBER(VLOOKUP(AV$5,Materialpreise,3,0))),VLOOKUP(AV$5,Materialpreise,3,0)*VLOOKUP($A31,Rezepte,MATCH(Kalkulation!AV$5,Rezepte!$5:$5,0),0),"")</f>
        <v/>
      </c>
      <c r="AW31" s="23" t="str">
        <f>IF(AND(ISNUMBER(VLOOKUP($A31,Rezepte,MATCH(Kalkulation!AW$5,Rezepte!$5:$5,0),0)),ISNUMBER(VLOOKUP(AW$5,Materialpreise,3,0))),VLOOKUP(AW$5,Materialpreise,3,0)*VLOOKUP($A31,Rezepte,MATCH(Kalkulation!AW$5,Rezepte!$5:$5,0),0),"")</f>
        <v/>
      </c>
      <c r="AX31" s="23" t="str">
        <f>IF(AND(ISNUMBER(VLOOKUP($A31,Rezepte,MATCH(Kalkulation!AX$5,Rezepte!$5:$5,0),0)),ISNUMBER(VLOOKUP(AX$5,Materialpreise,3,0))),VLOOKUP(AX$5,Materialpreise,3,0)*VLOOKUP($A31,Rezepte,MATCH(Kalkulation!AX$5,Rezepte!$5:$5,0),0),"")</f>
        <v/>
      </c>
      <c r="AY31" s="23" t="str">
        <f>IF(AND(ISNUMBER(VLOOKUP($A31,Rezepte,MATCH(Kalkulation!AY$5,Rezepte!$5:$5,0),0)),ISNUMBER(VLOOKUP(AY$5,Materialpreise,3,0))),VLOOKUP(AY$5,Materialpreise,3,0)*VLOOKUP($A31,Rezepte,MATCH(Kalkulation!AY$5,Rezepte!$5:$5,0),0),"")</f>
        <v/>
      </c>
      <c r="AZ31" s="23" t="str">
        <f>IF(AND(ISNUMBER(VLOOKUP($A31,Rezepte,MATCH(Kalkulation!AZ$5,Rezepte!$5:$5,0),0)),ISNUMBER(VLOOKUP(AZ$5,Materialpreise,3,0))),VLOOKUP(AZ$5,Materialpreise,3,0)*VLOOKUP($A31,Rezepte,MATCH(Kalkulation!AZ$5,Rezepte!$5:$5,0),0),"")</f>
        <v/>
      </c>
      <c r="BA31" s="23" t="str">
        <f>IF(AND(ISNUMBER(VLOOKUP($A31,Rezepte,MATCH(Kalkulation!BA$5,Rezepte!$5:$5,0),0)),ISNUMBER(VLOOKUP(BA$5,Materialpreise,3,0))),VLOOKUP(BA$5,Materialpreise,3,0)*VLOOKUP($A31,Rezepte,MATCH(Kalkulation!BA$5,Rezepte!$5:$5,0),0),"")</f>
        <v/>
      </c>
    </row>
    <row r="32" spans="1:53" x14ac:dyDescent="0.25">
      <c r="A32" t="str">
        <f t="array" ref="A32">IFERROR(INDEX(Rezepte!$A$6:$A$100,MATCH(1,(COUNTIF(A$6:A31,Rezepte!A$6:A$100)=0)*(Rezepte!A$6:A$100&lt;&gt;""),0)),"")</f>
        <v/>
      </c>
      <c r="B32" s="23" t="str">
        <f t="shared" si="2"/>
        <v/>
      </c>
      <c r="C32" s="23" t="str">
        <f t="shared" si="1"/>
        <v/>
      </c>
      <c r="D32" s="23" t="str">
        <f>IF(AND(ISNUMBER(VLOOKUP($A32,Rezepte,MATCH(Kalkulation!D$5,Rezepte!$5:$5,0),0)),ISNUMBER(VLOOKUP(D$5,Materialpreise,3,0))),VLOOKUP(D$5,Materialpreise,3,0)*VLOOKUP($A32,Rezepte,MATCH(Kalkulation!D$5,Rezepte!$5:$5,0),0),"")</f>
        <v/>
      </c>
      <c r="E32" s="23" t="str">
        <f>IF(AND(ISNUMBER(VLOOKUP($A32,Rezepte,MATCH(Kalkulation!E$5,Rezepte!$5:$5,0),0)),ISNUMBER(VLOOKUP(E$5,Materialpreise,3,0))),VLOOKUP(E$5,Materialpreise,3,0)*VLOOKUP($A32,Rezepte,MATCH(Kalkulation!E$5,Rezepte!$5:$5,0),0),"")</f>
        <v/>
      </c>
      <c r="F32" s="23" t="str">
        <f>IF(AND(ISNUMBER(VLOOKUP($A32,Rezepte,MATCH(Kalkulation!F$5,Rezepte!$5:$5,0),0)),ISNUMBER(VLOOKUP(F$5,Materialpreise,3,0))),VLOOKUP(F$5,Materialpreise,3,0)*VLOOKUP($A32,Rezepte,MATCH(Kalkulation!F$5,Rezepte!$5:$5,0),0),"")</f>
        <v/>
      </c>
      <c r="G32" s="23" t="str">
        <f>IF(AND(ISNUMBER(VLOOKUP($A32,Rezepte,MATCH(Kalkulation!G$5,Rezepte!$5:$5,0),0)),ISNUMBER(VLOOKUP(G$5,Materialpreise,3,0))),VLOOKUP(G$5,Materialpreise,3,0)*VLOOKUP($A32,Rezepte,MATCH(Kalkulation!G$5,Rezepte!$5:$5,0),0),"")</f>
        <v/>
      </c>
      <c r="H32" s="23" t="str">
        <f>IF(AND(ISNUMBER(VLOOKUP($A32,Rezepte,MATCH(Kalkulation!H$5,Rezepte!$5:$5,0),0)),ISNUMBER(VLOOKUP(H$5,Materialpreise,3,0))),VLOOKUP(H$5,Materialpreise,3,0)*VLOOKUP($A32,Rezepte,MATCH(Kalkulation!H$5,Rezepte!$5:$5,0),0),"")</f>
        <v/>
      </c>
      <c r="I32" s="23" t="str">
        <f>IF(AND(ISNUMBER(VLOOKUP($A32,Rezepte,MATCH(Kalkulation!I$5,Rezepte!$5:$5,0),0)),ISNUMBER(VLOOKUP(I$5,Materialpreise,3,0))),VLOOKUP(I$5,Materialpreise,3,0)*VLOOKUP($A32,Rezepte,MATCH(Kalkulation!I$5,Rezepte!$5:$5,0),0),"")</f>
        <v/>
      </c>
      <c r="J32" s="23" t="str">
        <f>IF(AND(ISNUMBER(VLOOKUP($A32,Rezepte,MATCH(Kalkulation!J$5,Rezepte!$5:$5,0),0)),ISNUMBER(VLOOKUP(J$5,Materialpreise,3,0))),VLOOKUP(J$5,Materialpreise,3,0)*VLOOKUP($A32,Rezepte,MATCH(Kalkulation!J$5,Rezepte!$5:$5,0),0),"")</f>
        <v/>
      </c>
      <c r="K32" s="23" t="str">
        <f>IF(AND(ISNUMBER(VLOOKUP($A32,Rezepte,MATCH(Kalkulation!K$5,Rezepte!$5:$5,0),0)),ISNUMBER(VLOOKUP(K$5,Materialpreise,3,0))),VLOOKUP(K$5,Materialpreise,3,0)*VLOOKUP($A32,Rezepte,MATCH(Kalkulation!K$5,Rezepte!$5:$5,0),0),"")</f>
        <v/>
      </c>
      <c r="L32" s="23" t="str">
        <f>IF(AND(ISNUMBER(VLOOKUP($A32,Rezepte,MATCH(Kalkulation!L$5,Rezepte!$5:$5,0),0)),ISNUMBER(VLOOKUP(L$5,Materialpreise,3,0))),VLOOKUP(L$5,Materialpreise,3,0)*VLOOKUP($A32,Rezepte,MATCH(Kalkulation!L$5,Rezepte!$5:$5,0),0),"")</f>
        <v/>
      </c>
      <c r="M32" s="23" t="str">
        <f>IF(AND(ISNUMBER(VLOOKUP($A32,Rezepte,MATCH(Kalkulation!M$5,Rezepte!$5:$5,0),0)),ISNUMBER(VLOOKUP(M$5,Materialpreise,3,0))),VLOOKUP(M$5,Materialpreise,3,0)*VLOOKUP($A32,Rezepte,MATCH(Kalkulation!M$5,Rezepte!$5:$5,0),0),"")</f>
        <v/>
      </c>
      <c r="N32" s="23" t="str">
        <f>IF(AND(ISNUMBER(VLOOKUP($A32,Rezepte,MATCH(Kalkulation!N$5,Rezepte!$5:$5,0),0)),ISNUMBER(VLOOKUP(N$5,Materialpreise,3,0))),VLOOKUP(N$5,Materialpreise,3,0)*VLOOKUP($A32,Rezepte,MATCH(Kalkulation!N$5,Rezepte!$5:$5,0),0),"")</f>
        <v/>
      </c>
      <c r="O32" s="23" t="str">
        <f>IF(AND(ISNUMBER(VLOOKUP($A32,Rezepte,MATCH(Kalkulation!O$5,Rezepte!$5:$5,0),0)),ISNUMBER(VLOOKUP(O$5,Materialpreise,3,0))),VLOOKUP(O$5,Materialpreise,3,0)*VLOOKUP($A32,Rezepte,MATCH(Kalkulation!O$5,Rezepte!$5:$5,0),0),"")</f>
        <v/>
      </c>
      <c r="P32" s="23" t="str">
        <f>IF(AND(ISNUMBER(VLOOKUP($A32,Rezepte,MATCH(Kalkulation!P$5,Rezepte!$5:$5,0),0)),ISNUMBER(VLOOKUP(P$5,Materialpreise,3,0))),VLOOKUP(P$5,Materialpreise,3,0)*VLOOKUP($A32,Rezepte,MATCH(Kalkulation!P$5,Rezepte!$5:$5,0),0),"")</f>
        <v/>
      </c>
      <c r="Q32" s="23" t="str">
        <f>IF(AND(ISNUMBER(VLOOKUP($A32,Rezepte,MATCH(Kalkulation!Q$5,Rezepte!$5:$5,0),0)),ISNUMBER(VLOOKUP(Q$5,Materialpreise,3,0))),VLOOKUP(Q$5,Materialpreise,3,0)*VLOOKUP($A32,Rezepte,MATCH(Kalkulation!Q$5,Rezepte!$5:$5,0),0),"")</f>
        <v/>
      </c>
      <c r="R32" s="23" t="str">
        <f>IF(AND(ISNUMBER(VLOOKUP($A32,Rezepte,MATCH(Kalkulation!R$5,Rezepte!$5:$5,0),0)),ISNUMBER(VLOOKUP(R$5,Materialpreise,3,0))),VLOOKUP(R$5,Materialpreise,3,0)*VLOOKUP($A32,Rezepte,MATCH(Kalkulation!R$5,Rezepte!$5:$5,0),0),"")</f>
        <v/>
      </c>
      <c r="S32" s="23" t="str">
        <f>IF(AND(ISNUMBER(VLOOKUP($A32,Rezepte,MATCH(Kalkulation!S$5,Rezepte!$5:$5,0),0)),ISNUMBER(VLOOKUP(S$5,Materialpreise,3,0))),VLOOKUP(S$5,Materialpreise,3,0)*VLOOKUP($A32,Rezepte,MATCH(Kalkulation!S$5,Rezepte!$5:$5,0),0),"")</f>
        <v/>
      </c>
      <c r="T32" s="23" t="str">
        <f>IF(AND(ISNUMBER(VLOOKUP($A32,Rezepte,MATCH(Kalkulation!T$5,Rezepte!$5:$5,0),0)),ISNUMBER(VLOOKUP(T$5,Materialpreise,3,0))),VLOOKUP(T$5,Materialpreise,3,0)*VLOOKUP($A32,Rezepte,MATCH(Kalkulation!T$5,Rezepte!$5:$5,0),0),"")</f>
        <v/>
      </c>
      <c r="U32" s="23" t="str">
        <f>IF(AND(ISNUMBER(VLOOKUP($A32,Rezepte,MATCH(Kalkulation!U$5,Rezepte!$5:$5,0),0)),ISNUMBER(VLOOKUP(U$5,Materialpreise,3,0))),VLOOKUP(U$5,Materialpreise,3,0)*VLOOKUP($A32,Rezepte,MATCH(Kalkulation!U$5,Rezepte!$5:$5,0),0),"")</f>
        <v/>
      </c>
      <c r="V32" s="23" t="str">
        <f>IF(AND(ISNUMBER(VLOOKUP($A32,Rezepte,MATCH(Kalkulation!V$5,Rezepte!$5:$5,0),0)),ISNUMBER(VLOOKUP(V$5,Materialpreise,3,0))),VLOOKUP(V$5,Materialpreise,3,0)*VLOOKUP($A32,Rezepte,MATCH(Kalkulation!V$5,Rezepte!$5:$5,0),0),"")</f>
        <v/>
      </c>
      <c r="W32" s="23" t="str">
        <f>IF(AND(ISNUMBER(VLOOKUP($A32,Rezepte,MATCH(Kalkulation!W$5,Rezepte!$5:$5,0),0)),ISNUMBER(VLOOKUP(W$5,Materialpreise,3,0))),VLOOKUP(W$5,Materialpreise,3,0)*VLOOKUP($A32,Rezepte,MATCH(Kalkulation!W$5,Rezepte!$5:$5,0),0),"")</f>
        <v/>
      </c>
      <c r="X32" s="23" t="str">
        <f>IF(AND(ISNUMBER(VLOOKUP($A32,Rezepte,MATCH(Kalkulation!X$5,Rezepte!$5:$5,0),0)),ISNUMBER(VLOOKUP(X$5,Materialpreise,3,0))),VLOOKUP(X$5,Materialpreise,3,0)*VLOOKUP($A32,Rezepte,MATCH(Kalkulation!X$5,Rezepte!$5:$5,0),0),"")</f>
        <v/>
      </c>
      <c r="Y32" s="23" t="str">
        <f>IF(AND(ISNUMBER(VLOOKUP($A32,Rezepte,MATCH(Kalkulation!Y$5,Rezepte!$5:$5,0),0)),ISNUMBER(VLOOKUP(Y$5,Materialpreise,3,0))),VLOOKUP(Y$5,Materialpreise,3,0)*VLOOKUP($A32,Rezepte,MATCH(Kalkulation!Y$5,Rezepte!$5:$5,0),0),"")</f>
        <v/>
      </c>
      <c r="Z32" s="23" t="str">
        <f>IF(AND(ISNUMBER(VLOOKUP($A32,Rezepte,MATCH(Kalkulation!Z$5,Rezepte!$5:$5,0),0)),ISNUMBER(VLOOKUP(Z$5,Materialpreise,3,0))),VLOOKUP(Z$5,Materialpreise,3,0)*VLOOKUP($A32,Rezepte,MATCH(Kalkulation!Z$5,Rezepte!$5:$5,0),0),"")</f>
        <v/>
      </c>
      <c r="AA32" s="23" t="str">
        <f>IF(AND(ISNUMBER(VLOOKUP($A32,Rezepte,MATCH(Kalkulation!AA$5,Rezepte!$5:$5,0),0)),ISNUMBER(VLOOKUP(AA$5,Materialpreise,3,0))),VLOOKUP(AA$5,Materialpreise,3,0)*VLOOKUP($A32,Rezepte,MATCH(Kalkulation!AA$5,Rezepte!$5:$5,0),0),"")</f>
        <v/>
      </c>
      <c r="AB32" s="23" t="str">
        <f>IF(AND(ISNUMBER(VLOOKUP($A32,Rezepte,MATCH(Kalkulation!AB$5,Rezepte!$5:$5,0),0)),ISNUMBER(VLOOKUP(AB$5,Materialpreise,3,0))),VLOOKUP(AB$5,Materialpreise,3,0)*VLOOKUP($A32,Rezepte,MATCH(Kalkulation!AB$5,Rezepte!$5:$5,0),0),"")</f>
        <v/>
      </c>
      <c r="AC32" s="23" t="str">
        <f>IF(AND(ISNUMBER(VLOOKUP($A32,Rezepte,MATCH(Kalkulation!AC$5,Rezepte!$5:$5,0),0)),ISNUMBER(VLOOKUP(AC$5,Materialpreise,3,0))),VLOOKUP(AC$5,Materialpreise,3,0)*VLOOKUP($A32,Rezepte,MATCH(Kalkulation!AC$5,Rezepte!$5:$5,0),0),"")</f>
        <v/>
      </c>
      <c r="AD32" s="23" t="str">
        <f>IF(AND(ISNUMBER(VLOOKUP($A32,Rezepte,MATCH(Kalkulation!AD$5,Rezepte!$5:$5,0),0)),ISNUMBER(VLOOKUP(AD$5,Materialpreise,3,0))),VLOOKUP(AD$5,Materialpreise,3,0)*VLOOKUP($A32,Rezepte,MATCH(Kalkulation!AD$5,Rezepte!$5:$5,0),0),"")</f>
        <v/>
      </c>
      <c r="AE32" s="23" t="str">
        <f>IF(AND(ISNUMBER(VLOOKUP($A32,Rezepte,MATCH(Kalkulation!AE$5,Rezepte!$5:$5,0),0)),ISNUMBER(VLOOKUP(AE$5,Materialpreise,3,0))),VLOOKUP(AE$5,Materialpreise,3,0)*VLOOKUP($A32,Rezepte,MATCH(Kalkulation!AE$5,Rezepte!$5:$5,0),0),"")</f>
        <v/>
      </c>
      <c r="AF32" s="23" t="str">
        <f>IF(AND(ISNUMBER(VLOOKUP($A32,Rezepte,MATCH(Kalkulation!AF$5,Rezepte!$5:$5,0),0)),ISNUMBER(VLOOKUP(AF$5,Materialpreise,3,0))),VLOOKUP(AF$5,Materialpreise,3,0)*VLOOKUP($A32,Rezepte,MATCH(Kalkulation!AF$5,Rezepte!$5:$5,0),0),"")</f>
        <v/>
      </c>
      <c r="AG32" s="23" t="str">
        <f>IF(AND(ISNUMBER(VLOOKUP($A32,Rezepte,MATCH(Kalkulation!AG$5,Rezepte!$5:$5,0),0)),ISNUMBER(VLOOKUP(AG$5,Materialpreise,3,0))),VLOOKUP(AG$5,Materialpreise,3,0)*VLOOKUP($A32,Rezepte,MATCH(Kalkulation!AG$5,Rezepte!$5:$5,0),0),"")</f>
        <v/>
      </c>
      <c r="AH32" s="23" t="str">
        <f>IF(AND(ISNUMBER(VLOOKUP($A32,Rezepte,MATCH(Kalkulation!AH$5,Rezepte!$5:$5,0),0)),ISNUMBER(VLOOKUP(AH$5,Materialpreise,3,0))),VLOOKUP(AH$5,Materialpreise,3,0)*VLOOKUP($A32,Rezepte,MATCH(Kalkulation!AH$5,Rezepte!$5:$5,0),0),"")</f>
        <v/>
      </c>
      <c r="AI32" s="23" t="str">
        <f>IF(AND(ISNUMBER(VLOOKUP($A32,Rezepte,MATCH(Kalkulation!AI$5,Rezepte!$5:$5,0),0)),ISNUMBER(VLOOKUP(AI$5,Materialpreise,3,0))),VLOOKUP(AI$5,Materialpreise,3,0)*VLOOKUP($A32,Rezepte,MATCH(Kalkulation!AI$5,Rezepte!$5:$5,0),0),"")</f>
        <v/>
      </c>
      <c r="AJ32" s="23" t="str">
        <f>IF(AND(ISNUMBER(VLOOKUP($A32,Rezepte,MATCH(Kalkulation!AJ$5,Rezepte!$5:$5,0),0)),ISNUMBER(VLOOKUP(AJ$5,Materialpreise,3,0))),VLOOKUP(AJ$5,Materialpreise,3,0)*VLOOKUP($A32,Rezepte,MATCH(Kalkulation!AJ$5,Rezepte!$5:$5,0),0),"")</f>
        <v/>
      </c>
      <c r="AK32" s="23" t="str">
        <f>IF(AND(ISNUMBER(VLOOKUP($A32,Rezepte,MATCH(Kalkulation!AK$5,Rezepte!$5:$5,0),0)),ISNUMBER(VLOOKUP(AK$5,Materialpreise,3,0))),VLOOKUP(AK$5,Materialpreise,3,0)*VLOOKUP($A32,Rezepte,MATCH(Kalkulation!AK$5,Rezepte!$5:$5,0),0),"")</f>
        <v/>
      </c>
      <c r="AL32" s="23" t="str">
        <f>IF(AND(ISNUMBER(VLOOKUP($A32,Rezepte,MATCH(Kalkulation!AL$5,Rezepte!$5:$5,0),0)),ISNUMBER(VLOOKUP(AL$5,Materialpreise,3,0))),VLOOKUP(AL$5,Materialpreise,3,0)*VLOOKUP($A32,Rezepte,MATCH(Kalkulation!AL$5,Rezepte!$5:$5,0),0),"")</f>
        <v/>
      </c>
      <c r="AM32" s="23" t="str">
        <f>IF(AND(ISNUMBER(VLOOKUP($A32,Rezepte,MATCH(Kalkulation!AM$5,Rezepte!$5:$5,0),0)),ISNUMBER(VLOOKUP(AM$5,Materialpreise,3,0))),VLOOKUP(AM$5,Materialpreise,3,0)*VLOOKUP($A32,Rezepte,MATCH(Kalkulation!AM$5,Rezepte!$5:$5,0),0),"")</f>
        <v/>
      </c>
      <c r="AN32" s="23" t="str">
        <f>IF(AND(ISNUMBER(VLOOKUP($A32,Rezepte,MATCH(Kalkulation!AN$5,Rezepte!$5:$5,0),0)),ISNUMBER(VLOOKUP(AN$5,Materialpreise,3,0))),VLOOKUP(AN$5,Materialpreise,3,0)*VLOOKUP($A32,Rezepte,MATCH(Kalkulation!AN$5,Rezepte!$5:$5,0),0),"")</f>
        <v/>
      </c>
      <c r="AO32" s="23" t="str">
        <f>IF(AND(ISNUMBER(VLOOKUP($A32,Rezepte,MATCH(Kalkulation!AO$5,Rezepte!$5:$5,0),0)),ISNUMBER(VLOOKUP(AO$5,Materialpreise,3,0))),VLOOKUP(AO$5,Materialpreise,3,0)*VLOOKUP($A32,Rezepte,MATCH(Kalkulation!AO$5,Rezepte!$5:$5,0),0),"")</f>
        <v/>
      </c>
      <c r="AP32" s="23" t="str">
        <f>IF(AND(ISNUMBER(VLOOKUP($A32,Rezepte,MATCH(Kalkulation!AP$5,Rezepte!$5:$5,0),0)),ISNUMBER(VLOOKUP(AP$5,Materialpreise,3,0))),VLOOKUP(AP$5,Materialpreise,3,0)*VLOOKUP($A32,Rezepte,MATCH(Kalkulation!AP$5,Rezepte!$5:$5,0),0),"")</f>
        <v/>
      </c>
      <c r="AQ32" s="23" t="str">
        <f>IF(AND(ISNUMBER(VLOOKUP($A32,Rezepte,MATCH(Kalkulation!AQ$5,Rezepte!$5:$5,0),0)),ISNUMBER(VLOOKUP(AQ$5,Materialpreise,3,0))),VLOOKUP(AQ$5,Materialpreise,3,0)*VLOOKUP($A32,Rezepte,MATCH(Kalkulation!AQ$5,Rezepte!$5:$5,0),0),"")</f>
        <v/>
      </c>
      <c r="AR32" s="23" t="str">
        <f>IF(AND(ISNUMBER(VLOOKUP($A32,Rezepte,MATCH(Kalkulation!AR$5,Rezepte!$5:$5,0),0)),ISNUMBER(VLOOKUP(AR$5,Materialpreise,3,0))),VLOOKUP(AR$5,Materialpreise,3,0)*VLOOKUP($A32,Rezepte,MATCH(Kalkulation!AR$5,Rezepte!$5:$5,0),0),"")</f>
        <v/>
      </c>
      <c r="AS32" s="23" t="str">
        <f>IF(AND(ISNUMBER(VLOOKUP($A32,Rezepte,MATCH(Kalkulation!AS$5,Rezepte!$5:$5,0),0)),ISNUMBER(VLOOKUP(AS$5,Materialpreise,3,0))),VLOOKUP(AS$5,Materialpreise,3,0)*VLOOKUP($A32,Rezepte,MATCH(Kalkulation!AS$5,Rezepte!$5:$5,0),0),"")</f>
        <v/>
      </c>
      <c r="AT32" s="23" t="str">
        <f>IF(AND(ISNUMBER(VLOOKUP($A32,Rezepte,MATCH(Kalkulation!AT$5,Rezepte!$5:$5,0),0)),ISNUMBER(VLOOKUP(AT$5,Materialpreise,3,0))),VLOOKUP(AT$5,Materialpreise,3,0)*VLOOKUP($A32,Rezepte,MATCH(Kalkulation!AT$5,Rezepte!$5:$5,0),0),"")</f>
        <v/>
      </c>
      <c r="AU32" s="23" t="str">
        <f>IF(AND(ISNUMBER(VLOOKUP($A32,Rezepte,MATCH(Kalkulation!AU$5,Rezepte!$5:$5,0),0)),ISNUMBER(VLOOKUP(AU$5,Materialpreise,3,0))),VLOOKUP(AU$5,Materialpreise,3,0)*VLOOKUP($A32,Rezepte,MATCH(Kalkulation!AU$5,Rezepte!$5:$5,0),0),"")</f>
        <v/>
      </c>
      <c r="AV32" s="23" t="str">
        <f>IF(AND(ISNUMBER(VLOOKUP($A32,Rezepte,MATCH(Kalkulation!AV$5,Rezepte!$5:$5,0),0)),ISNUMBER(VLOOKUP(AV$5,Materialpreise,3,0))),VLOOKUP(AV$5,Materialpreise,3,0)*VLOOKUP($A32,Rezepte,MATCH(Kalkulation!AV$5,Rezepte!$5:$5,0),0),"")</f>
        <v/>
      </c>
      <c r="AW32" s="23" t="str">
        <f>IF(AND(ISNUMBER(VLOOKUP($A32,Rezepte,MATCH(Kalkulation!AW$5,Rezepte!$5:$5,0),0)),ISNUMBER(VLOOKUP(AW$5,Materialpreise,3,0))),VLOOKUP(AW$5,Materialpreise,3,0)*VLOOKUP($A32,Rezepte,MATCH(Kalkulation!AW$5,Rezepte!$5:$5,0),0),"")</f>
        <v/>
      </c>
      <c r="AX32" s="23" t="str">
        <f>IF(AND(ISNUMBER(VLOOKUP($A32,Rezepte,MATCH(Kalkulation!AX$5,Rezepte!$5:$5,0),0)),ISNUMBER(VLOOKUP(AX$5,Materialpreise,3,0))),VLOOKUP(AX$5,Materialpreise,3,0)*VLOOKUP($A32,Rezepte,MATCH(Kalkulation!AX$5,Rezepte!$5:$5,0),0),"")</f>
        <v/>
      </c>
      <c r="AY32" s="23" t="str">
        <f>IF(AND(ISNUMBER(VLOOKUP($A32,Rezepte,MATCH(Kalkulation!AY$5,Rezepte!$5:$5,0),0)),ISNUMBER(VLOOKUP(AY$5,Materialpreise,3,0))),VLOOKUP(AY$5,Materialpreise,3,0)*VLOOKUP($A32,Rezepte,MATCH(Kalkulation!AY$5,Rezepte!$5:$5,0),0),"")</f>
        <v/>
      </c>
      <c r="AZ32" s="23" t="str">
        <f>IF(AND(ISNUMBER(VLOOKUP($A32,Rezepte,MATCH(Kalkulation!AZ$5,Rezepte!$5:$5,0),0)),ISNUMBER(VLOOKUP(AZ$5,Materialpreise,3,0))),VLOOKUP(AZ$5,Materialpreise,3,0)*VLOOKUP($A32,Rezepte,MATCH(Kalkulation!AZ$5,Rezepte!$5:$5,0),0),"")</f>
        <v/>
      </c>
      <c r="BA32" s="23" t="str">
        <f>IF(AND(ISNUMBER(VLOOKUP($A32,Rezepte,MATCH(Kalkulation!BA$5,Rezepte!$5:$5,0),0)),ISNUMBER(VLOOKUP(BA$5,Materialpreise,3,0))),VLOOKUP(BA$5,Materialpreise,3,0)*VLOOKUP($A32,Rezepte,MATCH(Kalkulation!BA$5,Rezepte!$5:$5,0),0),"")</f>
        <v/>
      </c>
    </row>
    <row r="33" spans="1:53" x14ac:dyDescent="0.25">
      <c r="A33" t="str">
        <f t="array" ref="A33">IFERROR(INDEX(Rezepte!$A$6:$A$100,MATCH(1,(COUNTIF(A$6:A32,Rezepte!A$6:A$100)=0)*(Rezepte!A$6:A$100&lt;&gt;""),0)),"")</f>
        <v/>
      </c>
      <c r="B33" s="23" t="str">
        <f t="shared" si="2"/>
        <v/>
      </c>
      <c r="C33" s="23" t="str">
        <f t="shared" si="1"/>
        <v/>
      </c>
      <c r="D33" s="23" t="str">
        <f>IF(AND(ISNUMBER(VLOOKUP($A33,Rezepte,MATCH(Kalkulation!D$5,Rezepte!$5:$5,0),0)),ISNUMBER(VLOOKUP(D$5,Materialpreise,3,0))),VLOOKUP(D$5,Materialpreise,3,0)*VLOOKUP($A33,Rezepte,MATCH(Kalkulation!D$5,Rezepte!$5:$5,0),0),"")</f>
        <v/>
      </c>
      <c r="E33" s="23" t="str">
        <f>IF(AND(ISNUMBER(VLOOKUP($A33,Rezepte,MATCH(Kalkulation!E$5,Rezepte!$5:$5,0),0)),ISNUMBER(VLOOKUP(E$5,Materialpreise,3,0))),VLOOKUP(E$5,Materialpreise,3,0)*VLOOKUP($A33,Rezepte,MATCH(Kalkulation!E$5,Rezepte!$5:$5,0),0),"")</f>
        <v/>
      </c>
      <c r="F33" s="23" t="str">
        <f>IF(AND(ISNUMBER(VLOOKUP($A33,Rezepte,MATCH(Kalkulation!F$5,Rezepte!$5:$5,0),0)),ISNUMBER(VLOOKUP(F$5,Materialpreise,3,0))),VLOOKUP(F$5,Materialpreise,3,0)*VLOOKUP($A33,Rezepte,MATCH(Kalkulation!F$5,Rezepte!$5:$5,0),0),"")</f>
        <v/>
      </c>
      <c r="G33" s="23" t="str">
        <f>IF(AND(ISNUMBER(VLOOKUP($A33,Rezepte,MATCH(Kalkulation!G$5,Rezepte!$5:$5,0),0)),ISNUMBER(VLOOKUP(G$5,Materialpreise,3,0))),VLOOKUP(G$5,Materialpreise,3,0)*VLOOKUP($A33,Rezepte,MATCH(Kalkulation!G$5,Rezepte!$5:$5,0),0),"")</f>
        <v/>
      </c>
      <c r="H33" s="23" t="str">
        <f>IF(AND(ISNUMBER(VLOOKUP($A33,Rezepte,MATCH(Kalkulation!H$5,Rezepte!$5:$5,0),0)),ISNUMBER(VLOOKUP(H$5,Materialpreise,3,0))),VLOOKUP(H$5,Materialpreise,3,0)*VLOOKUP($A33,Rezepte,MATCH(Kalkulation!H$5,Rezepte!$5:$5,0),0),"")</f>
        <v/>
      </c>
      <c r="I33" s="23" t="str">
        <f>IF(AND(ISNUMBER(VLOOKUP($A33,Rezepte,MATCH(Kalkulation!I$5,Rezepte!$5:$5,0),0)),ISNUMBER(VLOOKUP(I$5,Materialpreise,3,0))),VLOOKUP(I$5,Materialpreise,3,0)*VLOOKUP($A33,Rezepte,MATCH(Kalkulation!I$5,Rezepte!$5:$5,0),0),"")</f>
        <v/>
      </c>
      <c r="J33" s="23" t="str">
        <f>IF(AND(ISNUMBER(VLOOKUP($A33,Rezepte,MATCH(Kalkulation!J$5,Rezepte!$5:$5,0),0)),ISNUMBER(VLOOKUP(J$5,Materialpreise,3,0))),VLOOKUP(J$5,Materialpreise,3,0)*VLOOKUP($A33,Rezepte,MATCH(Kalkulation!J$5,Rezepte!$5:$5,0),0),"")</f>
        <v/>
      </c>
      <c r="K33" s="23" t="str">
        <f>IF(AND(ISNUMBER(VLOOKUP($A33,Rezepte,MATCH(Kalkulation!K$5,Rezepte!$5:$5,0),0)),ISNUMBER(VLOOKUP(K$5,Materialpreise,3,0))),VLOOKUP(K$5,Materialpreise,3,0)*VLOOKUP($A33,Rezepte,MATCH(Kalkulation!K$5,Rezepte!$5:$5,0),0),"")</f>
        <v/>
      </c>
      <c r="L33" s="23" t="str">
        <f>IF(AND(ISNUMBER(VLOOKUP($A33,Rezepte,MATCH(Kalkulation!L$5,Rezepte!$5:$5,0),0)),ISNUMBER(VLOOKUP(L$5,Materialpreise,3,0))),VLOOKUP(L$5,Materialpreise,3,0)*VLOOKUP($A33,Rezepte,MATCH(Kalkulation!L$5,Rezepte!$5:$5,0),0),"")</f>
        <v/>
      </c>
      <c r="M33" s="23" t="str">
        <f>IF(AND(ISNUMBER(VLOOKUP($A33,Rezepte,MATCH(Kalkulation!M$5,Rezepte!$5:$5,0),0)),ISNUMBER(VLOOKUP(M$5,Materialpreise,3,0))),VLOOKUP(M$5,Materialpreise,3,0)*VLOOKUP($A33,Rezepte,MATCH(Kalkulation!M$5,Rezepte!$5:$5,0),0),"")</f>
        <v/>
      </c>
      <c r="N33" s="23" t="str">
        <f>IF(AND(ISNUMBER(VLOOKUP($A33,Rezepte,MATCH(Kalkulation!N$5,Rezepte!$5:$5,0),0)),ISNUMBER(VLOOKUP(N$5,Materialpreise,3,0))),VLOOKUP(N$5,Materialpreise,3,0)*VLOOKUP($A33,Rezepte,MATCH(Kalkulation!N$5,Rezepte!$5:$5,0),0),"")</f>
        <v/>
      </c>
      <c r="O33" s="23" t="str">
        <f>IF(AND(ISNUMBER(VLOOKUP($A33,Rezepte,MATCH(Kalkulation!O$5,Rezepte!$5:$5,0),0)),ISNUMBER(VLOOKUP(O$5,Materialpreise,3,0))),VLOOKUP(O$5,Materialpreise,3,0)*VLOOKUP($A33,Rezepte,MATCH(Kalkulation!O$5,Rezepte!$5:$5,0),0),"")</f>
        <v/>
      </c>
      <c r="P33" s="23" t="str">
        <f>IF(AND(ISNUMBER(VLOOKUP($A33,Rezepte,MATCH(Kalkulation!P$5,Rezepte!$5:$5,0),0)),ISNUMBER(VLOOKUP(P$5,Materialpreise,3,0))),VLOOKUP(P$5,Materialpreise,3,0)*VLOOKUP($A33,Rezepte,MATCH(Kalkulation!P$5,Rezepte!$5:$5,0),0),"")</f>
        <v/>
      </c>
      <c r="Q33" s="23" t="str">
        <f>IF(AND(ISNUMBER(VLOOKUP($A33,Rezepte,MATCH(Kalkulation!Q$5,Rezepte!$5:$5,0),0)),ISNUMBER(VLOOKUP(Q$5,Materialpreise,3,0))),VLOOKUP(Q$5,Materialpreise,3,0)*VLOOKUP($A33,Rezepte,MATCH(Kalkulation!Q$5,Rezepte!$5:$5,0),0),"")</f>
        <v/>
      </c>
      <c r="R33" s="23" t="str">
        <f>IF(AND(ISNUMBER(VLOOKUP($A33,Rezepte,MATCH(Kalkulation!R$5,Rezepte!$5:$5,0),0)),ISNUMBER(VLOOKUP(R$5,Materialpreise,3,0))),VLOOKUP(R$5,Materialpreise,3,0)*VLOOKUP($A33,Rezepte,MATCH(Kalkulation!R$5,Rezepte!$5:$5,0),0),"")</f>
        <v/>
      </c>
      <c r="S33" s="23" t="str">
        <f>IF(AND(ISNUMBER(VLOOKUP($A33,Rezepte,MATCH(Kalkulation!S$5,Rezepte!$5:$5,0),0)),ISNUMBER(VLOOKUP(S$5,Materialpreise,3,0))),VLOOKUP(S$5,Materialpreise,3,0)*VLOOKUP($A33,Rezepte,MATCH(Kalkulation!S$5,Rezepte!$5:$5,0),0),"")</f>
        <v/>
      </c>
      <c r="T33" s="23" t="str">
        <f>IF(AND(ISNUMBER(VLOOKUP($A33,Rezepte,MATCH(Kalkulation!T$5,Rezepte!$5:$5,0),0)),ISNUMBER(VLOOKUP(T$5,Materialpreise,3,0))),VLOOKUP(T$5,Materialpreise,3,0)*VLOOKUP($A33,Rezepte,MATCH(Kalkulation!T$5,Rezepte!$5:$5,0),0),"")</f>
        <v/>
      </c>
      <c r="U33" s="23" t="str">
        <f>IF(AND(ISNUMBER(VLOOKUP($A33,Rezepte,MATCH(Kalkulation!U$5,Rezepte!$5:$5,0),0)),ISNUMBER(VLOOKUP(U$5,Materialpreise,3,0))),VLOOKUP(U$5,Materialpreise,3,0)*VLOOKUP($A33,Rezepte,MATCH(Kalkulation!U$5,Rezepte!$5:$5,0),0),"")</f>
        <v/>
      </c>
      <c r="V33" s="23" t="str">
        <f>IF(AND(ISNUMBER(VLOOKUP($A33,Rezepte,MATCH(Kalkulation!V$5,Rezepte!$5:$5,0),0)),ISNUMBER(VLOOKUP(V$5,Materialpreise,3,0))),VLOOKUP(V$5,Materialpreise,3,0)*VLOOKUP($A33,Rezepte,MATCH(Kalkulation!V$5,Rezepte!$5:$5,0),0),"")</f>
        <v/>
      </c>
      <c r="W33" s="23" t="str">
        <f>IF(AND(ISNUMBER(VLOOKUP($A33,Rezepte,MATCH(Kalkulation!W$5,Rezepte!$5:$5,0),0)),ISNUMBER(VLOOKUP(W$5,Materialpreise,3,0))),VLOOKUP(W$5,Materialpreise,3,0)*VLOOKUP($A33,Rezepte,MATCH(Kalkulation!W$5,Rezepte!$5:$5,0),0),"")</f>
        <v/>
      </c>
      <c r="X33" s="23" t="str">
        <f>IF(AND(ISNUMBER(VLOOKUP($A33,Rezepte,MATCH(Kalkulation!X$5,Rezepte!$5:$5,0),0)),ISNUMBER(VLOOKUP(X$5,Materialpreise,3,0))),VLOOKUP(X$5,Materialpreise,3,0)*VLOOKUP($A33,Rezepte,MATCH(Kalkulation!X$5,Rezepte!$5:$5,0),0),"")</f>
        <v/>
      </c>
      <c r="Y33" s="23" t="str">
        <f>IF(AND(ISNUMBER(VLOOKUP($A33,Rezepte,MATCH(Kalkulation!Y$5,Rezepte!$5:$5,0),0)),ISNUMBER(VLOOKUP(Y$5,Materialpreise,3,0))),VLOOKUP(Y$5,Materialpreise,3,0)*VLOOKUP($A33,Rezepte,MATCH(Kalkulation!Y$5,Rezepte!$5:$5,0),0),"")</f>
        <v/>
      </c>
      <c r="Z33" s="23" t="str">
        <f>IF(AND(ISNUMBER(VLOOKUP($A33,Rezepte,MATCH(Kalkulation!Z$5,Rezepte!$5:$5,0),0)),ISNUMBER(VLOOKUP(Z$5,Materialpreise,3,0))),VLOOKUP(Z$5,Materialpreise,3,0)*VLOOKUP($A33,Rezepte,MATCH(Kalkulation!Z$5,Rezepte!$5:$5,0),0),"")</f>
        <v/>
      </c>
      <c r="AA33" s="23" t="str">
        <f>IF(AND(ISNUMBER(VLOOKUP($A33,Rezepte,MATCH(Kalkulation!AA$5,Rezepte!$5:$5,0),0)),ISNUMBER(VLOOKUP(AA$5,Materialpreise,3,0))),VLOOKUP(AA$5,Materialpreise,3,0)*VLOOKUP($A33,Rezepte,MATCH(Kalkulation!AA$5,Rezepte!$5:$5,0),0),"")</f>
        <v/>
      </c>
      <c r="AB33" s="23" t="str">
        <f>IF(AND(ISNUMBER(VLOOKUP($A33,Rezepte,MATCH(Kalkulation!AB$5,Rezepte!$5:$5,0),0)),ISNUMBER(VLOOKUP(AB$5,Materialpreise,3,0))),VLOOKUP(AB$5,Materialpreise,3,0)*VLOOKUP($A33,Rezepte,MATCH(Kalkulation!AB$5,Rezepte!$5:$5,0),0),"")</f>
        <v/>
      </c>
      <c r="AC33" s="23" t="str">
        <f>IF(AND(ISNUMBER(VLOOKUP($A33,Rezepte,MATCH(Kalkulation!AC$5,Rezepte!$5:$5,0),0)),ISNUMBER(VLOOKUP(AC$5,Materialpreise,3,0))),VLOOKUP(AC$5,Materialpreise,3,0)*VLOOKUP($A33,Rezepte,MATCH(Kalkulation!AC$5,Rezepte!$5:$5,0),0),"")</f>
        <v/>
      </c>
      <c r="AD33" s="23" t="str">
        <f>IF(AND(ISNUMBER(VLOOKUP($A33,Rezepte,MATCH(Kalkulation!AD$5,Rezepte!$5:$5,0),0)),ISNUMBER(VLOOKUP(AD$5,Materialpreise,3,0))),VLOOKUP(AD$5,Materialpreise,3,0)*VLOOKUP($A33,Rezepte,MATCH(Kalkulation!AD$5,Rezepte!$5:$5,0),0),"")</f>
        <v/>
      </c>
      <c r="AE33" s="23" t="str">
        <f>IF(AND(ISNUMBER(VLOOKUP($A33,Rezepte,MATCH(Kalkulation!AE$5,Rezepte!$5:$5,0),0)),ISNUMBER(VLOOKUP(AE$5,Materialpreise,3,0))),VLOOKUP(AE$5,Materialpreise,3,0)*VLOOKUP($A33,Rezepte,MATCH(Kalkulation!AE$5,Rezepte!$5:$5,0),0),"")</f>
        <v/>
      </c>
      <c r="AF33" s="23" t="str">
        <f>IF(AND(ISNUMBER(VLOOKUP($A33,Rezepte,MATCH(Kalkulation!AF$5,Rezepte!$5:$5,0),0)),ISNUMBER(VLOOKUP(AF$5,Materialpreise,3,0))),VLOOKUP(AF$5,Materialpreise,3,0)*VLOOKUP($A33,Rezepte,MATCH(Kalkulation!AF$5,Rezepte!$5:$5,0),0),"")</f>
        <v/>
      </c>
      <c r="AG33" s="23" t="str">
        <f>IF(AND(ISNUMBER(VLOOKUP($A33,Rezepte,MATCH(Kalkulation!AG$5,Rezepte!$5:$5,0),0)),ISNUMBER(VLOOKUP(AG$5,Materialpreise,3,0))),VLOOKUP(AG$5,Materialpreise,3,0)*VLOOKUP($A33,Rezepte,MATCH(Kalkulation!AG$5,Rezepte!$5:$5,0),0),"")</f>
        <v/>
      </c>
      <c r="AH33" s="23" t="str">
        <f>IF(AND(ISNUMBER(VLOOKUP($A33,Rezepte,MATCH(Kalkulation!AH$5,Rezepte!$5:$5,0),0)),ISNUMBER(VLOOKUP(AH$5,Materialpreise,3,0))),VLOOKUP(AH$5,Materialpreise,3,0)*VLOOKUP($A33,Rezepte,MATCH(Kalkulation!AH$5,Rezepte!$5:$5,0),0),"")</f>
        <v/>
      </c>
      <c r="AI33" s="23" t="str">
        <f>IF(AND(ISNUMBER(VLOOKUP($A33,Rezepte,MATCH(Kalkulation!AI$5,Rezepte!$5:$5,0),0)),ISNUMBER(VLOOKUP(AI$5,Materialpreise,3,0))),VLOOKUP(AI$5,Materialpreise,3,0)*VLOOKUP($A33,Rezepte,MATCH(Kalkulation!AI$5,Rezepte!$5:$5,0),0),"")</f>
        <v/>
      </c>
      <c r="AJ33" s="23" t="str">
        <f>IF(AND(ISNUMBER(VLOOKUP($A33,Rezepte,MATCH(Kalkulation!AJ$5,Rezepte!$5:$5,0),0)),ISNUMBER(VLOOKUP(AJ$5,Materialpreise,3,0))),VLOOKUP(AJ$5,Materialpreise,3,0)*VLOOKUP($A33,Rezepte,MATCH(Kalkulation!AJ$5,Rezepte!$5:$5,0),0),"")</f>
        <v/>
      </c>
      <c r="AK33" s="23" t="str">
        <f>IF(AND(ISNUMBER(VLOOKUP($A33,Rezepte,MATCH(Kalkulation!AK$5,Rezepte!$5:$5,0),0)),ISNUMBER(VLOOKUP(AK$5,Materialpreise,3,0))),VLOOKUP(AK$5,Materialpreise,3,0)*VLOOKUP($A33,Rezepte,MATCH(Kalkulation!AK$5,Rezepte!$5:$5,0),0),"")</f>
        <v/>
      </c>
      <c r="AL33" s="23" t="str">
        <f>IF(AND(ISNUMBER(VLOOKUP($A33,Rezepte,MATCH(Kalkulation!AL$5,Rezepte!$5:$5,0),0)),ISNUMBER(VLOOKUP(AL$5,Materialpreise,3,0))),VLOOKUP(AL$5,Materialpreise,3,0)*VLOOKUP($A33,Rezepte,MATCH(Kalkulation!AL$5,Rezepte!$5:$5,0),0),"")</f>
        <v/>
      </c>
      <c r="AM33" s="23" t="str">
        <f>IF(AND(ISNUMBER(VLOOKUP($A33,Rezepte,MATCH(Kalkulation!AM$5,Rezepte!$5:$5,0),0)),ISNUMBER(VLOOKUP(AM$5,Materialpreise,3,0))),VLOOKUP(AM$5,Materialpreise,3,0)*VLOOKUP($A33,Rezepte,MATCH(Kalkulation!AM$5,Rezepte!$5:$5,0),0),"")</f>
        <v/>
      </c>
      <c r="AN33" s="23" t="str">
        <f>IF(AND(ISNUMBER(VLOOKUP($A33,Rezepte,MATCH(Kalkulation!AN$5,Rezepte!$5:$5,0),0)),ISNUMBER(VLOOKUP(AN$5,Materialpreise,3,0))),VLOOKUP(AN$5,Materialpreise,3,0)*VLOOKUP($A33,Rezepte,MATCH(Kalkulation!AN$5,Rezepte!$5:$5,0),0),"")</f>
        <v/>
      </c>
      <c r="AO33" s="23" t="str">
        <f>IF(AND(ISNUMBER(VLOOKUP($A33,Rezepte,MATCH(Kalkulation!AO$5,Rezepte!$5:$5,0),0)),ISNUMBER(VLOOKUP(AO$5,Materialpreise,3,0))),VLOOKUP(AO$5,Materialpreise,3,0)*VLOOKUP($A33,Rezepte,MATCH(Kalkulation!AO$5,Rezepte!$5:$5,0),0),"")</f>
        <v/>
      </c>
      <c r="AP33" s="23" t="str">
        <f>IF(AND(ISNUMBER(VLOOKUP($A33,Rezepte,MATCH(Kalkulation!AP$5,Rezepte!$5:$5,0),0)),ISNUMBER(VLOOKUP(AP$5,Materialpreise,3,0))),VLOOKUP(AP$5,Materialpreise,3,0)*VLOOKUP($A33,Rezepte,MATCH(Kalkulation!AP$5,Rezepte!$5:$5,0),0),"")</f>
        <v/>
      </c>
      <c r="AQ33" s="23" t="str">
        <f>IF(AND(ISNUMBER(VLOOKUP($A33,Rezepte,MATCH(Kalkulation!AQ$5,Rezepte!$5:$5,0),0)),ISNUMBER(VLOOKUP(AQ$5,Materialpreise,3,0))),VLOOKUP(AQ$5,Materialpreise,3,0)*VLOOKUP($A33,Rezepte,MATCH(Kalkulation!AQ$5,Rezepte!$5:$5,0),0),"")</f>
        <v/>
      </c>
      <c r="AR33" s="23" t="str">
        <f>IF(AND(ISNUMBER(VLOOKUP($A33,Rezepte,MATCH(Kalkulation!AR$5,Rezepte!$5:$5,0),0)),ISNUMBER(VLOOKUP(AR$5,Materialpreise,3,0))),VLOOKUP(AR$5,Materialpreise,3,0)*VLOOKUP($A33,Rezepte,MATCH(Kalkulation!AR$5,Rezepte!$5:$5,0),0),"")</f>
        <v/>
      </c>
      <c r="AS33" s="23" t="str">
        <f>IF(AND(ISNUMBER(VLOOKUP($A33,Rezepte,MATCH(Kalkulation!AS$5,Rezepte!$5:$5,0),0)),ISNUMBER(VLOOKUP(AS$5,Materialpreise,3,0))),VLOOKUP(AS$5,Materialpreise,3,0)*VLOOKUP($A33,Rezepte,MATCH(Kalkulation!AS$5,Rezepte!$5:$5,0),0),"")</f>
        <v/>
      </c>
      <c r="AT33" s="23" t="str">
        <f>IF(AND(ISNUMBER(VLOOKUP($A33,Rezepte,MATCH(Kalkulation!AT$5,Rezepte!$5:$5,0),0)),ISNUMBER(VLOOKUP(AT$5,Materialpreise,3,0))),VLOOKUP(AT$5,Materialpreise,3,0)*VLOOKUP($A33,Rezepte,MATCH(Kalkulation!AT$5,Rezepte!$5:$5,0),0),"")</f>
        <v/>
      </c>
      <c r="AU33" s="23" t="str">
        <f>IF(AND(ISNUMBER(VLOOKUP($A33,Rezepte,MATCH(Kalkulation!AU$5,Rezepte!$5:$5,0),0)),ISNUMBER(VLOOKUP(AU$5,Materialpreise,3,0))),VLOOKUP(AU$5,Materialpreise,3,0)*VLOOKUP($A33,Rezepte,MATCH(Kalkulation!AU$5,Rezepte!$5:$5,0),0),"")</f>
        <v/>
      </c>
      <c r="AV33" s="23" t="str">
        <f>IF(AND(ISNUMBER(VLOOKUP($A33,Rezepte,MATCH(Kalkulation!AV$5,Rezepte!$5:$5,0),0)),ISNUMBER(VLOOKUP(AV$5,Materialpreise,3,0))),VLOOKUP(AV$5,Materialpreise,3,0)*VLOOKUP($A33,Rezepte,MATCH(Kalkulation!AV$5,Rezepte!$5:$5,0),0),"")</f>
        <v/>
      </c>
      <c r="AW33" s="23" t="str">
        <f>IF(AND(ISNUMBER(VLOOKUP($A33,Rezepte,MATCH(Kalkulation!AW$5,Rezepte!$5:$5,0),0)),ISNUMBER(VLOOKUP(AW$5,Materialpreise,3,0))),VLOOKUP(AW$5,Materialpreise,3,0)*VLOOKUP($A33,Rezepte,MATCH(Kalkulation!AW$5,Rezepte!$5:$5,0),0),"")</f>
        <v/>
      </c>
      <c r="AX33" s="23" t="str">
        <f>IF(AND(ISNUMBER(VLOOKUP($A33,Rezepte,MATCH(Kalkulation!AX$5,Rezepte!$5:$5,0),0)),ISNUMBER(VLOOKUP(AX$5,Materialpreise,3,0))),VLOOKUP(AX$5,Materialpreise,3,0)*VLOOKUP($A33,Rezepte,MATCH(Kalkulation!AX$5,Rezepte!$5:$5,0),0),"")</f>
        <v/>
      </c>
      <c r="AY33" s="23" t="str">
        <f>IF(AND(ISNUMBER(VLOOKUP($A33,Rezepte,MATCH(Kalkulation!AY$5,Rezepte!$5:$5,0),0)),ISNUMBER(VLOOKUP(AY$5,Materialpreise,3,0))),VLOOKUP(AY$5,Materialpreise,3,0)*VLOOKUP($A33,Rezepte,MATCH(Kalkulation!AY$5,Rezepte!$5:$5,0),0),"")</f>
        <v/>
      </c>
      <c r="AZ33" s="23" t="str">
        <f>IF(AND(ISNUMBER(VLOOKUP($A33,Rezepte,MATCH(Kalkulation!AZ$5,Rezepte!$5:$5,0),0)),ISNUMBER(VLOOKUP(AZ$5,Materialpreise,3,0))),VLOOKUP(AZ$5,Materialpreise,3,0)*VLOOKUP($A33,Rezepte,MATCH(Kalkulation!AZ$5,Rezepte!$5:$5,0),0),"")</f>
        <v/>
      </c>
      <c r="BA33" s="23" t="str">
        <f>IF(AND(ISNUMBER(VLOOKUP($A33,Rezepte,MATCH(Kalkulation!BA$5,Rezepte!$5:$5,0),0)),ISNUMBER(VLOOKUP(BA$5,Materialpreise,3,0))),VLOOKUP(BA$5,Materialpreise,3,0)*VLOOKUP($A33,Rezepte,MATCH(Kalkulation!BA$5,Rezepte!$5:$5,0),0),"")</f>
        <v/>
      </c>
    </row>
    <row r="34" spans="1:53" x14ac:dyDescent="0.25">
      <c r="A34" t="str">
        <f t="array" ref="A34">IFERROR(INDEX(Rezepte!$A$6:$A$100,MATCH(1,(COUNTIF(A$6:A33,Rezepte!A$6:A$100)=0)*(Rezepte!A$6:A$100&lt;&gt;""),0)),"")</f>
        <v/>
      </c>
      <c r="B34" s="23" t="str">
        <f t="shared" si="2"/>
        <v/>
      </c>
      <c r="C34" s="23" t="str">
        <f t="shared" si="1"/>
        <v/>
      </c>
      <c r="D34" s="23" t="str">
        <f>IF(AND(ISNUMBER(VLOOKUP($A34,Rezepte,MATCH(Kalkulation!D$5,Rezepte!$5:$5,0),0)),ISNUMBER(VLOOKUP(D$5,Materialpreise,3,0))),VLOOKUP(D$5,Materialpreise,3,0)*VLOOKUP($A34,Rezepte,MATCH(Kalkulation!D$5,Rezepte!$5:$5,0),0),"")</f>
        <v/>
      </c>
      <c r="E34" s="23" t="str">
        <f>IF(AND(ISNUMBER(VLOOKUP($A34,Rezepte,MATCH(Kalkulation!E$5,Rezepte!$5:$5,0),0)),ISNUMBER(VLOOKUP(E$5,Materialpreise,3,0))),VLOOKUP(E$5,Materialpreise,3,0)*VLOOKUP($A34,Rezepte,MATCH(Kalkulation!E$5,Rezepte!$5:$5,0),0),"")</f>
        <v/>
      </c>
      <c r="F34" s="23" t="str">
        <f>IF(AND(ISNUMBER(VLOOKUP($A34,Rezepte,MATCH(Kalkulation!F$5,Rezepte!$5:$5,0),0)),ISNUMBER(VLOOKUP(F$5,Materialpreise,3,0))),VLOOKUP(F$5,Materialpreise,3,0)*VLOOKUP($A34,Rezepte,MATCH(Kalkulation!F$5,Rezepte!$5:$5,0),0),"")</f>
        <v/>
      </c>
      <c r="G34" s="23" t="str">
        <f>IF(AND(ISNUMBER(VLOOKUP($A34,Rezepte,MATCH(Kalkulation!G$5,Rezepte!$5:$5,0),0)),ISNUMBER(VLOOKUP(G$5,Materialpreise,3,0))),VLOOKUP(G$5,Materialpreise,3,0)*VLOOKUP($A34,Rezepte,MATCH(Kalkulation!G$5,Rezepte!$5:$5,0),0),"")</f>
        <v/>
      </c>
      <c r="H34" s="23" t="str">
        <f>IF(AND(ISNUMBER(VLOOKUP($A34,Rezepte,MATCH(Kalkulation!H$5,Rezepte!$5:$5,0),0)),ISNUMBER(VLOOKUP(H$5,Materialpreise,3,0))),VLOOKUP(H$5,Materialpreise,3,0)*VLOOKUP($A34,Rezepte,MATCH(Kalkulation!H$5,Rezepte!$5:$5,0),0),"")</f>
        <v/>
      </c>
      <c r="I34" s="23" t="str">
        <f>IF(AND(ISNUMBER(VLOOKUP($A34,Rezepte,MATCH(Kalkulation!I$5,Rezepte!$5:$5,0),0)),ISNUMBER(VLOOKUP(I$5,Materialpreise,3,0))),VLOOKUP(I$5,Materialpreise,3,0)*VLOOKUP($A34,Rezepte,MATCH(Kalkulation!I$5,Rezepte!$5:$5,0),0),"")</f>
        <v/>
      </c>
      <c r="J34" s="23" t="str">
        <f>IF(AND(ISNUMBER(VLOOKUP($A34,Rezepte,MATCH(Kalkulation!J$5,Rezepte!$5:$5,0),0)),ISNUMBER(VLOOKUP(J$5,Materialpreise,3,0))),VLOOKUP(J$5,Materialpreise,3,0)*VLOOKUP($A34,Rezepte,MATCH(Kalkulation!J$5,Rezepte!$5:$5,0),0),"")</f>
        <v/>
      </c>
      <c r="K34" s="23" t="str">
        <f>IF(AND(ISNUMBER(VLOOKUP($A34,Rezepte,MATCH(Kalkulation!K$5,Rezepte!$5:$5,0),0)),ISNUMBER(VLOOKUP(K$5,Materialpreise,3,0))),VLOOKUP(K$5,Materialpreise,3,0)*VLOOKUP($A34,Rezepte,MATCH(Kalkulation!K$5,Rezepte!$5:$5,0),0),"")</f>
        <v/>
      </c>
      <c r="L34" s="23" t="str">
        <f>IF(AND(ISNUMBER(VLOOKUP($A34,Rezepte,MATCH(Kalkulation!L$5,Rezepte!$5:$5,0),0)),ISNUMBER(VLOOKUP(L$5,Materialpreise,3,0))),VLOOKUP(L$5,Materialpreise,3,0)*VLOOKUP($A34,Rezepte,MATCH(Kalkulation!L$5,Rezepte!$5:$5,0),0),"")</f>
        <v/>
      </c>
      <c r="M34" s="23" t="str">
        <f>IF(AND(ISNUMBER(VLOOKUP($A34,Rezepte,MATCH(Kalkulation!M$5,Rezepte!$5:$5,0),0)),ISNUMBER(VLOOKUP(M$5,Materialpreise,3,0))),VLOOKUP(M$5,Materialpreise,3,0)*VLOOKUP($A34,Rezepte,MATCH(Kalkulation!M$5,Rezepte!$5:$5,0),0),"")</f>
        <v/>
      </c>
      <c r="N34" s="23" t="str">
        <f>IF(AND(ISNUMBER(VLOOKUP($A34,Rezepte,MATCH(Kalkulation!N$5,Rezepte!$5:$5,0),0)),ISNUMBER(VLOOKUP(N$5,Materialpreise,3,0))),VLOOKUP(N$5,Materialpreise,3,0)*VLOOKUP($A34,Rezepte,MATCH(Kalkulation!N$5,Rezepte!$5:$5,0),0),"")</f>
        <v/>
      </c>
      <c r="O34" s="23" t="str">
        <f>IF(AND(ISNUMBER(VLOOKUP($A34,Rezepte,MATCH(Kalkulation!O$5,Rezepte!$5:$5,0),0)),ISNUMBER(VLOOKUP(O$5,Materialpreise,3,0))),VLOOKUP(O$5,Materialpreise,3,0)*VLOOKUP($A34,Rezepte,MATCH(Kalkulation!O$5,Rezepte!$5:$5,0),0),"")</f>
        <v/>
      </c>
      <c r="P34" s="23" t="str">
        <f>IF(AND(ISNUMBER(VLOOKUP($A34,Rezepte,MATCH(Kalkulation!P$5,Rezepte!$5:$5,0),0)),ISNUMBER(VLOOKUP(P$5,Materialpreise,3,0))),VLOOKUP(P$5,Materialpreise,3,0)*VLOOKUP($A34,Rezepte,MATCH(Kalkulation!P$5,Rezepte!$5:$5,0),0),"")</f>
        <v/>
      </c>
      <c r="Q34" s="23" t="str">
        <f>IF(AND(ISNUMBER(VLOOKUP($A34,Rezepte,MATCH(Kalkulation!Q$5,Rezepte!$5:$5,0),0)),ISNUMBER(VLOOKUP(Q$5,Materialpreise,3,0))),VLOOKUP(Q$5,Materialpreise,3,0)*VLOOKUP($A34,Rezepte,MATCH(Kalkulation!Q$5,Rezepte!$5:$5,0),0),"")</f>
        <v/>
      </c>
      <c r="R34" s="23" t="str">
        <f>IF(AND(ISNUMBER(VLOOKUP($A34,Rezepte,MATCH(Kalkulation!R$5,Rezepte!$5:$5,0),0)),ISNUMBER(VLOOKUP(R$5,Materialpreise,3,0))),VLOOKUP(R$5,Materialpreise,3,0)*VLOOKUP($A34,Rezepte,MATCH(Kalkulation!R$5,Rezepte!$5:$5,0),0),"")</f>
        <v/>
      </c>
      <c r="S34" s="23" t="str">
        <f>IF(AND(ISNUMBER(VLOOKUP($A34,Rezepte,MATCH(Kalkulation!S$5,Rezepte!$5:$5,0),0)),ISNUMBER(VLOOKUP(S$5,Materialpreise,3,0))),VLOOKUP(S$5,Materialpreise,3,0)*VLOOKUP($A34,Rezepte,MATCH(Kalkulation!S$5,Rezepte!$5:$5,0),0),"")</f>
        <v/>
      </c>
      <c r="T34" s="23" t="str">
        <f>IF(AND(ISNUMBER(VLOOKUP($A34,Rezepte,MATCH(Kalkulation!T$5,Rezepte!$5:$5,0),0)),ISNUMBER(VLOOKUP(T$5,Materialpreise,3,0))),VLOOKUP(T$5,Materialpreise,3,0)*VLOOKUP($A34,Rezepte,MATCH(Kalkulation!T$5,Rezepte!$5:$5,0),0),"")</f>
        <v/>
      </c>
      <c r="U34" s="23" t="str">
        <f>IF(AND(ISNUMBER(VLOOKUP($A34,Rezepte,MATCH(Kalkulation!U$5,Rezepte!$5:$5,0),0)),ISNUMBER(VLOOKUP(U$5,Materialpreise,3,0))),VLOOKUP(U$5,Materialpreise,3,0)*VLOOKUP($A34,Rezepte,MATCH(Kalkulation!U$5,Rezepte!$5:$5,0),0),"")</f>
        <v/>
      </c>
      <c r="V34" s="23" t="str">
        <f>IF(AND(ISNUMBER(VLOOKUP($A34,Rezepte,MATCH(Kalkulation!V$5,Rezepte!$5:$5,0),0)),ISNUMBER(VLOOKUP(V$5,Materialpreise,3,0))),VLOOKUP(V$5,Materialpreise,3,0)*VLOOKUP($A34,Rezepte,MATCH(Kalkulation!V$5,Rezepte!$5:$5,0),0),"")</f>
        <v/>
      </c>
      <c r="W34" s="23" t="str">
        <f>IF(AND(ISNUMBER(VLOOKUP($A34,Rezepte,MATCH(Kalkulation!W$5,Rezepte!$5:$5,0),0)),ISNUMBER(VLOOKUP(W$5,Materialpreise,3,0))),VLOOKUP(W$5,Materialpreise,3,0)*VLOOKUP($A34,Rezepte,MATCH(Kalkulation!W$5,Rezepte!$5:$5,0),0),"")</f>
        <v/>
      </c>
      <c r="X34" s="23" t="str">
        <f>IF(AND(ISNUMBER(VLOOKUP($A34,Rezepte,MATCH(Kalkulation!X$5,Rezepte!$5:$5,0),0)),ISNUMBER(VLOOKUP(X$5,Materialpreise,3,0))),VLOOKUP(X$5,Materialpreise,3,0)*VLOOKUP($A34,Rezepte,MATCH(Kalkulation!X$5,Rezepte!$5:$5,0),0),"")</f>
        <v/>
      </c>
      <c r="Y34" s="23" t="str">
        <f>IF(AND(ISNUMBER(VLOOKUP($A34,Rezepte,MATCH(Kalkulation!Y$5,Rezepte!$5:$5,0),0)),ISNUMBER(VLOOKUP(Y$5,Materialpreise,3,0))),VLOOKUP(Y$5,Materialpreise,3,0)*VLOOKUP($A34,Rezepte,MATCH(Kalkulation!Y$5,Rezepte!$5:$5,0),0),"")</f>
        <v/>
      </c>
      <c r="Z34" s="23" t="str">
        <f>IF(AND(ISNUMBER(VLOOKUP($A34,Rezepte,MATCH(Kalkulation!Z$5,Rezepte!$5:$5,0),0)),ISNUMBER(VLOOKUP(Z$5,Materialpreise,3,0))),VLOOKUP(Z$5,Materialpreise,3,0)*VLOOKUP($A34,Rezepte,MATCH(Kalkulation!Z$5,Rezepte!$5:$5,0),0),"")</f>
        <v/>
      </c>
      <c r="AA34" s="23" t="str">
        <f>IF(AND(ISNUMBER(VLOOKUP($A34,Rezepte,MATCH(Kalkulation!AA$5,Rezepte!$5:$5,0),0)),ISNUMBER(VLOOKUP(AA$5,Materialpreise,3,0))),VLOOKUP(AA$5,Materialpreise,3,0)*VLOOKUP($A34,Rezepte,MATCH(Kalkulation!AA$5,Rezepte!$5:$5,0),0),"")</f>
        <v/>
      </c>
      <c r="AB34" s="23" t="str">
        <f>IF(AND(ISNUMBER(VLOOKUP($A34,Rezepte,MATCH(Kalkulation!AB$5,Rezepte!$5:$5,0),0)),ISNUMBER(VLOOKUP(AB$5,Materialpreise,3,0))),VLOOKUP(AB$5,Materialpreise,3,0)*VLOOKUP($A34,Rezepte,MATCH(Kalkulation!AB$5,Rezepte!$5:$5,0),0),"")</f>
        <v/>
      </c>
      <c r="AC34" s="23" t="str">
        <f>IF(AND(ISNUMBER(VLOOKUP($A34,Rezepte,MATCH(Kalkulation!AC$5,Rezepte!$5:$5,0),0)),ISNUMBER(VLOOKUP(AC$5,Materialpreise,3,0))),VLOOKUP(AC$5,Materialpreise,3,0)*VLOOKUP($A34,Rezepte,MATCH(Kalkulation!AC$5,Rezepte!$5:$5,0),0),"")</f>
        <v/>
      </c>
      <c r="AD34" s="23" t="str">
        <f>IF(AND(ISNUMBER(VLOOKUP($A34,Rezepte,MATCH(Kalkulation!AD$5,Rezepte!$5:$5,0),0)),ISNUMBER(VLOOKUP(AD$5,Materialpreise,3,0))),VLOOKUP(AD$5,Materialpreise,3,0)*VLOOKUP($A34,Rezepte,MATCH(Kalkulation!AD$5,Rezepte!$5:$5,0),0),"")</f>
        <v/>
      </c>
      <c r="AE34" s="23" t="str">
        <f>IF(AND(ISNUMBER(VLOOKUP($A34,Rezepte,MATCH(Kalkulation!AE$5,Rezepte!$5:$5,0),0)),ISNUMBER(VLOOKUP(AE$5,Materialpreise,3,0))),VLOOKUP(AE$5,Materialpreise,3,0)*VLOOKUP($A34,Rezepte,MATCH(Kalkulation!AE$5,Rezepte!$5:$5,0),0),"")</f>
        <v/>
      </c>
      <c r="AF34" s="23" t="str">
        <f>IF(AND(ISNUMBER(VLOOKUP($A34,Rezepte,MATCH(Kalkulation!AF$5,Rezepte!$5:$5,0),0)),ISNUMBER(VLOOKUP(AF$5,Materialpreise,3,0))),VLOOKUP(AF$5,Materialpreise,3,0)*VLOOKUP($A34,Rezepte,MATCH(Kalkulation!AF$5,Rezepte!$5:$5,0),0),"")</f>
        <v/>
      </c>
      <c r="AG34" s="23" t="str">
        <f>IF(AND(ISNUMBER(VLOOKUP($A34,Rezepte,MATCH(Kalkulation!AG$5,Rezepte!$5:$5,0),0)),ISNUMBER(VLOOKUP(AG$5,Materialpreise,3,0))),VLOOKUP(AG$5,Materialpreise,3,0)*VLOOKUP($A34,Rezepte,MATCH(Kalkulation!AG$5,Rezepte!$5:$5,0),0),"")</f>
        <v/>
      </c>
      <c r="AH34" s="23" t="str">
        <f>IF(AND(ISNUMBER(VLOOKUP($A34,Rezepte,MATCH(Kalkulation!AH$5,Rezepte!$5:$5,0),0)),ISNUMBER(VLOOKUP(AH$5,Materialpreise,3,0))),VLOOKUP(AH$5,Materialpreise,3,0)*VLOOKUP($A34,Rezepte,MATCH(Kalkulation!AH$5,Rezepte!$5:$5,0),0),"")</f>
        <v/>
      </c>
      <c r="AI34" s="23" t="str">
        <f>IF(AND(ISNUMBER(VLOOKUP($A34,Rezepte,MATCH(Kalkulation!AI$5,Rezepte!$5:$5,0),0)),ISNUMBER(VLOOKUP(AI$5,Materialpreise,3,0))),VLOOKUP(AI$5,Materialpreise,3,0)*VLOOKUP($A34,Rezepte,MATCH(Kalkulation!AI$5,Rezepte!$5:$5,0),0),"")</f>
        <v/>
      </c>
      <c r="AJ34" s="23" t="str">
        <f>IF(AND(ISNUMBER(VLOOKUP($A34,Rezepte,MATCH(Kalkulation!AJ$5,Rezepte!$5:$5,0),0)),ISNUMBER(VLOOKUP(AJ$5,Materialpreise,3,0))),VLOOKUP(AJ$5,Materialpreise,3,0)*VLOOKUP($A34,Rezepte,MATCH(Kalkulation!AJ$5,Rezepte!$5:$5,0),0),"")</f>
        <v/>
      </c>
      <c r="AK34" s="23" t="str">
        <f>IF(AND(ISNUMBER(VLOOKUP($A34,Rezepte,MATCH(Kalkulation!AK$5,Rezepte!$5:$5,0),0)),ISNUMBER(VLOOKUP(AK$5,Materialpreise,3,0))),VLOOKUP(AK$5,Materialpreise,3,0)*VLOOKUP($A34,Rezepte,MATCH(Kalkulation!AK$5,Rezepte!$5:$5,0),0),"")</f>
        <v/>
      </c>
      <c r="AL34" s="23" t="str">
        <f>IF(AND(ISNUMBER(VLOOKUP($A34,Rezepte,MATCH(Kalkulation!AL$5,Rezepte!$5:$5,0),0)),ISNUMBER(VLOOKUP(AL$5,Materialpreise,3,0))),VLOOKUP(AL$5,Materialpreise,3,0)*VLOOKUP($A34,Rezepte,MATCH(Kalkulation!AL$5,Rezepte!$5:$5,0),0),"")</f>
        <v/>
      </c>
      <c r="AM34" s="23" t="str">
        <f>IF(AND(ISNUMBER(VLOOKUP($A34,Rezepte,MATCH(Kalkulation!AM$5,Rezepte!$5:$5,0),0)),ISNUMBER(VLOOKUP(AM$5,Materialpreise,3,0))),VLOOKUP(AM$5,Materialpreise,3,0)*VLOOKUP($A34,Rezepte,MATCH(Kalkulation!AM$5,Rezepte!$5:$5,0),0),"")</f>
        <v/>
      </c>
      <c r="AN34" s="23" t="str">
        <f>IF(AND(ISNUMBER(VLOOKUP($A34,Rezepte,MATCH(Kalkulation!AN$5,Rezepte!$5:$5,0),0)),ISNUMBER(VLOOKUP(AN$5,Materialpreise,3,0))),VLOOKUP(AN$5,Materialpreise,3,0)*VLOOKUP($A34,Rezepte,MATCH(Kalkulation!AN$5,Rezepte!$5:$5,0),0),"")</f>
        <v/>
      </c>
      <c r="AO34" s="23" t="str">
        <f>IF(AND(ISNUMBER(VLOOKUP($A34,Rezepte,MATCH(Kalkulation!AO$5,Rezepte!$5:$5,0),0)),ISNUMBER(VLOOKUP(AO$5,Materialpreise,3,0))),VLOOKUP(AO$5,Materialpreise,3,0)*VLOOKUP($A34,Rezepte,MATCH(Kalkulation!AO$5,Rezepte!$5:$5,0),0),"")</f>
        <v/>
      </c>
      <c r="AP34" s="23" t="str">
        <f>IF(AND(ISNUMBER(VLOOKUP($A34,Rezepte,MATCH(Kalkulation!AP$5,Rezepte!$5:$5,0),0)),ISNUMBER(VLOOKUP(AP$5,Materialpreise,3,0))),VLOOKUP(AP$5,Materialpreise,3,0)*VLOOKUP($A34,Rezepte,MATCH(Kalkulation!AP$5,Rezepte!$5:$5,0),0),"")</f>
        <v/>
      </c>
      <c r="AQ34" s="23" t="str">
        <f>IF(AND(ISNUMBER(VLOOKUP($A34,Rezepte,MATCH(Kalkulation!AQ$5,Rezepte!$5:$5,0),0)),ISNUMBER(VLOOKUP(AQ$5,Materialpreise,3,0))),VLOOKUP(AQ$5,Materialpreise,3,0)*VLOOKUP($A34,Rezepte,MATCH(Kalkulation!AQ$5,Rezepte!$5:$5,0),0),"")</f>
        <v/>
      </c>
      <c r="AR34" s="23" t="str">
        <f>IF(AND(ISNUMBER(VLOOKUP($A34,Rezepte,MATCH(Kalkulation!AR$5,Rezepte!$5:$5,0),0)),ISNUMBER(VLOOKUP(AR$5,Materialpreise,3,0))),VLOOKUP(AR$5,Materialpreise,3,0)*VLOOKUP($A34,Rezepte,MATCH(Kalkulation!AR$5,Rezepte!$5:$5,0),0),"")</f>
        <v/>
      </c>
      <c r="AS34" s="23" t="str">
        <f>IF(AND(ISNUMBER(VLOOKUP($A34,Rezepte,MATCH(Kalkulation!AS$5,Rezepte!$5:$5,0),0)),ISNUMBER(VLOOKUP(AS$5,Materialpreise,3,0))),VLOOKUP(AS$5,Materialpreise,3,0)*VLOOKUP($A34,Rezepte,MATCH(Kalkulation!AS$5,Rezepte!$5:$5,0),0),"")</f>
        <v/>
      </c>
      <c r="AT34" s="23" t="str">
        <f>IF(AND(ISNUMBER(VLOOKUP($A34,Rezepte,MATCH(Kalkulation!AT$5,Rezepte!$5:$5,0),0)),ISNUMBER(VLOOKUP(AT$5,Materialpreise,3,0))),VLOOKUP(AT$5,Materialpreise,3,0)*VLOOKUP($A34,Rezepte,MATCH(Kalkulation!AT$5,Rezepte!$5:$5,0),0),"")</f>
        <v/>
      </c>
      <c r="AU34" s="23" t="str">
        <f>IF(AND(ISNUMBER(VLOOKUP($A34,Rezepte,MATCH(Kalkulation!AU$5,Rezepte!$5:$5,0),0)),ISNUMBER(VLOOKUP(AU$5,Materialpreise,3,0))),VLOOKUP(AU$5,Materialpreise,3,0)*VLOOKUP($A34,Rezepte,MATCH(Kalkulation!AU$5,Rezepte!$5:$5,0),0),"")</f>
        <v/>
      </c>
      <c r="AV34" s="23" t="str">
        <f>IF(AND(ISNUMBER(VLOOKUP($A34,Rezepte,MATCH(Kalkulation!AV$5,Rezepte!$5:$5,0),0)),ISNUMBER(VLOOKUP(AV$5,Materialpreise,3,0))),VLOOKUP(AV$5,Materialpreise,3,0)*VLOOKUP($A34,Rezepte,MATCH(Kalkulation!AV$5,Rezepte!$5:$5,0),0),"")</f>
        <v/>
      </c>
      <c r="AW34" s="23" t="str">
        <f>IF(AND(ISNUMBER(VLOOKUP($A34,Rezepte,MATCH(Kalkulation!AW$5,Rezepte!$5:$5,0),0)),ISNUMBER(VLOOKUP(AW$5,Materialpreise,3,0))),VLOOKUP(AW$5,Materialpreise,3,0)*VLOOKUP($A34,Rezepte,MATCH(Kalkulation!AW$5,Rezepte!$5:$5,0),0),"")</f>
        <v/>
      </c>
      <c r="AX34" s="23" t="str">
        <f>IF(AND(ISNUMBER(VLOOKUP($A34,Rezepte,MATCH(Kalkulation!AX$5,Rezepte!$5:$5,0),0)),ISNUMBER(VLOOKUP(AX$5,Materialpreise,3,0))),VLOOKUP(AX$5,Materialpreise,3,0)*VLOOKUP($A34,Rezepte,MATCH(Kalkulation!AX$5,Rezepte!$5:$5,0),0),"")</f>
        <v/>
      </c>
      <c r="AY34" s="23" t="str">
        <f>IF(AND(ISNUMBER(VLOOKUP($A34,Rezepte,MATCH(Kalkulation!AY$5,Rezepte!$5:$5,0),0)),ISNUMBER(VLOOKUP(AY$5,Materialpreise,3,0))),VLOOKUP(AY$5,Materialpreise,3,0)*VLOOKUP($A34,Rezepte,MATCH(Kalkulation!AY$5,Rezepte!$5:$5,0),0),"")</f>
        <v/>
      </c>
      <c r="AZ34" s="23" t="str">
        <f>IF(AND(ISNUMBER(VLOOKUP($A34,Rezepte,MATCH(Kalkulation!AZ$5,Rezepte!$5:$5,0),0)),ISNUMBER(VLOOKUP(AZ$5,Materialpreise,3,0))),VLOOKUP(AZ$5,Materialpreise,3,0)*VLOOKUP($A34,Rezepte,MATCH(Kalkulation!AZ$5,Rezepte!$5:$5,0),0),"")</f>
        <v/>
      </c>
      <c r="BA34" s="23" t="str">
        <f>IF(AND(ISNUMBER(VLOOKUP($A34,Rezepte,MATCH(Kalkulation!BA$5,Rezepte!$5:$5,0),0)),ISNUMBER(VLOOKUP(BA$5,Materialpreise,3,0))),VLOOKUP(BA$5,Materialpreise,3,0)*VLOOKUP($A34,Rezepte,MATCH(Kalkulation!BA$5,Rezepte!$5:$5,0),0),"")</f>
        <v/>
      </c>
    </row>
    <row r="35" spans="1:53" x14ac:dyDescent="0.25">
      <c r="A35" t="str">
        <f t="array" ref="A35">IFERROR(INDEX(Rezepte!$A$6:$A$100,MATCH(1,(COUNTIF(A$6:A34,Rezepte!A$6:A$100)=0)*(Rezepte!A$6:A$100&lt;&gt;""),0)),"")</f>
        <v/>
      </c>
      <c r="B35" s="23" t="str">
        <f t="shared" si="2"/>
        <v/>
      </c>
      <c r="C35" s="23" t="str">
        <f t="shared" si="1"/>
        <v/>
      </c>
      <c r="D35" s="23" t="str">
        <f>IF(AND(ISNUMBER(VLOOKUP($A35,Rezepte,MATCH(Kalkulation!D$5,Rezepte!$5:$5,0),0)),ISNUMBER(VLOOKUP(D$5,Materialpreise,3,0))),VLOOKUP(D$5,Materialpreise,3,0)*VLOOKUP($A35,Rezepte,MATCH(Kalkulation!D$5,Rezepte!$5:$5,0),0),"")</f>
        <v/>
      </c>
      <c r="E35" s="23" t="str">
        <f>IF(AND(ISNUMBER(VLOOKUP($A35,Rezepte,MATCH(Kalkulation!E$5,Rezepte!$5:$5,0),0)),ISNUMBER(VLOOKUP(E$5,Materialpreise,3,0))),VLOOKUP(E$5,Materialpreise,3,0)*VLOOKUP($A35,Rezepte,MATCH(Kalkulation!E$5,Rezepte!$5:$5,0),0),"")</f>
        <v/>
      </c>
      <c r="F35" s="23" t="str">
        <f>IF(AND(ISNUMBER(VLOOKUP($A35,Rezepte,MATCH(Kalkulation!F$5,Rezepte!$5:$5,0),0)),ISNUMBER(VLOOKUP(F$5,Materialpreise,3,0))),VLOOKUP(F$5,Materialpreise,3,0)*VLOOKUP($A35,Rezepte,MATCH(Kalkulation!F$5,Rezepte!$5:$5,0),0),"")</f>
        <v/>
      </c>
      <c r="G35" s="23" t="str">
        <f>IF(AND(ISNUMBER(VLOOKUP($A35,Rezepte,MATCH(Kalkulation!G$5,Rezepte!$5:$5,0),0)),ISNUMBER(VLOOKUP(G$5,Materialpreise,3,0))),VLOOKUP(G$5,Materialpreise,3,0)*VLOOKUP($A35,Rezepte,MATCH(Kalkulation!G$5,Rezepte!$5:$5,0),0),"")</f>
        <v/>
      </c>
      <c r="H35" s="23" t="str">
        <f>IF(AND(ISNUMBER(VLOOKUP($A35,Rezepte,MATCH(Kalkulation!H$5,Rezepte!$5:$5,0),0)),ISNUMBER(VLOOKUP(H$5,Materialpreise,3,0))),VLOOKUP(H$5,Materialpreise,3,0)*VLOOKUP($A35,Rezepte,MATCH(Kalkulation!H$5,Rezepte!$5:$5,0),0),"")</f>
        <v/>
      </c>
      <c r="I35" s="23" t="str">
        <f>IF(AND(ISNUMBER(VLOOKUP($A35,Rezepte,MATCH(Kalkulation!I$5,Rezepte!$5:$5,0),0)),ISNUMBER(VLOOKUP(I$5,Materialpreise,3,0))),VLOOKUP(I$5,Materialpreise,3,0)*VLOOKUP($A35,Rezepte,MATCH(Kalkulation!I$5,Rezepte!$5:$5,0),0),"")</f>
        <v/>
      </c>
      <c r="J35" s="23" t="str">
        <f>IF(AND(ISNUMBER(VLOOKUP($A35,Rezepte,MATCH(Kalkulation!J$5,Rezepte!$5:$5,0),0)),ISNUMBER(VLOOKUP(J$5,Materialpreise,3,0))),VLOOKUP(J$5,Materialpreise,3,0)*VLOOKUP($A35,Rezepte,MATCH(Kalkulation!J$5,Rezepte!$5:$5,0),0),"")</f>
        <v/>
      </c>
      <c r="K35" s="23" t="str">
        <f>IF(AND(ISNUMBER(VLOOKUP($A35,Rezepte,MATCH(Kalkulation!K$5,Rezepte!$5:$5,0),0)),ISNUMBER(VLOOKUP(K$5,Materialpreise,3,0))),VLOOKUP(K$5,Materialpreise,3,0)*VLOOKUP($A35,Rezepte,MATCH(Kalkulation!K$5,Rezepte!$5:$5,0),0),"")</f>
        <v/>
      </c>
      <c r="L35" s="23" t="str">
        <f>IF(AND(ISNUMBER(VLOOKUP($A35,Rezepte,MATCH(Kalkulation!L$5,Rezepte!$5:$5,0),0)),ISNUMBER(VLOOKUP(L$5,Materialpreise,3,0))),VLOOKUP(L$5,Materialpreise,3,0)*VLOOKUP($A35,Rezepte,MATCH(Kalkulation!L$5,Rezepte!$5:$5,0),0),"")</f>
        <v/>
      </c>
      <c r="M35" s="23" t="str">
        <f>IF(AND(ISNUMBER(VLOOKUP($A35,Rezepte,MATCH(Kalkulation!M$5,Rezepte!$5:$5,0),0)),ISNUMBER(VLOOKUP(M$5,Materialpreise,3,0))),VLOOKUP(M$5,Materialpreise,3,0)*VLOOKUP($A35,Rezepte,MATCH(Kalkulation!M$5,Rezepte!$5:$5,0),0),"")</f>
        <v/>
      </c>
      <c r="N35" s="23" t="str">
        <f>IF(AND(ISNUMBER(VLOOKUP($A35,Rezepte,MATCH(Kalkulation!N$5,Rezepte!$5:$5,0),0)),ISNUMBER(VLOOKUP(N$5,Materialpreise,3,0))),VLOOKUP(N$5,Materialpreise,3,0)*VLOOKUP($A35,Rezepte,MATCH(Kalkulation!N$5,Rezepte!$5:$5,0),0),"")</f>
        <v/>
      </c>
      <c r="O35" s="23" t="str">
        <f>IF(AND(ISNUMBER(VLOOKUP($A35,Rezepte,MATCH(Kalkulation!O$5,Rezepte!$5:$5,0),0)),ISNUMBER(VLOOKUP(O$5,Materialpreise,3,0))),VLOOKUP(O$5,Materialpreise,3,0)*VLOOKUP($A35,Rezepte,MATCH(Kalkulation!O$5,Rezepte!$5:$5,0),0),"")</f>
        <v/>
      </c>
      <c r="P35" s="23" t="str">
        <f>IF(AND(ISNUMBER(VLOOKUP($A35,Rezepte,MATCH(Kalkulation!P$5,Rezepte!$5:$5,0),0)),ISNUMBER(VLOOKUP(P$5,Materialpreise,3,0))),VLOOKUP(P$5,Materialpreise,3,0)*VLOOKUP($A35,Rezepte,MATCH(Kalkulation!P$5,Rezepte!$5:$5,0),0),"")</f>
        <v/>
      </c>
      <c r="Q35" s="23" t="str">
        <f>IF(AND(ISNUMBER(VLOOKUP($A35,Rezepte,MATCH(Kalkulation!Q$5,Rezepte!$5:$5,0),0)),ISNUMBER(VLOOKUP(Q$5,Materialpreise,3,0))),VLOOKUP(Q$5,Materialpreise,3,0)*VLOOKUP($A35,Rezepte,MATCH(Kalkulation!Q$5,Rezepte!$5:$5,0),0),"")</f>
        <v/>
      </c>
      <c r="R35" s="23" t="str">
        <f>IF(AND(ISNUMBER(VLOOKUP($A35,Rezepte,MATCH(Kalkulation!R$5,Rezepte!$5:$5,0),0)),ISNUMBER(VLOOKUP(R$5,Materialpreise,3,0))),VLOOKUP(R$5,Materialpreise,3,0)*VLOOKUP($A35,Rezepte,MATCH(Kalkulation!R$5,Rezepte!$5:$5,0),0),"")</f>
        <v/>
      </c>
      <c r="S35" s="23" t="str">
        <f>IF(AND(ISNUMBER(VLOOKUP($A35,Rezepte,MATCH(Kalkulation!S$5,Rezepte!$5:$5,0),0)),ISNUMBER(VLOOKUP(S$5,Materialpreise,3,0))),VLOOKUP(S$5,Materialpreise,3,0)*VLOOKUP($A35,Rezepte,MATCH(Kalkulation!S$5,Rezepte!$5:$5,0),0),"")</f>
        <v/>
      </c>
      <c r="T35" s="23" t="str">
        <f>IF(AND(ISNUMBER(VLOOKUP($A35,Rezepte,MATCH(Kalkulation!T$5,Rezepte!$5:$5,0),0)),ISNUMBER(VLOOKUP(T$5,Materialpreise,3,0))),VLOOKUP(T$5,Materialpreise,3,0)*VLOOKUP($A35,Rezepte,MATCH(Kalkulation!T$5,Rezepte!$5:$5,0),0),"")</f>
        <v/>
      </c>
      <c r="U35" s="23" t="str">
        <f>IF(AND(ISNUMBER(VLOOKUP($A35,Rezepte,MATCH(Kalkulation!U$5,Rezepte!$5:$5,0),0)),ISNUMBER(VLOOKUP(U$5,Materialpreise,3,0))),VLOOKUP(U$5,Materialpreise,3,0)*VLOOKUP($A35,Rezepte,MATCH(Kalkulation!U$5,Rezepte!$5:$5,0),0),"")</f>
        <v/>
      </c>
      <c r="V35" s="23" t="str">
        <f>IF(AND(ISNUMBER(VLOOKUP($A35,Rezepte,MATCH(Kalkulation!V$5,Rezepte!$5:$5,0),0)),ISNUMBER(VLOOKUP(V$5,Materialpreise,3,0))),VLOOKUP(V$5,Materialpreise,3,0)*VLOOKUP($A35,Rezepte,MATCH(Kalkulation!V$5,Rezepte!$5:$5,0),0),"")</f>
        <v/>
      </c>
      <c r="W35" s="23" t="str">
        <f>IF(AND(ISNUMBER(VLOOKUP($A35,Rezepte,MATCH(Kalkulation!W$5,Rezepte!$5:$5,0),0)),ISNUMBER(VLOOKUP(W$5,Materialpreise,3,0))),VLOOKUP(W$5,Materialpreise,3,0)*VLOOKUP($A35,Rezepte,MATCH(Kalkulation!W$5,Rezepte!$5:$5,0),0),"")</f>
        <v/>
      </c>
      <c r="X35" s="23" t="str">
        <f>IF(AND(ISNUMBER(VLOOKUP($A35,Rezepte,MATCH(Kalkulation!X$5,Rezepte!$5:$5,0),0)),ISNUMBER(VLOOKUP(X$5,Materialpreise,3,0))),VLOOKUP(X$5,Materialpreise,3,0)*VLOOKUP($A35,Rezepte,MATCH(Kalkulation!X$5,Rezepte!$5:$5,0),0),"")</f>
        <v/>
      </c>
      <c r="Y35" s="23" t="str">
        <f>IF(AND(ISNUMBER(VLOOKUP($A35,Rezepte,MATCH(Kalkulation!Y$5,Rezepte!$5:$5,0),0)),ISNUMBER(VLOOKUP(Y$5,Materialpreise,3,0))),VLOOKUP(Y$5,Materialpreise,3,0)*VLOOKUP($A35,Rezepte,MATCH(Kalkulation!Y$5,Rezepte!$5:$5,0),0),"")</f>
        <v/>
      </c>
      <c r="Z35" s="23" t="str">
        <f>IF(AND(ISNUMBER(VLOOKUP($A35,Rezepte,MATCH(Kalkulation!Z$5,Rezepte!$5:$5,0),0)),ISNUMBER(VLOOKUP(Z$5,Materialpreise,3,0))),VLOOKUP(Z$5,Materialpreise,3,0)*VLOOKUP($A35,Rezepte,MATCH(Kalkulation!Z$5,Rezepte!$5:$5,0),0),"")</f>
        <v/>
      </c>
      <c r="AA35" s="23" t="str">
        <f>IF(AND(ISNUMBER(VLOOKUP($A35,Rezepte,MATCH(Kalkulation!AA$5,Rezepte!$5:$5,0),0)),ISNUMBER(VLOOKUP(AA$5,Materialpreise,3,0))),VLOOKUP(AA$5,Materialpreise,3,0)*VLOOKUP($A35,Rezepte,MATCH(Kalkulation!AA$5,Rezepte!$5:$5,0),0),"")</f>
        <v/>
      </c>
      <c r="AB35" s="23" t="str">
        <f>IF(AND(ISNUMBER(VLOOKUP($A35,Rezepte,MATCH(Kalkulation!AB$5,Rezepte!$5:$5,0),0)),ISNUMBER(VLOOKUP(AB$5,Materialpreise,3,0))),VLOOKUP(AB$5,Materialpreise,3,0)*VLOOKUP($A35,Rezepte,MATCH(Kalkulation!AB$5,Rezepte!$5:$5,0),0),"")</f>
        <v/>
      </c>
      <c r="AC35" s="23" t="str">
        <f>IF(AND(ISNUMBER(VLOOKUP($A35,Rezepte,MATCH(Kalkulation!AC$5,Rezepte!$5:$5,0),0)),ISNUMBER(VLOOKUP(AC$5,Materialpreise,3,0))),VLOOKUP(AC$5,Materialpreise,3,0)*VLOOKUP($A35,Rezepte,MATCH(Kalkulation!AC$5,Rezepte!$5:$5,0),0),"")</f>
        <v/>
      </c>
      <c r="AD35" s="23" t="str">
        <f>IF(AND(ISNUMBER(VLOOKUP($A35,Rezepte,MATCH(Kalkulation!AD$5,Rezepte!$5:$5,0),0)),ISNUMBER(VLOOKUP(AD$5,Materialpreise,3,0))),VLOOKUP(AD$5,Materialpreise,3,0)*VLOOKUP($A35,Rezepte,MATCH(Kalkulation!AD$5,Rezepte!$5:$5,0),0),"")</f>
        <v/>
      </c>
      <c r="AE35" s="23" t="str">
        <f>IF(AND(ISNUMBER(VLOOKUP($A35,Rezepte,MATCH(Kalkulation!AE$5,Rezepte!$5:$5,0),0)),ISNUMBER(VLOOKUP(AE$5,Materialpreise,3,0))),VLOOKUP(AE$5,Materialpreise,3,0)*VLOOKUP($A35,Rezepte,MATCH(Kalkulation!AE$5,Rezepte!$5:$5,0),0),"")</f>
        <v/>
      </c>
      <c r="AF35" s="23" t="str">
        <f>IF(AND(ISNUMBER(VLOOKUP($A35,Rezepte,MATCH(Kalkulation!AF$5,Rezepte!$5:$5,0),0)),ISNUMBER(VLOOKUP(AF$5,Materialpreise,3,0))),VLOOKUP(AF$5,Materialpreise,3,0)*VLOOKUP($A35,Rezepte,MATCH(Kalkulation!AF$5,Rezepte!$5:$5,0),0),"")</f>
        <v/>
      </c>
      <c r="AG35" s="23" t="str">
        <f>IF(AND(ISNUMBER(VLOOKUP($A35,Rezepte,MATCH(Kalkulation!AG$5,Rezepte!$5:$5,0),0)),ISNUMBER(VLOOKUP(AG$5,Materialpreise,3,0))),VLOOKUP(AG$5,Materialpreise,3,0)*VLOOKUP($A35,Rezepte,MATCH(Kalkulation!AG$5,Rezepte!$5:$5,0),0),"")</f>
        <v/>
      </c>
      <c r="AH35" s="23" t="str">
        <f>IF(AND(ISNUMBER(VLOOKUP($A35,Rezepte,MATCH(Kalkulation!AH$5,Rezepte!$5:$5,0),0)),ISNUMBER(VLOOKUP(AH$5,Materialpreise,3,0))),VLOOKUP(AH$5,Materialpreise,3,0)*VLOOKUP($A35,Rezepte,MATCH(Kalkulation!AH$5,Rezepte!$5:$5,0),0),"")</f>
        <v/>
      </c>
      <c r="AI35" s="23" t="str">
        <f>IF(AND(ISNUMBER(VLOOKUP($A35,Rezepte,MATCH(Kalkulation!AI$5,Rezepte!$5:$5,0),0)),ISNUMBER(VLOOKUP(AI$5,Materialpreise,3,0))),VLOOKUP(AI$5,Materialpreise,3,0)*VLOOKUP($A35,Rezepte,MATCH(Kalkulation!AI$5,Rezepte!$5:$5,0),0),"")</f>
        <v/>
      </c>
      <c r="AJ35" s="23" t="str">
        <f>IF(AND(ISNUMBER(VLOOKUP($A35,Rezepte,MATCH(Kalkulation!AJ$5,Rezepte!$5:$5,0),0)),ISNUMBER(VLOOKUP(AJ$5,Materialpreise,3,0))),VLOOKUP(AJ$5,Materialpreise,3,0)*VLOOKUP($A35,Rezepte,MATCH(Kalkulation!AJ$5,Rezepte!$5:$5,0),0),"")</f>
        <v/>
      </c>
      <c r="AK35" s="23" t="str">
        <f>IF(AND(ISNUMBER(VLOOKUP($A35,Rezepte,MATCH(Kalkulation!AK$5,Rezepte!$5:$5,0),0)),ISNUMBER(VLOOKUP(AK$5,Materialpreise,3,0))),VLOOKUP(AK$5,Materialpreise,3,0)*VLOOKUP($A35,Rezepte,MATCH(Kalkulation!AK$5,Rezepte!$5:$5,0),0),"")</f>
        <v/>
      </c>
      <c r="AL35" s="23" t="str">
        <f>IF(AND(ISNUMBER(VLOOKUP($A35,Rezepte,MATCH(Kalkulation!AL$5,Rezepte!$5:$5,0),0)),ISNUMBER(VLOOKUP(AL$5,Materialpreise,3,0))),VLOOKUP(AL$5,Materialpreise,3,0)*VLOOKUP($A35,Rezepte,MATCH(Kalkulation!AL$5,Rezepte!$5:$5,0),0),"")</f>
        <v/>
      </c>
      <c r="AM35" s="23" t="str">
        <f>IF(AND(ISNUMBER(VLOOKUP($A35,Rezepte,MATCH(Kalkulation!AM$5,Rezepte!$5:$5,0),0)),ISNUMBER(VLOOKUP(AM$5,Materialpreise,3,0))),VLOOKUP(AM$5,Materialpreise,3,0)*VLOOKUP($A35,Rezepte,MATCH(Kalkulation!AM$5,Rezepte!$5:$5,0),0),"")</f>
        <v/>
      </c>
      <c r="AN35" s="23" t="str">
        <f>IF(AND(ISNUMBER(VLOOKUP($A35,Rezepte,MATCH(Kalkulation!AN$5,Rezepte!$5:$5,0),0)),ISNUMBER(VLOOKUP(AN$5,Materialpreise,3,0))),VLOOKUP(AN$5,Materialpreise,3,0)*VLOOKUP($A35,Rezepte,MATCH(Kalkulation!AN$5,Rezepte!$5:$5,0),0),"")</f>
        <v/>
      </c>
      <c r="AO35" s="23" t="str">
        <f>IF(AND(ISNUMBER(VLOOKUP($A35,Rezepte,MATCH(Kalkulation!AO$5,Rezepte!$5:$5,0),0)),ISNUMBER(VLOOKUP(AO$5,Materialpreise,3,0))),VLOOKUP(AO$5,Materialpreise,3,0)*VLOOKUP($A35,Rezepte,MATCH(Kalkulation!AO$5,Rezepte!$5:$5,0),0),"")</f>
        <v/>
      </c>
      <c r="AP35" s="23" t="str">
        <f>IF(AND(ISNUMBER(VLOOKUP($A35,Rezepte,MATCH(Kalkulation!AP$5,Rezepte!$5:$5,0),0)),ISNUMBER(VLOOKUP(AP$5,Materialpreise,3,0))),VLOOKUP(AP$5,Materialpreise,3,0)*VLOOKUP($A35,Rezepte,MATCH(Kalkulation!AP$5,Rezepte!$5:$5,0),0),"")</f>
        <v/>
      </c>
      <c r="AQ35" s="23" t="str">
        <f>IF(AND(ISNUMBER(VLOOKUP($A35,Rezepte,MATCH(Kalkulation!AQ$5,Rezepte!$5:$5,0),0)),ISNUMBER(VLOOKUP(AQ$5,Materialpreise,3,0))),VLOOKUP(AQ$5,Materialpreise,3,0)*VLOOKUP($A35,Rezepte,MATCH(Kalkulation!AQ$5,Rezepte!$5:$5,0),0),"")</f>
        <v/>
      </c>
      <c r="AR35" s="23" t="str">
        <f>IF(AND(ISNUMBER(VLOOKUP($A35,Rezepte,MATCH(Kalkulation!AR$5,Rezepte!$5:$5,0),0)),ISNUMBER(VLOOKUP(AR$5,Materialpreise,3,0))),VLOOKUP(AR$5,Materialpreise,3,0)*VLOOKUP($A35,Rezepte,MATCH(Kalkulation!AR$5,Rezepte!$5:$5,0),0),"")</f>
        <v/>
      </c>
      <c r="AS35" s="23" t="str">
        <f>IF(AND(ISNUMBER(VLOOKUP($A35,Rezepte,MATCH(Kalkulation!AS$5,Rezepte!$5:$5,0),0)),ISNUMBER(VLOOKUP(AS$5,Materialpreise,3,0))),VLOOKUP(AS$5,Materialpreise,3,0)*VLOOKUP($A35,Rezepte,MATCH(Kalkulation!AS$5,Rezepte!$5:$5,0),0),"")</f>
        <v/>
      </c>
      <c r="AT35" s="23" t="str">
        <f>IF(AND(ISNUMBER(VLOOKUP($A35,Rezepte,MATCH(Kalkulation!AT$5,Rezepte!$5:$5,0),0)),ISNUMBER(VLOOKUP(AT$5,Materialpreise,3,0))),VLOOKUP(AT$5,Materialpreise,3,0)*VLOOKUP($A35,Rezepte,MATCH(Kalkulation!AT$5,Rezepte!$5:$5,0),0),"")</f>
        <v/>
      </c>
      <c r="AU35" s="23" t="str">
        <f>IF(AND(ISNUMBER(VLOOKUP($A35,Rezepte,MATCH(Kalkulation!AU$5,Rezepte!$5:$5,0),0)),ISNUMBER(VLOOKUP(AU$5,Materialpreise,3,0))),VLOOKUP(AU$5,Materialpreise,3,0)*VLOOKUP($A35,Rezepte,MATCH(Kalkulation!AU$5,Rezepte!$5:$5,0),0),"")</f>
        <v/>
      </c>
      <c r="AV35" s="23" t="str">
        <f>IF(AND(ISNUMBER(VLOOKUP($A35,Rezepte,MATCH(Kalkulation!AV$5,Rezepte!$5:$5,0),0)),ISNUMBER(VLOOKUP(AV$5,Materialpreise,3,0))),VLOOKUP(AV$5,Materialpreise,3,0)*VLOOKUP($A35,Rezepte,MATCH(Kalkulation!AV$5,Rezepte!$5:$5,0),0),"")</f>
        <v/>
      </c>
      <c r="AW35" s="23" t="str">
        <f>IF(AND(ISNUMBER(VLOOKUP($A35,Rezepte,MATCH(Kalkulation!AW$5,Rezepte!$5:$5,0),0)),ISNUMBER(VLOOKUP(AW$5,Materialpreise,3,0))),VLOOKUP(AW$5,Materialpreise,3,0)*VLOOKUP($A35,Rezepte,MATCH(Kalkulation!AW$5,Rezepte!$5:$5,0),0),"")</f>
        <v/>
      </c>
      <c r="AX35" s="23" t="str">
        <f>IF(AND(ISNUMBER(VLOOKUP($A35,Rezepte,MATCH(Kalkulation!AX$5,Rezepte!$5:$5,0),0)),ISNUMBER(VLOOKUP(AX$5,Materialpreise,3,0))),VLOOKUP(AX$5,Materialpreise,3,0)*VLOOKUP($A35,Rezepte,MATCH(Kalkulation!AX$5,Rezepte!$5:$5,0),0),"")</f>
        <v/>
      </c>
      <c r="AY35" s="23" t="str">
        <f>IF(AND(ISNUMBER(VLOOKUP($A35,Rezepte,MATCH(Kalkulation!AY$5,Rezepte!$5:$5,0),0)),ISNUMBER(VLOOKUP(AY$5,Materialpreise,3,0))),VLOOKUP(AY$5,Materialpreise,3,0)*VLOOKUP($A35,Rezepte,MATCH(Kalkulation!AY$5,Rezepte!$5:$5,0),0),"")</f>
        <v/>
      </c>
      <c r="AZ35" s="23" t="str">
        <f>IF(AND(ISNUMBER(VLOOKUP($A35,Rezepte,MATCH(Kalkulation!AZ$5,Rezepte!$5:$5,0),0)),ISNUMBER(VLOOKUP(AZ$5,Materialpreise,3,0))),VLOOKUP(AZ$5,Materialpreise,3,0)*VLOOKUP($A35,Rezepte,MATCH(Kalkulation!AZ$5,Rezepte!$5:$5,0),0),"")</f>
        <v/>
      </c>
      <c r="BA35" s="23" t="str">
        <f>IF(AND(ISNUMBER(VLOOKUP($A35,Rezepte,MATCH(Kalkulation!BA$5,Rezepte!$5:$5,0),0)),ISNUMBER(VLOOKUP(BA$5,Materialpreise,3,0))),VLOOKUP(BA$5,Materialpreise,3,0)*VLOOKUP($A35,Rezepte,MATCH(Kalkulation!BA$5,Rezepte!$5:$5,0),0),"")</f>
        <v/>
      </c>
    </row>
    <row r="36" spans="1:53" x14ac:dyDescent="0.25">
      <c r="A36" t="str">
        <f t="array" ref="A36">IFERROR(INDEX(Rezepte!$A$6:$A$100,MATCH(1,(COUNTIF(A$6:A35,Rezepte!A$6:A$100)=0)*(Rezepte!A$6:A$100&lt;&gt;""),0)),"")</f>
        <v/>
      </c>
      <c r="B36" s="23" t="str">
        <f t="shared" si="2"/>
        <v/>
      </c>
      <c r="C36" s="23" t="str">
        <f t="shared" si="1"/>
        <v/>
      </c>
      <c r="D36" s="23" t="str">
        <f>IF(AND(ISNUMBER(VLOOKUP($A36,Rezepte,MATCH(Kalkulation!D$5,Rezepte!$5:$5,0),0)),ISNUMBER(VLOOKUP(D$5,Materialpreise,3,0))),VLOOKUP(D$5,Materialpreise,3,0)*VLOOKUP($A36,Rezepte,MATCH(Kalkulation!D$5,Rezepte!$5:$5,0),0),"")</f>
        <v/>
      </c>
      <c r="E36" s="23" t="str">
        <f>IF(AND(ISNUMBER(VLOOKUP($A36,Rezepte,MATCH(Kalkulation!E$5,Rezepte!$5:$5,0),0)),ISNUMBER(VLOOKUP(E$5,Materialpreise,3,0))),VLOOKUP(E$5,Materialpreise,3,0)*VLOOKUP($A36,Rezepte,MATCH(Kalkulation!E$5,Rezepte!$5:$5,0),0),"")</f>
        <v/>
      </c>
      <c r="F36" s="23" t="str">
        <f>IF(AND(ISNUMBER(VLOOKUP($A36,Rezepte,MATCH(Kalkulation!F$5,Rezepte!$5:$5,0),0)),ISNUMBER(VLOOKUP(F$5,Materialpreise,3,0))),VLOOKUP(F$5,Materialpreise,3,0)*VLOOKUP($A36,Rezepte,MATCH(Kalkulation!F$5,Rezepte!$5:$5,0),0),"")</f>
        <v/>
      </c>
      <c r="G36" s="23" t="str">
        <f>IF(AND(ISNUMBER(VLOOKUP($A36,Rezepte,MATCH(Kalkulation!G$5,Rezepte!$5:$5,0),0)),ISNUMBER(VLOOKUP(G$5,Materialpreise,3,0))),VLOOKUP(G$5,Materialpreise,3,0)*VLOOKUP($A36,Rezepte,MATCH(Kalkulation!G$5,Rezepte!$5:$5,0),0),"")</f>
        <v/>
      </c>
      <c r="H36" s="23" t="str">
        <f>IF(AND(ISNUMBER(VLOOKUP($A36,Rezepte,MATCH(Kalkulation!H$5,Rezepte!$5:$5,0),0)),ISNUMBER(VLOOKUP(H$5,Materialpreise,3,0))),VLOOKUP(H$5,Materialpreise,3,0)*VLOOKUP($A36,Rezepte,MATCH(Kalkulation!H$5,Rezepte!$5:$5,0),0),"")</f>
        <v/>
      </c>
      <c r="I36" s="23" t="str">
        <f>IF(AND(ISNUMBER(VLOOKUP($A36,Rezepte,MATCH(Kalkulation!I$5,Rezepte!$5:$5,0),0)),ISNUMBER(VLOOKUP(I$5,Materialpreise,3,0))),VLOOKUP(I$5,Materialpreise,3,0)*VLOOKUP($A36,Rezepte,MATCH(Kalkulation!I$5,Rezepte!$5:$5,0),0),"")</f>
        <v/>
      </c>
      <c r="J36" s="23" t="str">
        <f>IF(AND(ISNUMBER(VLOOKUP($A36,Rezepte,MATCH(Kalkulation!J$5,Rezepte!$5:$5,0),0)),ISNUMBER(VLOOKUP(J$5,Materialpreise,3,0))),VLOOKUP(J$5,Materialpreise,3,0)*VLOOKUP($A36,Rezepte,MATCH(Kalkulation!J$5,Rezepte!$5:$5,0),0),"")</f>
        <v/>
      </c>
      <c r="K36" s="23" t="str">
        <f>IF(AND(ISNUMBER(VLOOKUP($A36,Rezepte,MATCH(Kalkulation!K$5,Rezepte!$5:$5,0),0)),ISNUMBER(VLOOKUP(K$5,Materialpreise,3,0))),VLOOKUP(K$5,Materialpreise,3,0)*VLOOKUP($A36,Rezepte,MATCH(Kalkulation!K$5,Rezepte!$5:$5,0),0),"")</f>
        <v/>
      </c>
      <c r="L36" s="23" t="str">
        <f>IF(AND(ISNUMBER(VLOOKUP($A36,Rezepte,MATCH(Kalkulation!L$5,Rezepte!$5:$5,0),0)),ISNUMBER(VLOOKUP(L$5,Materialpreise,3,0))),VLOOKUP(L$5,Materialpreise,3,0)*VLOOKUP($A36,Rezepte,MATCH(Kalkulation!L$5,Rezepte!$5:$5,0),0),"")</f>
        <v/>
      </c>
      <c r="M36" s="23" t="str">
        <f>IF(AND(ISNUMBER(VLOOKUP($A36,Rezepte,MATCH(Kalkulation!M$5,Rezepte!$5:$5,0),0)),ISNUMBER(VLOOKUP(M$5,Materialpreise,3,0))),VLOOKUP(M$5,Materialpreise,3,0)*VLOOKUP($A36,Rezepte,MATCH(Kalkulation!M$5,Rezepte!$5:$5,0),0),"")</f>
        <v/>
      </c>
      <c r="N36" s="23" t="str">
        <f>IF(AND(ISNUMBER(VLOOKUP($A36,Rezepte,MATCH(Kalkulation!N$5,Rezepte!$5:$5,0),0)),ISNUMBER(VLOOKUP(N$5,Materialpreise,3,0))),VLOOKUP(N$5,Materialpreise,3,0)*VLOOKUP($A36,Rezepte,MATCH(Kalkulation!N$5,Rezepte!$5:$5,0),0),"")</f>
        <v/>
      </c>
      <c r="O36" s="23" t="str">
        <f>IF(AND(ISNUMBER(VLOOKUP($A36,Rezepte,MATCH(Kalkulation!O$5,Rezepte!$5:$5,0),0)),ISNUMBER(VLOOKUP(O$5,Materialpreise,3,0))),VLOOKUP(O$5,Materialpreise,3,0)*VLOOKUP($A36,Rezepte,MATCH(Kalkulation!O$5,Rezepte!$5:$5,0),0),"")</f>
        <v/>
      </c>
      <c r="P36" s="23" t="str">
        <f>IF(AND(ISNUMBER(VLOOKUP($A36,Rezepte,MATCH(Kalkulation!P$5,Rezepte!$5:$5,0),0)),ISNUMBER(VLOOKUP(P$5,Materialpreise,3,0))),VLOOKUP(P$5,Materialpreise,3,0)*VLOOKUP($A36,Rezepte,MATCH(Kalkulation!P$5,Rezepte!$5:$5,0),0),"")</f>
        <v/>
      </c>
      <c r="Q36" s="23" t="str">
        <f>IF(AND(ISNUMBER(VLOOKUP($A36,Rezepte,MATCH(Kalkulation!Q$5,Rezepte!$5:$5,0),0)),ISNUMBER(VLOOKUP(Q$5,Materialpreise,3,0))),VLOOKUP(Q$5,Materialpreise,3,0)*VLOOKUP($A36,Rezepte,MATCH(Kalkulation!Q$5,Rezepte!$5:$5,0),0),"")</f>
        <v/>
      </c>
      <c r="R36" s="23" t="str">
        <f>IF(AND(ISNUMBER(VLOOKUP($A36,Rezepte,MATCH(Kalkulation!R$5,Rezepte!$5:$5,0),0)),ISNUMBER(VLOOKUP(R$5,Materialpreise,3,0))),VLOOKUP(R$5,Materialpreise,3,0)*VLOOKUP($A36,Rezepte,MATCH(Kalkulation!R$5,Rezepte!$5:$5,0),0),"")</f>
        <v/>
      </c>
      <c r="S36" s="23" t="str">
        <f>IF(AND(ISNUMBER(VLOOKUP($A36,Rezepte,MATCH(Kalkulation!S$5,Rezepte!$5:$5,0),0)),ISNUMBER(VLOOKUP(S$5,Materialpreise,3,0))),VLOOKUP(S$5,Materialpreise,3,0)*VLOOKUP($A36,Rezepte,MATCH(Kalkulation!S$5,Rezepte!$5:$5,0),0),"")</f>
        <v/>
      </c>
      <c r="T36" s="23" t="str">
        <f>IF(AND(ISNUMBER(VLOOKUP($A36,Rezepte,MATCH(Kalkulation!T$5,Rezepte!$5:$5,0),0)),ISNUMBER(VLOOKUP(T$5,Materialpreise,3,0))),VLOOKUP(T$5,Materialpreise,3,0)*VLOOKUP($A36,Rezepte,MATCH(Kalkulation!T$5,Rezepte!$5:$5,0),0),"")</f>
        <v/>
      </c>
      <c r="U36" s="23" t="str">
        <f>IF(AND(ISNUMBER(VLOOKUP($A36,Rezepte,MATCH(Kalkulation!U$5,Rezepte!$5:$5,0),0)),ISNUMBER(VLOOKUP(U$5,Materialpreise,3,0))),VLOOKUP(U$5,Materialpreise,3,0)*VLOOKUP($A36,Rezepte,MATCH(Kalkulation!U$5,Rezepte!$5:$5,0),0),"")</f>
        <v/>
      </c>
      <c r="V36" s="23" t="str">
        <f>IF(AND(ISNUMBER(VLOOKUP($A36,Rezepte,MATCH(Kalkulation!V$5,Rezepte!$5:$5,0),0)),ISNUMBER(VLOOKUP(V$5,Materialpreise,3,0))),VLOOKUP(V$5,Materialpreise,3,0)*VLOOKUP($A36,Rezepte,MATCH(Kalkulation!V$5,Rezepte!$5:$5,0),0),"")</f>
        <v/>
      </c>
      <c r="W36" s="23" t="str">
        <f>IF(AND(ISNUMBER(VLOOKUP($A36,Rezepte,MATCH(Kalkulation!W$5,Rezepte!$5:$5,0),0)),ISNUMBER(VLOOKUP(W$5,Materialpreise,3,0))),VLOOKUP(W$5,Materialpreise,3,0)*VLOOKUP($A36,Rezepte,MATCH(Kalkulation!W$5,Rezepte!$5:$5,0),0),"")</f>
        <v/>
      </c>
      <c r="X36" s="23" t="str">
        <f>IF(AND(ISNUMBER(VLOOKUP($A36,Rezepte,MATCH(Kalkulation!X$5,Rezepte!$5:$5,0),0)),ISNUMBER(VLOOKUP(X$5,Materialpreise,3,0))),VLOOKUP(X$5,Materialpreise,3,0)*VLOOKUP($A36,Rezepte,MATCH(Kalkulation!X$5,Rezepte!$5:$5,0),0),"")</f>
        <v/>
      </c>
      <c r="Y36" s="23" t="str">
        <f>IF(AND(ISNUMBER(VLOOKUP($A36,Rezepte,MATCH(Kalkulation!Y$5,Rezepte!$5:$5,0),0)),ISNUMBER(VLOOKUP(Y$5,Materialpreise,3,0))),VLOOKUP(Y$5,Materialpreise,3,0)*VLOOKUP($A36,Rezepte,MATCH(Kalkulation!Y$5,Rezepte!$5:$5,0),0),"")</f>
        <v/>
      </c>
      <c r="Z36" s="23" t="str">
        <f>IF(AND(ISNUMBER(VLOOKUP($A36,Rezepte,MATCH(Kalkulation!Z$5,Rezepte!$5:$5,0),0)),ISNUMBER(VLOOKUP(Z$5,Materialpreise,3,0))),VLOOKUP(Z$5,Materialpreise,3,0)*VLOOKUP($A36,Rezepte,MATCH(Kalkulation!Z$5,Rezepte!$5:$5,0),0),"")</f>
        <v/>
      </c>
      <c r="AA36" s="23" t="str">
        <f>IF(AND(ISNUMBER(VLOOKUP($A36,Rezepte,MATCH(Kalkulation!AA$5,Rezepte!$5:$5,0),0)),ISNUMBER(VLOOKUP(AA$5,Materialpreise,3,0))),VLOOKUP(AA$5,Materialpreise,3,0)*VLOOKUP($A36,Rezepte,MATCH(Kalkulation!AA$5,Rezepte!$5:$5,0),0),"")</f>
        <v/>
      </c>
      <c r="AB36" s="23" t="str">
        <f>IF(AND(ISNUMBER(VLOOKUP($A36,Rezepte,MATCH(Kalkulation!AB$5,Rezepte!$5:$5,0),0)),ISNUMBER(VLOOKUP(AB$5,Materialpreise,3,0))),VLOOKUP(AB$5,Materialpreise,3,0)*VLOOKUP($A36,Rezepte,MATCH(Kalkulation!AB$5,Rezepte!$5:$5,0),0),"")</f>
        <v/>
      </c>
      <c r="AC36" s="23" t="str">
        <f>IF(AND(ISNUMBER(VLOOKUP($A36,Rezepte,MATCH(Kalkulation!AC$5,Rezepte!$5:$5,0),0)),ISNUMBER(VLOOKUP(AC$5,Materialpreise,3,0))),VLOOKUP(AC$5,Materialpreise,3,0)*VLOOKUP($A36,Rezepte,MATCH(Kalkulation!AC$5,Rezepte!$5:$5,0),0),"")</f>
        <v/>
      </c>
      <c r="AD36" s="23" t="str">
        <f>IF(AND(ISNUMBER(VLOOKUP($A36,Rezepte,MATCH(Kalkulation!AD$5,Rezepte!$5:$5,0),0)),ISNUMBER(VLOOKUP(AD$5,Materialpreise,3,0))),VLOOKUP(AD$5,Materialpreise,3,0)*VLOOKUP($A36,Rezepte,MATCH(Kalkulation!AD$5,Rezepte!$5:$5,0),0),"")</f>
        <v/>
      </c>
      <c r="AE36" s="23" t="str">
        <f>IF(AND(ISNUMBER(VLOOKUP($A36,Rezepte,MATCH(Kalkulation!AE$5,Rezepte!$5:$5,0),0)),ISNUMBER(VLOOKUP(AE$5,Materialpreise,3,0))),VLOOKUP(AE$5,Materialpreise,3,0)*VLOOKUP($A36,Rezepte,MATCH(Kalkulation!AE$5,Rezepte!$5:$5,0),0),"")</f>
        <v/>
      </c>
      <c r="AF36" s="23" t="str">
        <f>IF(AND(ISNUMBER(VLOOKUP($A36,Rezepte,MATCH(Kalkulation!AF$5,Rezepte!$5:$5,0),0)),ISNUMBER(VLOOKUP(AF$5,Materialpreise,3,0))),VLOOKUP(AF$5,Materialpreise,3,0)*VLOOKUP($A36,Rezepte,MATCH(Kalkulation!AF$5,Rezepte!$5:$5,0),0),"")</f>
        <v/>
      </c>
      <c r="AG36" s="23" t="str">
        <f>IF(AND(ISNUMBER(VLOOKUP($A36,Rezepte,MATCH(Kalkulation!AG$5,Rezepte!$5:$5,0),0)),ISNUMBER(VLOOKUP(AG$5,Materialpreise,3,0))),VLOOKUP(AG$5,Materialpreise,3,0)*VLOOKUP($A36,Rezepte,MATCH(Kalkulation!AG$5,Rezepte!$5:$5,0),0),"")</f>
        <v/>
      </c>
      <c r="AH36" s="23" t="str">
        <f>IF(AND(ISNUMBER(VLOOKUP($A36,Rezepte,MATCH(Kalkulation!AH$5,Rezepte!$5:$5,0),0)),ISNUMBER(VLOOKUP(AH$5,Materialpreise,3,0))),VLOOKUP(AH$5,Materialpreise,3,0)*VLOOKUP($A36,Rezepte,MATCH(Kalkulation!AH$5,Rezepte!$5:$5,0),0),"")</f>
        <v/>
      </c>
      <c r="AI36" s="23" t="str">
        <f>IF(AND(ISNUMBER(VLOOKUP($A36,Rezepte,MATCH(Kalkulation!AI$5,Rezepte!$5:$5,0),0)),ISNUMBER(VLOOKUP(AI$5,Materialpreise,3,0))),VLOOKUP(AI$5,Materialpreise,3,0)*VLOOKUP($A36,Rezepte,MATCH(Kalkulation!AI$5,Rezepte!$5:$5,0),0),"")</f>
        <v/>
      </c>
      <c r="AJ36" s="23" t="str">
        <f>IF(AND(ISNUMBER(VLOOKUP($A36,Rezepte,MATCH(Kalkulation!AJ$5,Rezepte!$5:$5,0),0)),ISNUMBER(VLOOKUP(AJ$5,Materialpreise,3,0))),VLOOKUP(AJ$5,Materialpreise,3,0)*VLOOKUP($A36,Rezepte,MATCH(Kalkulation!AJ$5,Rezepte!$5:$5,0),0),"")</f>
        <v/>
      </c>
      <c r="AK36" s="23" t="str">
        <f>IF(AND(ISNUMBER(VLOOKUP($A36,Rezepte,MATCH(Kalkulation!AK$5,Rezepte!$5:$5,0),0)),ISNUMBER(VLOOKUP(AK$5,Materialpreise,3,0))),VLOOKUP(AK$5,Materialpreise,3,0)*VLOOKUP($A36,Rezepte,MATCH(Kalkulation!AK$5,Rezepte!$5:$5,0),0),"")</f>
        <v/>
      </c>
      <c r="AL36" s="23" t="str">
        <f>IF(AND(ISNUMBER(VLOOKUP($A36,Rezepte,MATCH(Kalkulation!AL$5,Rezepte!$5:$5,0),0)),ISNUMBER(VLOOKUP(AL$5,Materialpreise,3,0))),VLOOKUP(AL$5,Materialpreise,3,0)*VLOOKUP($A36,Rezepte,MATCH(Kalkulation!AL$5,Rezepte!$5:$5,0),0),"")</f>
        <v/>
      </c>
      <c r="AM36" s="23" t="str">
        <f>IF(AND(ISNUMBER(VLOOKUP($A36,Rezepte,MATCH(Kalkulation!AM$5,Rezepte!$5:$5,0),0)),ISNUMBER(VLOOKUP(AM$5,Materialpreise,3,0))),VLOOKUP(AM$5,Materialpreise,3,0)*VLOOKUP($A36,Rezepte,MATCH(Kalkulation!AM$5,Rezepte!$5:$5,0),0),"")</f>
        <v/>
      </c>
      <c r="AN36" s="23" t="str">
        <f>IF(AND(ISNUMBER(VLOOKUP($A36,Rezepte,MATCH(Kalkulation!AN$5,Rezepte!$5:$5,0),0)),ISNUMBER(VLOOKUP(AN$5,Materialpreise,3,0))),VLOOKUP(AN$5,Materialpreise,3,0)*VLOOKUP($A36,Rezepte,MATCH(Kalkulation!AN$5,Rezepte!$5:$5,0),0),"")</f>
        <v/>
      </c>
      <c r="AO36" s="23" t="str">
        <f>IF(AND(ISNUMBER(VLOOKUP($A36,Rezepte,MATCH(Kalkulation!AO$5,Rezepte!$5:$5,0),0)),ISNUMBER(VLOOKUP(AO$5,Materialpreise,3,0))),VLOOKUP(AO$5,Materialpreise,3,0)*VLOOKUP($A36,Rezepte,MATCH(Kalkulation!AO$5,Rezepte!$5:$5,0),0),"")</f>
        <v/>
      </c>
      <c r="AP36" s="23" t="str">
        <f>IF(AND(ISNUMBER(VLOOKUP($A36,Rezepte,MATCH(Kalkulation!AP$5,Rezepte!$5:$5,0),0)),ISNUMBER(VLOOKUP(AP$5,Materialpreise,3,0))),VLOOKUP(AP$5,Materialpreise,3,0)*VLOOKUP($A36,Rezepte,MATCH(Kalkulation!AP$5,Rezepte!$5:$5,0),0),"")</f>
        <v/>
      </c>
      <c r="AQ36" s="23" t="str">
        <f>IF(AND(ISNUMBER(VLOOKUP($A36,Rezepte,MATCH(Kalkulation!AQ$5,Rezepte!$5:$5,0),0)),ISNUMBER(VLOOKUP(AQ$5,Materialpreise,3,0))),VLOOKUP(AQ$5,Materialpreise,3,0)*VLOOKUP($A36,Rezepte,MATCH(Kalkulation!AQ$5,Rezepte!$5:$5,0),0),"")</f>
        <v/>
      </c>
      <c r="AR36" s="23" t="str">
        <f>IF(AND(ISNUMBER(VLOOKUP($A36,Rezepte,MATCH(Kalkulation!AR$5,Rezepte!$5:$5,0),0)),ISNUMBER(VLOOKUP(AR$5,Materialpreise,3,0))),VLOOKUP(AR$5,Materialpreise,3,0)*VLOOKUP($A36,Rezepte,MATCH(Kalkulation!AR$5,Rezepte!$5:$5,0),0),"")</f>
        <v/>
      </c>
      <c r="AS36" s="23" t="str">
        <f>IF(AND(ISNUMBER(VLOOKUP($A36,Rezepte,MATCH(Kalkulation!AS$5,Rezepte!$5:$5,0),0)),ISNUMBER(VLOOKUP(AS$5,Materialpreise,3,0))),VLOOKUP(AS$5,Materialpreise,3,0)*VLOOKUP($A36,Rezepte,MATCH(Kalkulation!AS$5,Rezepte!$5:$5,0),0),"")</f>
        <v/>
      </c>
      <c r="AT36" s="23" t="str">
        <f>IF(AND(ISNUMBER(VLOOKUP($A36,Rezepte,MATCH(Kalkulation!AT$5,Rezepte!$5:$5,0),0)),ISNUMBER(VLOOKUP(AT$5,Materialpreise,3,0))),VLOOKUP(AT$5,Materialpreise,3,0)*VLOOKUP($A36,Rezepte,MATCH(Kalkulation!AT$5,Rezepte!$5:$5,0),0),"")</f>
        <v/>
      </c>
      <c r="AU36" s="23" t="str">
        <f>IF(AND(ISNUMBER(VLOOKUP($A36,Rezepte,MATCH(Kalkulation!AU$5,Rezepte!$5:$5,0),0)),ISNUMBER(VLOOKUP(AU$5,Materialpreise,3,0))),VLOOKUP(AU$5,Materialpreise,3,0)*VLOOKUP($A36,Rezepte,MATCH(Kalkulation!AU$5,Rezepte!$5:$5,0),0),"")</f>
        <v/>
      </c>
      <c r="AV36" s="23" t="str">
        <f>IF(AND(ISNUMBER(VLOOKUP($A36,Rezepte,MATCH(Kalkulation!AV$5,Rezepte!$5:$5,0),0)),ISNUMBER(VLOOKUP(AV$5,Materialpreise,3,0))),VLOOKUP(AV$5,Materialpreise,3,0)*VLOOKUP($A36,Rezepte,MATCH(Kalkulation!AV$5,Rezepte!$5:$5,0),0),"")</f>
        <v/>
      </c>
      <c r="AW36" s="23" t="str">
        <f>IF(AND(ISNUMBER(VLOOKUP($A36,Rezepte,MATCH(Kalkulation!AW$5,Rezepte!$5:$5,0),0)),ISNUMBER(VLOOKUP(AW$5,Materialpreise,3,0))),VLOOKUP(AW$5,Materialpreise,3,0)*VLOOKUP($A36,Rezepte,MATCH(Kalkulation!AW$5,Rezepte!$5:$5,0),0),"")</f>
        <v/>
      </c>
      <c r="AX36" s="23" t="str">
        <f>IF(AND(ISNUMBER(VLOOKUP($A36,Rezepte,MATCH(Kalkulation!AX$5,Rezepte!$5:$5,0),0)),ISNUMBER(VLOOKUP(AX$5,Materialpreise,3,0))),VLOOKUP(AX$5,Materialpreise,3,0)*VLOOKUP($A36,Rezepte,MATCH(Kalkulation!AX$5,Rezepte!$5:$5,0),0),"")</f>
        <v/>
      </c>
      <c r="AY36" s="23" t="str">
        <f>IF(AND(ISNUMBER(VLOOKUP($A36,Rezepte,MATCH(Kalkulation!AY$5,Rezepte!$5:$5,0),0)),ISNUMBER(VLOOKUP(AY$5,Materialpreise,3,0))),VLOOKUP(AY$5,Materialpreise,3,0)*VLOOKUP($A36,Rezepte,MATCH(Kalkulation!AY$5,Rezepte!$5:$5,0),0),"")</f>
        <v/>
      </c>
      <c r="AZ36" s="23" t="str">
        <f>IF(AND(ISNUMBER(VLOOKUP($A36,Rezepte,MATCH(Kalkulation!AZ$5,Rezepte!$5:$5,0),0)),ISNUMBER(VLOOKUP(AZ$5,Materialpreise,3,0))),VLOOKUP(AZ$5,Materialpreise,3,0)*VLOOKUP($A36,Rezepte,MATCH(Kalkulation!AZ$5,Rezepte!$5:$5,0),0),"")</f>
        <v/>
      </c>
      <c r="BA36" s="23" t="str">
        <f>IF(AND(ISNUMBER(VLOOKUP($A36,Rezepte,MATCH(Kalkulation!BA$5,Rezepte!$5:$5,0),0)),ISNUMBER(VLOOKUP(BA$5,Materialpreise,3,0))),VLOOKUP(BA$5,Materialpreise,3,0)*VLOOKUP($A36,Rezepte,MATCH(Kalkulation!BA$5,Rezepte!$5:$5,0),0),"")</f>
        <v/>
      </c>
    </row>
    <row r="37" spans="1:53" x14ac:dyDescent="0.25">
      <c r="A37" t="str">
        <f t="array" ref="A37">IFERROR(INDEX(Rezepte!$A$6:$A$100,MATCH(1,(COUNTIF(A$6:A36,Rezepte!A$6:A$100)=0)*(Rezepte!A$6:A$100&lt;&gt;""),0)),"")</f>
        <v/>
      </c>
      <c r="B37" s="23" t="str">
        <f t="shared" si="2"/>
        <v/>
      </c>
      <c r="C37" s="23" t="str">
        <f t="shared" si="1"/>
        <v/>
      </c>
      <c r="D37" s="23" t="str">
        <f>IF(AND(ISNUMBER(VLOOKUP($A37,Rezepte,MATCH(Kalkulation!D$5,Rezepte!$5:$5,0),0)),ISNUMBER(VLOOKUP(D$5,Materialpreise,3,0))),VLOOKUP(D$5,Materialpreise,3,0)*VLOOKUP($A37,Rezepte,MATCH(Kalkulation!D$5,Rezepte!$5:$5,0),0),"")</f>
        <v/>
      </c>
      <c r="E37" s="23" t="str">
        <f>IF(AND(ISNUMBER(VLOOKUP($A37,Rezepte,MATCH(Kalkulation!E$5,Rezepte!$5:$5,0),0)),ISNUMBER(VLOOKUP(E$5,Materialpreise,3,0))),VLOOKUP(E$5,Materialpreise,3,0)*VLOOKUP($A37,Rezepte,MATCH(Kalkulation!E$5,Rezepte!$5:$5,0),0),"")</f>
        <v/>
      </c>
      <c r="F37" s="23" t="str">
        <f>IF(AND(ISNUMBER(VLOOKUP($A37,Rezepte,MATCH(Kalkulation!F$5,Rezepte!$5:$5,0),0)),ISNUMBER(VLOOKUP(F$5,Materialpreise,3,0))),VLOOKUP(F$5,Materialpreise,3,0)*VLOOKUP($A37,Rezepte,MATCH(Kalkulation!F$5,Rezepte!$5:$5,0),0),"")</f>
        <v/>
      </c>
      <c r="G37" s="23" t="str">
        <f>IF(AND(ISNUMBER(VLOOKUP($A37,Rezepte,MATCH(Kalkulation!G$5,Rezepte!$5:$5,0),0)),ISNUMBER(VLOOKUP(G$5,Materialpreise,3,0))),VLOOKUP(G$5,Materialpreise,3,0)*VLOOKUP($A37,Rezepte,MATCH(Kalkulation!G$5,Rezepte!$5:$5,0),0),"")</f>
        <v/>
      </c>
      <c r="H37" s="23" t="str">
        <f>IF(AND(ISNUMBER(VLOOKUP($A37,Rezepte,MATCH(Kalkulation!H$5,Rezepte!$5:$5,0),0)),ISNUMBER(VLOOKUP(H$5,Materialpreise,3,0))),VLOOKUP(H$5,Materialpreise,3,0)*VLOOKUP($A37,Rezepte,MATCH(Kalkulation!H$5,Rezepte!$5:$5,0),0),"")</f>
        <v/>
      </c>
      <c r="I37" s="23" t="str">
        <f>IF(AND(ISNUMBER(VLOOKUP($A37,Rezepte,MATCH(Kalkulation!I$5,Rezepte!$5:$5,0),0)),ISNUMBER(VLOOKUP(I$5,Materialpreise,3,0))),VLOOKUP(I$5,Materialpreise,3,0)*VLOOKUP($A37,Rezepte,MATCH(Kalkulation!I$5,Rezepte!$5:$5,0),0),"")</f>
        <v/>
      </c>
      <c r="J37" s="23" t="str">
        <f>IF(AND(ISNUMBER(VLOOKUP($A37,Rezepte,MATCH(Kalkulation!J$5,Rezepte!$5:$5,0),0)),ISNUMBER(VLOOKUP(J$5,Materialpreise,3,0))),VLOOKUP(J$5,Materialpreise,3,0)*VLOOKUP($A37,Rezepte,MATCH(Kalkulation!J$5,Rezepte!$5:$5,0),0),"")</f>
        <v/>
      </c>
      <c r="K37" s="23" t="str">
        <f>IF(AND(ISNUMBER(VLOOKUP($A37,Rezepte,MATCH(Kalkulation!K$5,Rezepte!$5:$5,0),0)),ISNUMBER(VLOOKUP(K$5,Materialpreise,3,0))),VLOOKUP(K$5,Materialpreise,3,0)*VLOOKUP($A37,Rezepte,MATCH(Kalkulation!K$5,Rezepte!$5:$5,0),0),"")</f>
        <v/>
      </c>
      <c r="L37" s="23" t="str">
        <f>IF(AND(ISNUMBER(VLOOKUP($A37,Rezepte,MATCH(Kalkulation!L$5,Rezepte!$5:$5,0),0)),ISNUMBER(VLOOKUP(L$5,Materialpreise,3,0))),VLOOKUP(L$5,Materialpreise,3,0)*VLOOKUP($A37,Rezepte,MATCH(Kalkulation!L$5,Rezepte!$5:$5,0),0),"")</f>
        <v/>
      </c>
      <c r="M37" s="23" t="str">
        <f>IF(AND(ISNUMBER(VLOOKUP($A37,Rezepte,MATCH(Kalkulation!M$5,Rezepte!$5:$5,0),0)),ISNUMBER(VLOOKUP(M$5,Materialpreise,3,0))),VLOOKUP(M$5,Materialpreise,3,0)*VLOOKUP($A37,Rezepte,MATCH(Kalkulation!M$5,Rezepte!$5:$5,0),0),"")</f>
        <v/>
      </c>
      <c r="N37" s="23" t="str">
        <f>IF(AND(ISNUMBER(VLOOKUP($A37,Rezepte,MATCH(Kalkulation!N$5,Rezepte!$5:$5,0),0)),ISNUMBER(VLOOKUP(N$5,Materialpreise,3,0))),VLOOKUP(N$5,Materialpreise,3,0)*VLOOKUP($A37,Rezepte,MATCH(Kalkulation!N$5,Rezepte!$5:$5,0),0),"")</f>
        <v/>
      </c>
      <c r="O37" s="23" t="str">
        <f>IF(AND(ISNUMBER(VLOOKUP($A37,Rezepte,MATCH(Kalkulation!O$5,Rezepte!$5:$5,0),0)),ISNUMBER(VLOOKUP(O$5,Materialpreise,3,0))),VLOOKUP(O$5,Materialpreise,3,0)*VLOOKUP($A37,Rezepte,MATCH(Kalkulation!O$5,Rezepte!$5:$5,0),0),"")</f>
        <v/>
      </c>
      <c r="P37" s="23" t="str">
        <f>IF(AND(ISNUMBER(VLOOKUP($A37,Rezepte,MATCH(Kalkulation!P$5,Rezepte!$5:$5,0),0)),ISNUMBER(VLOOKUP(P$5,Materialpreise,3,0))),VLOOKUP(P$5,Materialpreise,3,0)*VLOOKUP($A37,Rezepte,MATCH(Kalkulation!P$5,Rezepte!$5:$5,0),0),"")</f>
        <v/>
      </c>
      <c r="Q37" s="23" t="str">
        <f>IF(AND(ISNUMBER(VLOOKUP($A37,Rezepte,MATCH(Kalkulation!Q$5,Rezepte!$5:$5,0),0)),ISNUMBER(VLOOKUP(Q$5,Materialpreise,3,0))),VLOOKUP(Q$5,Materialpreise,3,0)*VLOOKUP($A37,Rezepte,MATCH(Kalkulation!Q$5,Rezepte!$5:$5,0),0),"")</f>
        <v/>
      </c>
      <c r="R37" s="23" t="str">
        <f>IF(AND(ISNUMBER(VLOOKUP($A37,Rezepte,MATCH(Kalkulation!R$5,Rezepte!$5:$5,0),0)),ISNUMBER(VLOOKUP(R$5,Materialpreise,3,0))),VLOOKUP(R$5,Materialpreise,3,0)*VLOOKUP($A37,Rezepte,MATCH(Kalkulation!R$5,Rezepte!$5:$5,0),0),"")</f>
        <v/>
      </c>
      <c r="S37" s="23" t="str">
        <f>IF(AND(ISNUMBER(VLOOKUP($A37,Rezepte,MATCH(Kalkulation!S$5,Rezepte!$5:$5,0),0)),ISNUMBER(VLOOKUP(S$5,Materialpreise,3,0))),VLOOKUP(S$5,Materialpreise,3,0)*VLOOKUP($A37,Rezepte,MATCH(Kalkulation!S$5,Rezepte!$5:$5,0),0),"")</f>
        <v/>
      </c>
      <c r="T37" s="23" t="str">
        <f>IF(AND(ISNUMBER(VLOOKUP($A37,Rezepte,MATCH(Kalkulation!T$5,Rezepte!$5:$5,0),0)),ISNUMBER(VLOOKUP(T$5,Materialpreise,3,0))),VLOOKUP(T$5,Materialpreise,3,0)*VLOOKUP($A37,Rezepte,MATCH(Kalkulation!T$5,Rezepte!$5:$5,0),0),"")</f>
        <v/>
      </c>
      <c r="U37" s="23" t="str">
        <f>IF(AND(ISNUMBER(VLOOKUP($A37,Rezepte,MATCH(Kalkulation!U$5,Rezepte!$5:$5,0),0)),ISNUMBER(VLOOKUP(U$5,Materialpreise,3,0))),VLOOKUP(U$5,Materialpreise,3,0)*VLOOKUP($A37,Rezepte,MATCH(Kalkulation!U$5,Rezepte!$5:$5,0),0),"")</f>
        <v/>
      </c>
      <c r="V37" s="23" t="str">
        <f>IF(AND(ISNUMBER(VLOOKUP($A37,Rezepte,MATCH(Kalkulation!V$5,Rezepte!$5:$5,0),0)),ISNUMBER(VLOOKUP(V$5,Materialpreise,3,0))),VLOOKUP(V$5,Materialpreise,3,0)*VLOOKUP($A37,Rezepte,MATCH(Kalkulation!V$5,Rezepte!$5:$5,0),0),"")</f>
        <v/>
      </c>
      <c r="W37" s="23" t="str">
        <f>IF(AND(ISNUMBER(VLOOKUP($A37,Rezepte,MATCH(Kalkulation!W$5,Rezepte!$5:$5,0),0)),ISNUMBER(VLOOKUP(W$5,Materialpreise,3,0))),VLOOKUP(W$5,Materialpreise,3,0)*VLOOKUP($A37,Rezepte,MATCH(Kalkulation!W$5,Rezepte!$5:$5,0),0),"")</f>
        <v/>
      </c>
      <c r="X37" s="23" t="str">
        <f>IF(AND(ISNUMBER(VLOOKUP($A37,Rezepte,MATCH(Kalkulation!X$5,Rezepte!$5:$5,0),0)),ISNUMBER(VLOOKUP(X$5,Materialpreise,3,0))),VLOOKUP(X$5,Materialpreise,3,0)*VLOOKUP($A37,Rezepte,MATCH(Kalkulation!X$5,Rezepte!$5:$5,0),0),"")</f>
        <v/>
      </c>
      <c r="Y37" s="23" t="str">
        <f>IF(AND(ISNUMBER(VLOOKUP($A37,Rezepte,MATCH(Kalkulation!Y$5,Rezepte!$5:$5,0),0)),ISNUMBER(VLOOKUP(Y$5,Materialpreise,3,0))),VLOOKUP(Y$5,Materialpreise,3,0)*VLOOKUP($A37,Rezepte,MATCH(Kalkulation!Y$5,Rezepte!$5:$5,0),0),"")</f>
        <v/>
      </c>
      <c r="Z37" s="23" t="str">
        <f>IF(AND(ISNUMBER(VLOOKUP($A37,Rezepte,MATCH(Kalkulation!Z$5,Rezepte!$5:$5,0),0)),ISNUMBER(VLOOKUP(Z$5,Materialpreise,3,0))),VLOOKUP(Z$5,Materialpreise,3,0)*VLOOKUP($A37,Rezepte,MATCH(Kalkulation!Z$5,Rezepte!$5:$5,0),0),"")</f>
        <v/>
      </c>
      <c r="AA37" s="23" t="str">
        <f>IF(AND(ISNUMBER(VLOOKUP($A37,Rezepte,MATCH(Kalkulation!AA$5,Rezepte!$5:$5,0),0)),ISNUMBER(VLOOKUP(AA$5,Materialpreise,3,0))),VLOOKUP(AA$5,Materialpreise,3,0)*VLOOKUP($A37,Rezepte,MATCH(Kalkulation!AA$5,Rezepte!$5:$5,0),0),"")</f>
        <v/>
      </c>
      <c r="AB37" s="23" t="str">
        <f>IF(AND(ISNUMBER(VLOOKUP($A37,Rezepte,MATCH(Kalkulation!AB$5,Rezepte!$5:$5,0),0)),ISNUMBER(VLOOKUP(AB$5,Materialpreise,3,0))),VLOOKUP(AB$5,Materialpreise,3,0)*VLOOKUP($A37,Rezepte,MATCH(Kalkulation!AB$5,Rezepte!$5:$5,0),0),"")</f>
        <v/>
      </c>
      <c r="AC37" s="23" t="str">
        <f>IF(AND(ISNUMBER(VLOOKUP($A37,Rezepte,MATCH(Kalkulation!AC$5,Rezepte!$5:$5,0),0)),ISNUMBER(VLOOKUP(AC$5,Materialpreise,3,0))),VLOOKUP(AC$5,Materialpreise,3,0)*VLOOKUP($A37,Rezepte,MATCH(Kalkulation!AC$5,Rezepte!$5:$5,0),0),"")</f>
        <v/>
      </c>
      <c r="AD37" s="23" t="str">
        <f>IF(AND(ISNUMBER(VLOOKUP($A37,Rezepte,MATCH(Kalkulation!AD$5,Rezepte!$5:$5,0),0)),ISNUMBER(VLOOKUP(AD$5,Materialpreise,3,0))),VLOOKUP(AD$5,Materialpreise,3,0)*VLOOKUP($A37,Rezepte,MATCH(Kalkulation!AD$5,Rezepte!$5:$5,0),0),"")</f>
        <v/>
      </c>
      <c r="AE37" s="23" t="str">
        <f>IF(AND(ISNUMBER(VLOOKUP($A37,Rezepte,MATCH(Kalkulation!AE$5,Rezepte!$5:$5,0),0)),ISNUMBER(VLOOKUP(AE$5,Materialpreise,3,0))),VLOOKUP(AE$5,Materialpreise,3,0)*VLOOKUP($A37,Rezepte,MATCH(Kalkulation!AE$5,Rezepte!$5:$5,0),0),"")</f>
        <v/>
      </c>
      <c r="AF37" s="23" t="str">
        <f>IF(AND(ISNUMBER(VLOOKUP($A37,Rezepte,MATCH(Kalkulation!AF$5,Rezepte!$5:$5,0),0)),ISNUMBER(VLOOKUP(AF$5,Materialpreise,3,0))),VLOOKUP(AF$5,Materialpreise,3,0)*VLOOKUP($A37,Rezepte,MATCH(Kalkulation!AF$5,Rezepte!$5:$5,0),0),"")</f>
        <v/>
      </c>
      <c r="AG37" s="23" t="str">
        <f>IF(AND(ISNUMBER(VLOOKUP($A37,Rezepte,MATCH(Kalkulation!AG$5,Rezepte!$5:$5,0),0)),ISNUMBER(VLOOKUP(AG$5,Materialpreise,3,0))),VLOOKUP(AG$5,Materialpreise,3,0)*VLOOKUP($A37,Rezepte,MATCH(Kalkulation!AG$5,Rezepte!$5:$5,0),0),"")</f>
        <v/>
      </c>
      <c r="AH37" s="23" t="str">
        <f>IF(AND(ISNUMBER(VLOOKUP($A37,Rezepte,MATCH(Kalkulation!AH$5,Rezepte!$5:$5,0),0)),ISNUMBER(VLOOKUP(AH$5,Materialpreise,3,0))),VLOOKUP(AH$5,Materialpreise,3,0)*VLOOKUP($A37,Rezepte,MATCH(Kalkulation!AH$5,Rezepte!$5:$5,0),0),"")</f>
        <v/>
      </c>
      <c r="AI37" s="23" t="str">
        <f>IF(AND(ISNUMBER(VLOOKUP($A37,Rezepte,MATCH(Kalkulation!AI$5,Rezepte!$5:$5,0),0)),ISNUMBER(VLOOKUP(AI$5,Materialpreise,3,0))),VLOOKUP(AI$5,Materialpreise,3,0)*VLOOKUP($A37,Rezepte,MATCH(Kalkulation!AI$5,Rezepte!$5:$5,0),0),"")</f>
        <v/>
      </c>
      <c r="AJ37" s="23" t="str">
        <f>IF(AND(ISNUMBER(VLOOKUP($A37,Rezepte,MATCH(Kalkulation!AJ$5,Rezepte!$5:$5,0),0)),ISNUMBER(VLOOKUP(AJ$5,Materialpreise,3,0))),VLOOKUP(AJ$5,Materialpreise,3,0)*VLOOKUP($A37,Rezepte,MATCH(Kalkulation!AJ$5,Rezepte!$5:$5,0),0),"")</f>
        <v/>
      </c>
      <c r="AK37" s="23" t="str">
        <f>IF(AND(ISNUMBER(VLOOKUP($A37,Rezepte,MATCH(Kalkulation!AK$5,Rezepte!$5:$5,0),0)),ISNUMBER(VLOOKUP(AK$5,Materialpreise,3,0))),VLOOKUP(AK$5,Materialpreise,3,0)*VLOOKUP($A37,Rezepte,MATCH(Kalkulation!AK$5,Rezepte!$5:$5,0),0),"")</f>
        <v/>
      </c>
      <c r="AL37" s="23" t="str">
        <f>IF(AND(ISNUMBER(VLOOKUP($A37,Rezepte,MATCH(Kalkulation!AL$5,Rezepte!$5:$5,0),0)),ISNUMBER(VLOOKUP(AL$5,Materialpreise,3,0))),VLOOKUP(AL$5,Materialpreise,3,0)*VLOOKUP($A37,Rezepte,MATCH(Kalkulation!AL$5,Rezepte!$5:$5,0),0),"")</f>
        <v/>
      </c>
      <c r="AM37" s="23" t="str">
        <f>IF(AND(ISNUMBER(VLOOKUP($A37,Rezepte,MATCH(Kalkulation!AM$5,Rezepte!$5:$5,0),0)),ISNUMBER(VLOOKUP(AM$5,Materialpreise,3,0))),VLOOKUP(AM$5,Materialpreise,3,0)*VLOOKUP($A37,Rezepte,MATCH(Kalkulation!AM$5,Rezepte!$5:$5,0),0),"")</f>
        <v/>
      </c>
      <c r="AN37" s="23" t="str">
        <f>IF(AND(ISNUMBER(VLOOKUP($A37,Rezepte,MATCH(Kalkulation!AN$5,Rezepte!$5:$5,0),0)),ISNUMBER(VLOOKUP(AN$5,Materialpreise,3,0))),VLOOKUP(AN$5,Materialpreise,3,0)*VLOOKUP($A37,Rezepte,MATCH(Kalkulation!AN$5,Rezepte!$5:$5,0),0),"")</f>
        <v/>
      </c>
      <c r="AO37" s="23" t="str">
        <f>IF(AND(ISNUMBER(VLOOKUP($A37,Rezepte,MATCH(Kalkulation!AO$5,Rezepte!$5:$5,0),0)),ISNUMBER(VLOOKUP(AO$5,Materialpreise,3,0))),VLOOKUP(AO$5,Materialpreise,3,0)*VLOOKUP($A37,Rezepte,MATCH(Kalkulation!AO$5,Rezepte!$5:$5,0),0),"")</f>
        <v/>
      </c>
      <c r="AP37" s="23" t="str">
        <f>IF(AND(ISNUMBER(VLOOKUP($A37,Rezepte,MATCH(Kalkulation!AP$5,Rezepte!$5:$5,0),0)),ISNUMBER(VLOOKUP(AP$5,Materialpreise,3,0))),VLOOKUP(AP$5,Materialpreise,3,0)*VLOOKUP($A37,Rezepte,MATCH(Kalkulation!AP$5,Rezepte!$5:$5,0),0),"")</f>
        <v/>
      </c>
      <c r="AQ37" s="23" t="str">
        <f>IF(AND(ISNUMBER(VLOOKUP($A37,Rezepte,MATCH(Kalkulation!AQ$5,Rezepte!$5:$5,0),0)),ISNUMBER(VLOOKUP(AQ$5,Materialpreise,3,0))),VLOOKUP(AQ$5,Materialpreise,3,0)*VLOOKUP($A37,Rezepte,MATCH(Kalkulation!AQ$5,Rezepte!$5:$5,0),0),"")</f>
        <v/>
      </c>
      <c r="AR37" s="23" t="str">
        <f>IF(AND(ISNUMBER(VLOOKUP($A37,Rezepte,MATCH(Kalkulation!AR$5,Rezepte!$5:$5,0),0)),ISNUMBER(VLOOKUP(AR$5,Materialpreise,3,0))),VLOOKUP(AR$5,Materialpreise,3,0)*VLOOKUP($A37,Rezepte,MATCH(Kalkulation!AR$5,Rezepte!$5:$5,0),0),"")</f>
        <v/>
      </c>
      <c r="AS37" s="23" t="str">
        <f>IF(AND(ISNUMBER(VLOOKUP($A37,Rezepte,MATCH(Kalkulation!AS$5,Rezepte!$5:$5,0),0)),ISNUMBER(VLOOKUP(AS$5,Materialpreise,3,0))),VLOOKUP(AS$5,Materialpreise,3,0)*VLOOKUP($A37,Rezepte,MATCH(Kalkulation!AS$5,Rezepte!$5:$5,0),0),"")</f>
        <v/>
      </c>
      <c r="AT37" s="23" t="str">
        <f>IF(AND(ISNUMBER(VLOOKUP($A37,Rezepte,MATCH(Kalkulation!AT$5,Rezepte!$5:$5,0),0)),ISNUMBER(VLOOKUP(AT$5,Materialpreise,3,0))),VLOOKUP(AT$5,Materialpreise,3,0)*VLOOKUP($A37,Rezepte,MATCH(Kalkulation!AT$5,Rezepte!$5:$5,0),0),"")</f>
        <v/>
      </c>
      <c r="AU37" s="23" t="str">
        <f>IF(AND(ISNUMBER(VLOOKUP($A37,Rezepte,MATCH(Kalkulation!AU$5,Rezepte!$5:$5,0),0)),ISNUMBER(VLOOKUP(AU$5,Materialpreise,3,0))),VLOOKUP(AU$5,Materialpreise,3,0)*VLOOKUP($A37,Rezepte,MATCH(Kalkulation!AU$5,Rezepte!$5:$5,0),0),"")</f>
        <v/>
      </c>
      <c r="AV37" s="23" t="str">
        <f>IF(AND(ISNUMBER(VLOOKUP($A37,Rezepte,MATCH(Kalkulation!AV$5,Rezepte!$5:$5,0),0)),ISNUMBER(VLOOKUP(AV$5,Materialpreise,3,0))),VLOOKUP(AV$5,Materialpreise,3,0)*VLOOKUP($A37,Rezepte,MATCH(Kalkulation!AV$5,Rezepte!$5:$5,0),0),"")</f>
        <v/>
      </c>
      <c r="AW37" s="23" t="str">
        <f>IF(AND(ISNUMBER(VLOOKUP($A37,Rezepte,MATCH(Kalkulation!AW$5,Rezepte!$5:$5,0),0)),ISNUMBER(VLOOKUP(AW$5,Materialpreise,3,0))),VLOOKUP(AW$5,Materialpreise,3,0)*VLOOKUP($A37,Rezepte,MATCH(Kalkulation!AW$5,Rezepte!$5:$5,0),0),"")</f>
        <v/>
      </c>
      <c r="AX37" s="23" t="str">
        <f>IF(AND(ISNUMBER(VLOOKUP($A37,Rezepte,MATCH(Kalkulation!AX$5,Rezepte!$5:$5,0),0)),ISNUMBER(VLOOKUP(AX$5,Materialpreise,3,0))),VLOOKUP(AX$5,Materialpreise,3,0)*VLOOKUP($A37,Rezepte,MATCH(Kalkulation!AX$5,Rezepte!$5:$5,0),0),"")</f>
        <v/>
      </c>
      <c r="AY37" s="23" t="str">
        <f>IF(AND(ISNUMBER(VLOOKUP($A37,Rezepte,MATCH(Kalkulation!AY$5,Rezepte!$5:$5,0),0)),ISNUMBER(VLOOKUP(AY$5,Materialpreise,3,0))),VLOOKUP(AY$5,Materialpreise,3,0)*VLOOKUP($A37,Rezepte,MATCH(Kalkulation!AY$5,Rezepte!$5:$5,0),0),"")</f>
        <v/>
      </c>
      <c r="AZ37" s="23" t="str">
        <f>IF(AND(ISNUMBER(VLOOKUP($A37,Rezepte,MATCH(Kalkulation!AZ$5,Rezepte!$5:$5,0),0)),ISNUMBER(VLOOKUP(AZ$5,Materialpreise,3,0))),VLOOKUP(AZ$5,Materialpreise,3,0)*VLOOKUP($A37,Rezepte,MATCH(Kalkulation!AZ$5,Rezepte!$5:$5,0),0),"")</f>
        <v/>
      </c>
      <c r="BA37" s="23" t="str">
        <f>IF(AND(ISNUMBER(VLOOKUP($A37,Rezepte,MATCH(Kalkulation!BA$5,Rezepte!$5:$5,0),0)),ISNUMBER(VLOOKUP(BA$5,Materialpreise,3,0))),VLOOKUP(BA$5,Materialpreise,3,0)*VLOOKUP($A37,Rezepte,MATCH(Kalkulation!BA$5,Rezepte!$5:$5,0),0),"")</f>
        <v/>
      </c>
    </row>
    <row r="38" spans="1:53" x14ac:dyDescent="0.25">
      <c r="A38" t="str">
        <f t="array" ref="A38">IFERROR(INDEX(Rezepte!$A$6:$A$100,MATCH(1,(COUNTIF(A$6:A37,Rezepte!A$6:A$100)=0)*(Rezepte!A$6:A$100&lt;&gt;""),0)),"")</f>
        <v/>
      </c>
      <c r="B38" s="23" t="str">
        <f t="shared" si="2"/>
        <v/>
      </c>
      <c r="C38" s="23" t="str">
        <f t="shared" si="1"/>
        <v/>
      </c>
      <c r="D38" s="23" t="str">
        <f>IF(AND(ISNUMBER(VLOOKUP($A38,Rezepte,MATCH(Kalkulation!D$5,Rezepte!$5:$5,0),0)),ISNUMBER(VLOOKUP(D$5,Materialpreise,3,0))),VLOOKUP(D$5,Materialpreise,3,0)*VLOOKUP($A38,Rezepte,MATCH(Kalkulation!D$5,Rezepte!$5:$5,0),0),"")</f>
        <v/>
      </c>
      <c r="E38" s="23" t="str">
        <f>IF(AND(ISNUMBER(VLOOKUP($A38,Rezepte,MATCH(Kalkulation!E$5,Rezepte!$5:$5,0),0)),ISNUMBER(VLOOKUP(E$5,Materialpreise,3,0))),VLOOKUP(E$5,Materialpreise,3,0)*VLOOKUP($A38,Rezepte,MATCH(Kalkulation!E$5,Rezepte!$5:$5,0),0),"")</f>
        <v/>
      </c>
      <c r="F38" s="23" t="str">
        <f>IF(AND(ISNUMBER(VLOOKUP($A38,Rezepte,MATCH(Kalkulation!F$5,Rezepte!$5:$5,0),0)),ISNUMBER(VLOOKUP(F$5,Materialpreise,3,0))),VLOOKUP(F$5,Materialpreise,3,0)*VLOOKUP($A38,Rezepte,MATCH(Kalkulation!F$5,Rezepte!$5:$5,0),0),"")</f>
        <v/>
      </c>
      <c r="G38" s="23" t="str">
        <f>IF(AND(ISNUMBER(VLOOKUP($A38,Rezepte,MATCH(Kalkulation!G$5,Rezepte!$5:$5,0),0)),ISNUMBER(VLOOKUP(G$5,Materialpreise,3,0))),VLOOKUP(G$5,Materialpreise,3,0)*VLOOKUP($A38,Rezepte,MATCH(Kalkulation!G$5,Rezepte!$5:$5,0),0),"")</f>
        <v/>
      </c>
      <c r="H38" s="23" t="str">
        <f>IF(AND(ISNUMBER(VLOOKUP($A38,Rezepte,MATCH(Kalkulation!H$5,Rezepte!$5:$5,0),0)),ISNUMBER(VLOOKUP(H$5,Materialpreise,3,0))),VLOOKUP(H$5,Materialpreise,3,0)*VLOOKUP($A38,Rezepte,MATCH(Kalkulation!H$5,Rezepte!$5:$5,0),0),"")</f>
        <v/>
      </c>
      <c r="I38" s="23" t="str">
        <f>IF(AND(ISNUMBER(VLOOKUP($A38,Rezepte,MATCH(Kalkulation!I$5,Rezepte!$5:$5,0),0)),ISNUMBER(VLOOKUP(I$5,Materialpreise,3,0))),VLOOKUP(I$5,Materialpreise,3,0)*VLOOKUP($A38,Rezepte,MATCH(Kalkulation!I$5,Rezepte!$5:$5,0),0),"")</f>
        <v/>
      </c>
      <c r="J38" s="23" t="str">
        <f>IF(AND(ISNUMBER(VLOOKUP($A38,Rezepte,MATCH(Kalkulation!J$5,Rezepte!$5:$5,0),0)),ISNUMBER(VLOOKUP(J$5,Materialpreise,3,0))),VLOOKUP(J$5,Materialpreise,3,0)*VLOOKUP($A38,Rezepte,MATCH(Kalkulation!J$5,Rezepte!$5:$5,0),0),"")</f>
        <v/>
      </c>
      <c r="K38" s="23" t="str">
        <f>IF(AND(ISNUMBER(VLOOKUP($A38,Rezepte,MATCH(Kalkulation!K$5,Rezepte!$5:$5,0),0)),ISNUMBER(VLOOKUP(K$5,Materialpreise,3,0))),VLOOKUP(K$5,Materialpreise,3,0)*VLOOKUP($A38,Rezepte,MATCH(Kalkulation!K$5,Rezepte!$5:$5,0),0),"")</f>
        <v/>
      </c>
      <c r="L38" s="23" t="str">
        <f>IF(AND(ISNUMBER(VLOOKUP($A38,Rezepte,MATCH(Kalkulation!L$5,Rezepte!$5:$5,0),0)),ISNUMBER(VLOOKUP(L$5,Materialpreise,3,0))),VLOOKUP(L$5,Materialpreise,3,0)*VLOOKUP($A38,Rezepte,MATCH(Kalkulation!L$5,Rezepte!$5:$5,0),0),"")</f>
        <v/>
      </c>
      <c r="M38" s="23" t="str">
        <f>IF(AND(ISNUMBER(VLOOKUP($A38,Rezepte,MATCH(Kalkulation!M$5,Rezepte!$5:$5,0),0)),ISNUMBER(VLOOKUP(M$5,Materialpreise,3,0))),VLOOKUP(M$5,Materialpreise,3,0)*VLOOKUP($A38,Rezepte,MATCH(Kalkulation!M$5,Rezepte!$5:$5,0),0),"")</f>
        <v/>
      </c>
      <c r="N38" s="23" t="str">
        <f>IF(AND(ISNUMBER(VLOOKUP($A38,Rezepte,MATCH(Kalkulation!N$5,Rezepte!$5:$5,0),0)),ISNUMBER(VLOOKUP(N$5,Materialpreise,3,0))),VLOOKUP(N$5,Materialpreise,3,0)*VLOOKUP($A38,Rezepte,MATCH(Kalkulation!N$5,Rezepte!$5:$5,0),0),"")</f>
        <v/>
      </c>
      <c r="O38" s="23" t="str">
        <f>IF(AND(ISNUMBER(VLOOKUP($A38,Rezepte,MATCH(Kalkulation!O$5,Rezepte!$5:$5,0),0)),ISNUMBER(VLOOKUP(O$5,Materialpreise,3,0))),VLOOKUP(O$5,Materialpreise,3,0)*VLOOKUP($A38,Rezepte,MATCH(Kalkulation!O$5,Rezepte!$5:$5,0),0),"")</f>
        <v/>
      </c>
      <c r="P38" s="23" t="str">
        <f>IF(AND(ISNUMBER(VLOOKUP($A38,Rezepte,MATCH(Kalkulation!P$5,Rezepte!$5:$5,0),0)),ISNUMBER(VLOOKUP(P$5,Materialpreise,3,0))),VLOOKUP(P$5,Materialpreise,3,0)*VLOOKUP($A38,Rezepte,MATCH(Kalkulation!P$5,Rezepte!$5:$5,0),0),"")</f>
        <v/>
      </c>
      <c r="Q38" s="23" t="str">
        <f>IF(AND(ISNUMBER(VLOOKUP($A38,Rezepte,MATCH(Kalkulation!Q$5,Rezepte!$5:$5,0),0)),ISNUMBER(VLOOKUP(Q$5,Materialpreise,3,0))),VLOOKUP(Q$5,Materialpreise,3,0)*VLOOKUP($A38,Rezepte,MATCH(Kalkulation!Q$5,Rezepte!$5:$5,0),0),"")</f>
        <v/>
      </c>
      <c r="R38" s="23" t="str">
        <f>IF(AND(ISNUMBER(VLOOKUP($A38,Rezepte,MATCH(Kalkulation!R$5,Rezepte!$5:$5,0),0)),ISNUMBER(VLOOKUP(R$5,Materialpreise,3,0))),VLOOKUP(R$5,Materialpreise,3,0)*VLOOKUP($A38,Rezepte,MATCH(Kalkulation!R$5,Rezepte!$5:$5,0),0),"")</f>
        <v/>
      </c>
      <c r="S38" s="23" t="str">
        <f>IF(AND(ISNUMBER(VLOOKUP($A38,Rezepte,MATCH(Kalkulation!S$5,Rezepte!$5:$5,0),0)),ISNUMBER(VLOOKUP(S$5,Materialpreise,3,0))),VLOOKUP(S$5,Materialpreise,3,0)*VLOOKUP($A38,Rezepte,MATCH(Kalkulation!S$5,Rezepte!$5:$5,0),0),"")</f>
        <v/>
      </c>
      <c r="T38" s="23" t="str">
        <f>IF(AND(ISNUMBER(VLOOKUP($A38,Rezepte,MATCH(Kalkulation!T$5,Rezepte!$5:$5,0),0)),ISNUMBER(VLOOKUP(T$5,Materialpreise,3,0))),VLOOKUP(T$5,Materialpreise,3,0)*VLOOKUP($A38,Rezepte,MATCH(Kalkulation!T$5,Rezepte!$5:$5,0),0),"")</f>
        <v/>
      </c>
      <c r="U38" s="23" t="str">
        <f>IF(AND(ISNUMBER(VLOOKUP($A38,Rezepte,MATCH(Kalkulation!U$5,Rezepte!$5:$5,0),0)),ISNUMBER(VLOOKUP(U$5,Materialpreise,3,0))),VLOOKUP(U$5,Materialpreise,3,0)*VLOOKUP($A38,Rezepte,MATCH(Kalkulation!U$5,Rezepte!$5:$5,0),0),"")</f>
        <v/>
      </c>
      <c r="V38" s="23" t="str">
        <f>IF(AND(ISNUMBER(VLOOKUP($A38,Rezepte,MATCH(Kalkulation!V$5,Rezepte!$5:$5,0),0)),ISNUMBER(VLOOKUP(V$5,Materialpreise,3,0))),VLOOKUP(V$5,Materialpreise,3,0)*VLOOKUP($A38,Rezepte,MATCH(Kalkulation!V$5,Rezepte!$5:$5,0),0),"")</f>
        <v/>
      </c>
      <c r="W38" s="23" t="str">
        <f>IF(AND(ISNUMBER(VLOOKUP($A38,Rezepte,MATCH(Kalkulation!W$5,Rezepte!$5:$5,0),0)),ISNUMBER(VLOOKUP(W$5,Materialpreise,3,0))),VLOOKUP(W$5,Materialpreise,3,0)*VLOOKUP($A38,Rezepte,MATCH(Kalkulation!W$5,Rezepte!$5:$5,0),0),"")</f>
        <v/>
      </c>
      <c r="X38" s="23" t="str">
        <f>IF(AND(ISNUMBER(VLOOKUP($A38,Rezepte,MATCH(Kalkulation!X$5,Rezepte!$5:$5,0),0)),ISNUMBER(VLOOKUP(X$5,Materialpreise,3,0))),VLOOKUP(X$5,Materialpreise,3,0)*VLOOKUP($A38,Rezepte,MATCH(Kalkulation!X$5,Rezepte!$5:$5,0),0),"")</f>
        <v/>
      </c>
      <c r="Y38" s="23" t="str">
        <f>IF(AND(ISNUMBER(VLOOKUP($A38,Rezepte,MATCH(Kalkulation!Y$5,Rezepte!$5:$5,0),0)),ISNUMBER(VLOOKUP(Y$5,Materialpreise,3,0))),VLOOKUP(Y$5,Materialpreise,3,0)*VLOOKUP($A38,Rezepte,MATCH(Kalkulation!Y$5,Rezepte!$5:$5,0),0),"")</f>
        <v/>
      </c>
      <c r="Z38" s="23" t="str">
        <f>IF(AND(ISNUMBER(VLOOKUP($A38,Rezepte,MATCH(Kalkulation!Z$5,Rezepte!$5:$5,0),0)),ISNUMBER(VLOOKUP(Z$5,Materialpreise,3,0))),VLOOKUP(Z$5,Materialpreise,3,0)*VLOOKUP($A38,Rezepte,MATCH(Kalkulation!Z$5,Rezepte!$5:$5,0),0),"")</f>
        <v/>
      </c>
      <c r="AA38" s="23" t="str">
        <f>IF(AND(ISNUMBER(VLOOKUP($A38,Rezepte,MATCH(Kalkulation!AA$5,Rezepte!$5:$5,0),0)),ISNUMBER(VLOOKUP(AA$5,Materialpreise,3,0))),VLOOKUP(AA$5,Materialpreise,3,0)*VLOOKUP($A38,Rezepte,MATCH(Kalkulation!AA$5,Rezepte!$5:$5,0),0),"")</f>
        <v/>
      </c>
      <c r="AB38" s="23" t="str">
        <f>IF(AND(ISNUMBER(VLOOKUP($A38,Rezepte,MATCH(Kalkulation!AB$5,Rezepte!$5:$5,0),0)),ISNUMBER(VLOOKUP(AB$5,Materialpreise,3,0))),VLOOKUP(AB$5,Materialpreise,3,0)*VLOOKUP($A38,Rezepte,MATCH(Kalkulation!AB$5,Rezepte!$5:$5,0),0),"")</f>
        <v/>
      </c>
      <c r="AC38" s="23" t="str">
        <f>IF(AND(ISNUMBER(VLOOKUP($A38,Rezepte,MATCH(Kalkulation!AC$5,Rezepte!$5:$5,0),0)),ISNUMBER(VLOOKUP(AC$5,Materialpreise,3,0))),VLOOKUP(AC$5,Materialpreise,3,0)*VLOOKUP($A38,Rezepte,MATCH(Kalkulation!AC$5,Rezepte!$5:$5,0),0),"")</f>
        <v/>
      </c>
      <c r="AD38" s="23" t="str">
        <f>IF(AND(ISNUMBER(VLOOKUP($A38,Rezepte,MATCH(Kalkulation!AD$5,Rezepte!$5:$5,0),0)),ISNUMBER(VLOOKUP(AD$5,Materialpreise,3,0))),VLOOKUP(AD$5,Materialpreise,3,0)*VLOOKUP($A38,Rezepte,MATCH(Kalkulation!AD$5,Rezepte!$5:$5,0),0),"")</f>
        <v/>
      </c>
      <c r="AE38" s="23" t="str">
        <f>IF(AND(ISNUMBER(VLOOKUP($A38,Rezepte,MATCH(Kalkulation!AE$5,Rezepte!$5:$5,0),0)),ISNUMBER(VLOOKUP(AE$5,Materialpreise,3,0))),VLOOKUP(AE$5,Materialpreise,3,0)*VLOOKUP($A38,Rezepte,MATCH(Kalkulation!AE$5,Rezepte!$5:$5,0),0),"")</f>
        <v/>
      </c>
      <c r="AF38" s="23" t="str">
        <f>IF(AND(ISNUMBER(VLOOKUP($A38,Rezepte,MATCH(Kalkulation!AF$5,Rezepte!$5:$5,0),0)),ISNUMBER(VLOOKUP(AF$5,Materialpreise,3,0))),VLOOKUP(AF$5,Materialpreise,3,0)*VLOOKUP($A38,Rezepte,MATCH(Kalkulation!AF$5,Rezepte!$5:$5,0),0),"")</f>
        <v/>
      </c>
      <c r="AG38" s="23" t="str">
        <f>IF(AND(ISNUMBER(VLOOKUP($A38,Rezepte,MATCH(Kalkulation!AG$5,Rezepte!$5:$5,0),0)),ISNUMBER(VLOOKUP(AG$5,Materialpreise,3,0))),VLOOKUP(AG$5,Materialpreise,3,0)*VLOOKUP($A38,Rezepte,MATCH(Kalkulation!AG$5,Rezepte!$5:$5,0),0),"")</f>
        <v/>
      </c>
      <c r="AH38" s="23" t="str">
        <f>IF(AND(ISNUMBER(VLOOKUP($A38,Rezepte,MATCH(Kalkulation!AH$5,Rezepte!$5:$5,0),0)),ISNUMBER(VLOOKUP(AH$5,Materialpreise,3,0))),VLOOKUP(AH$5,Materialpreise,3,0)*VLOOKUP($A38,Rezepte,MATCH(Kalkulation!AH$5,Rezepte!$5:$5,0),0),"")</f>
        <v/>
      </c>
      <c r="AI38" s="23" t="str">
        <f>IF(AND(ISNUMBER(VLOOKUP($A38,Rezepte,MATCH(Kalkulation!AI$5,Rezepte!$5:$5,0),0)),ISNUMBER(VLOOKUP(AI$5,Materialpreise,3,0))),VLOOKUP(AI$5,Materialpreise,3,0)*VLOOKUP($A38,Rezepte,MATCH(Kalkulation!AI$5,Rezepte!$5:$5,0),0),"")</f>
        <v/>
      </c>
      <c r="AJ38" s="23" t="str">
        <f>IF(AND(ISNUMBER(VLOOKUP($A38,Rezepte,MATCH(Kalkulation!AJ$5,Rezepte!$5:$5,0),0)),ISNUMBER(VLOOKUP(AJ$5,Materialpreise,3,0))),VLOOKUP(AJ$5,Materialpreise,3,0)*VLOOKUP($A38,Rezepte,MATCH(Kalkulation!AJ$5,Rezepte!$5:$5,0),0),"")</f>
        <v/>
      </c>
      <c r="AK38" s="23" t="str">
        <f>IF(AND(ISNUMBER(VLOOKUP($A38,Rezepte,MATCH(Kalkulation!AK$5,Rezepte!$5:$5,0),0)),ISNUMBER(VLOOKUP(AK$5,Materialpreise,3,0))),VLOOKUP(AK$5,Materialpreise,3,0)*VLOOKUP($A38,Rezepte,MATCH(Kalkulation!AK$5,Rezepte!$5:$5,0),0),"")</f>
        <v/>
      </c>
      <c r="AL38" s="23" t="str">
        <f>IF(AND(ISNUMBER(VLOOKUP($A38,Rezepte,MATCH(Kalkulation!AL$5,Rezepte!$5:$5,0),0)),ISNUMBER(VLOOKUP(AL$5,Materialpreise,3,0))),VLOOKUP(AL$5,Materialpreise,3,0)*VLOOKUP($A38,Rezepte,MATCH(Kalkulation!AL$5,Rezepte!$5:$5,0),0),"")</f>
        <v/>
      </c>
      <c r="AM38" s="23" t="str">
        <f>IF(AND(ISNUMBER(VLOOKUP($A38,Rezepte,MATCH(Kalkulation!AM$5,Rezepte!$5:$5,0),0)),ISNUMBER(VLOOKUP(AM$5,Materialpreise,3,0))),VLOOKUP(AM$5,Materialpreise,3,0)*VLOOKUP($A38,Rezepte,MATCH(Kalkulation!AM$5,Rezepte!$5:$5,0),0),"")</f>
        <v/>
      </c>
      <c r="AN38" s="23" t="str">
        <f>IF(AND(ISNUMBER(VLOOKUP($A38,Rezepte,MATCH(Kalkulation!AN$5,Rezepte!$5:$5,0),0)),ISNUMBER(VLOOKUP(AN$5,Materialpreise,3,0))),VLOOKUP(AN$5,Materialpreise,3,0)*VLOOKUP($A38,Rezepte,MATCH(Kalkulation!AN$5,Rezepte!$5:$5,0),0),"")</f>
        <v/>
      </c>
      <c r="AO38" s="23" t="str">
        <f>IF(AND(ISNUMBER(VLOOKUP($A38,Rezepte,MATCH(Kalkulation!AO$5,Rezepte!$5:$5,0),0)),ISNUMBER(VLOOKUP(AO$5,Materialpreise,3,0))),VLOOKUP(AO$5,Materialpreise,3,0)*VLOOKUP($A38,Rezepte,MATCH(Kalkulation!AO$5,Rezepte!$5:$5,0),0),"")</f>
        <v/>
      </c>
      <c r="AP38" s="23" t="str">
        <f>IF(AND(ISNUMBER(VLOOKUP($A38,Rezepte,MATCH(Kalkulation!AP$5,Rezepte!$5:$5,0),0)),ISNUMBER(VLOOKUP(AP$5,Materialpreise,3,0))),VLOOKUP(AP$5,Materialpreise,3,0)*VLOOKUP($A38,Rezepte,MATCH(Kalkulation!AP$5,Rezepte!$5:$5,0),0),"")</f>
        <v/>
      </c>
      <c r="AQ38" s="23" t="str">
        <f>IF(AND(ISNUMBER(VLOOKUP($A38,Rezepte,MATCH(Kalkulation!AQ$5,Rezepte!$5:$5,0),0)),ISNUMBER(VLOOKUP(AQ$5,Materialpreise,3,0))),VLOOKUP(AQ$5,Materialpreise,3,0)*VLOOKUP($A38,Rezepte,MATCH(Kalkulation!AQ$5,Rezepte!$5:$5,0),0),"")</f>
        <v/>
      </c>
      <c r="AR38" s="23" t="str">
        <f>IF(AND(ISNUMBER(VLOOKUP($A38,Rezepte,MATCH(Kalkulation!AR$5,Rezepte!$5:$5,0),0)),ISNUMBER(VLOOKUP(AR$5,Materialpreise,3,0))),VLOOKUP(AR$5,Materialpreise,3,0)*VLOOKUP($A38,Rezepte,MATCH(Kalkulation!AR$5,Rezepte!$5:$5,0),0),"")</f>
        <v/>
      </c>
      <c r="AS38" s="23" t="str">
        <f>IF(AND(ISNUMBER(VLOOKUP($A38,Rezepte,MATCH(Kalkulation!AS$5,Rezepte!$5:$5,0),0)),ISNUMBER(VLOOKUP(AS$5,Materialpreise,3,0))),VLOOKUP(AS$5,Materialpreise,3,0)*VLOOKUP($A38,Rezepte,MATCH(Kalkulation!AS$5,Rezepte!$5:$5,0),0),"")</f>
        <v/>
      </c>
      <c r="AT38" s="23" t="str">
        <f>IF(AND(ISNUMBER(VLOOKUP($A38,Rezepte,MATCH(Kalkulation!AT$5,Rezepte!$5:$5,0),0)),ISNUMBER(VLOOKUP(AT$5,Materialpreise,3,0))),VLOOKUP(AT$5,Materialpreise,3,0)*VLOOKUP($A38,Rezepte,MATCH(Kalkulation!AT$5,Rezepte!$5:$5,0),0),"")</f>
        <v/>
      </c>
      <c r="AU38" s="23" t="str">
        <f>IF(AND(ISNUMBER(VLOOKUP($A38,Rezepte,MATCH(Kalkulation!AU$5,Rezepte!$5:$5,0),0)),ISNUMBER(VLOOKUP(AU$5,Materialpreise,3,0))),VLOOKUP(AU$5,Materialpreise,3,0)*VLOOKUP($A38,Rezepte,MATCH(Kalkulation!AU$5,Rezepte!$5:$5,0),0),"")</f>
        <v/>
      </c>
      <c r="AV38" s="23" t="str">
        <f>IF(AND(ISNUMBER(VLOOKUP($A38,Rezepte,MATCH(Kalkulation!AV$5,Rezepte!$5:$5,0),0)),ISNUMBER(VLOOKUP(AV$5,Materialpreise,3,0))),VLOOKUP(AV$5,Materialpreise,3,0)*VLOOKUP($A38,Rezepte,MATCH(Kalkulation!AV$5,Rezepte!$5:$5,0),0),"")</f>
        <v/>
      </c>
      <c r="AW38" s="23" t="str">
        <f>IF(AND(ISNUMBER(VLOOKUP($A38,Rezepte,MATCH(Kalkulation!AW$5,Rezepte!$5:$5,0),0)),ISNUMBER(VLOOKUP(AW$5,Materialpreise,3,0))),VLOOKUP(AW$5,Materialpreise,3,0)*VLOOKUP($A38,Rezepte,MATCH(Kalkulation!AW$5,Rezepte!$5:$5,0),0),"")</f>
        <v/>
      </c>
      <c r="AX38" s="23" t="str">
        <f>IF(AND(ISNUMBER(VLOOKUP($A38,Rezepte,MATCH(Kalkulation!AX$5,Rezepte!$5:$5,0),0)),ISNUMBER(VLOOKUP(AX$5,Materialpreise,3,0))),VLOOKUP(AX$5,Materialpreise,3,0)*VLOOKUP($A38,Rezepte,MATCH(Kalkulation!AX$5,Rezepte!$5:$5,0),0),"")</f>
        <v/>
      </c>
      <c r="AY38" s="23" t="str">
        <f>IF(AND(ISNUMBER(VLOOKUP($A38,Rezepte,MATCH(Kalkulation!AY$5,Rezepte!$5:$5,0),0)),ISNUMBER(VLOOKUP(AY$5,Materialpreise,3,0))),VLOOKUP(AY$5,Materialpreise,3,0)*VLOOKUP($A38,Rezepte,MATCH(Kalkulation!AY$5,Rezepte!$5:$5,0),0),"")</f>
        <v/>
      </c>
      <c r="AZ38" s="23" t="str">
        <f>IF(AND(ISNUMBER(VLOOKUP($A38,Rezepte,MATCH(Kalkulation!AZ$5,Rezepte!$5:$5,0),0)),ISNUMBER(VLOOKUP(AZ$5,Materialpreise,3,0))),VLOOKUP(AZ$5,Materialpreise,3,0)*VLOOKUP($A38,Rezepte,MATCH(Kalkulation!AZ$5,Rezepte!$5:$5,0),0),"")</f>
        <v/>
      </c>
      <c r="BA38" s="23" t="str">
        <f>IF(AND(ISNUMBER(VLOOKUP($A38,Rezepte,MATCH(Kalkulation!BA$5,Rezepte!$5:$5,0),0)),ISNUMBER(VLOOKUP(BA$5,Materialpreise,3,0))),VLOOKUP(BA$5,Materialpreise,3,0)*VLOOKUP($A38,Rezepte,MATCH(Kalkulation!BA$5,Rezepte!$5:$5,0),0),"")</f>
        <v/>
      </c>
    </row>
    <row r="39" spans="1:53" x14ac:dyDescent="0.25">
      <c r="A39" t="str">
        <f t="array" ref="A39">IFERROR(INDEX(Rezepte!$A$6:$A$100,MATCH(1,(COUNTIF(A$6:A38,Rezepte!A$6:A$100)=0)*(Rezepte!A$6:A$100&lt;&gt;""),0)),"")</f>
        <v/>
      </c>
      <c r="D39" s="23" t="str">
        <f>IF(AND(ISNUMBER(VLOOKUP($A39,Rezepte,MATCH(Kalkulation!D$5,Rezepte!$5:$5,0),0)),ISNUMBER(VLOOKUP(D$5,Materialpreise,3,0))),VLOOKUP(D$5,Materialpreise,3,0)*VLOOKUP($A39,Rezepte,MATCH(Kalkulation!D$5,Rezepte!$5:$5,0),0),"")</f>
        <v/>
      </c>
      <c r="E39" s="23" t="str">
        <f>IF(AND(ISNUMBER(VLOOKUP($A39,Rezepte,MATCH(Kalkulation!E$5,Rezepte!$5:$5,0),0)),ISNUMBER(VLOOKUP(E$5,Materialpreise,3,0))),VLOOKUP(E$5,Materialpreise,3,0)*VLOOKUP($A39,Rezepte,MATCH(Kalkulation!E$5,Rezepte!$5:$5,0),0),"")</f>
        <v/>
      </c>
      <c r="F39" s="23" t="str">
        <f>IF(AND(ISNUMBER(VLOOKUP($A39,Rezepte,MATCH(Kalkulation!F$5,Rezepte!$5:$5,0),0)),ISNUMBER(VLOOKUP(F$5,Materialpreise,3,0))),VLOOKUP(F$5,Materialpreise,3,0)*VLOOKUP($A39,Rezepte,MATCH(Kalkulation!F$5,Rezepte!$5:$5,0),0),"")</f>
        <v/>
      </c>
      <c r="G39" s="23" t="str">
        <f>IF(AND(ISNUMBER(VLOOKUP($A39,Rezepte,MATCH(Kalkulation!G$5,Rezepte!$5:$5,0),0)),ISNUMBER(VLOOKUP(G$5,Materialpreise,3,0))),VLOOKUP(G$5,Materialpreise,3,0)*VLOOKUP($A39,Rezepte,MATCH(Kalkulation!G$5,Rezepte!$5:$5,0),0),"")</f>
        <v/>
      </c>
      <c r="H39" s="23" t="str">
        <f>IF(AND(ISNUMBER(VLOOKUP($A39,Rezepte,MATCH(Kalkulation!H$5,Rezepte!$5:$5,0),0)),ISNUMBER(VLOOKUP(H$5,Materialpreise,3,0))),VLOOKUP(H$5,Materialpreise,3,0)*VLOOKUP($A39,Rezepte,MATCH(Kalkulation!H$5,Rezepte!$5:$5,0),0),"")</f>
        <v/>
      </c>
      <c r="I39" s="23" t="str">
        <f>IF(AND(ISNUMBER(VLOOKUP($A39,Rezepte,MATCH(Kalkulation!I$5,Rezepte!$5:$5,0),0)),ISNUMBER(VLOOKUP(I$5,Materialpreise,3,0))),VLOOKUP(I$5,Materialpreise,3,0)*VLOOKUP($A39,Rezepte,MATCH(Kalkulation!I$5,Rezepte!$5:$5,0),0),"")</f>
        <v/>
      </c>
      <c r="J39" s="23" t="str">
        <f>IF(AND(ISNUMBER(VLOOKUP($A39,Rezepte,MATCH(Kalkulation!J$5,Rezepte!$5:$5,0),0)),ISNUMBER(VLOOKUP(J$5,Materialpreise,3,0))),VLOOKUP(J$5,Materialpreise,3,0)*VLOOKUP($A39,Rezepte,MATCH(Kalkulation!J$5,Rezepte!$5:$5,0),0),"")</f>
        <v/>
      </c>
      <c r="K39" s="23" t="str">
        <f>IF(AND(ISNUMBER(VLOOKUP($A39,Rezepte,MATCH(Kalkulation!K$5,Rezepte!$5:$5,0),0)),ISNUMBER(VLOOKUP(K$5,Materialpreise,3,0))),VLOOKUP(K$5,Materialpreise,3,0)*VLOOKUP($A39,Rezepte,MATCH(Kalkulation!K$5,Rezepte!$5:$5,0),0),"")</f>
        <v/>
      </c>
      <c r="L39" s="23" t="str">
        <f>IF(AND(ISNUMBER(VLOOKUP($A39,Rezepte,MATCH(Kalkulation!L$5,Rezepte!$5:$5,0),0)),ISNUMBER(VLOOKUP(L$5,Materialpreise,3,0))),VLOOKUP(L$5,Materialpreise,3,0)*VLOOKUP($A39,Rezepte,MATCH(Kalkulation!L$5,Rezepte!$5:$5,0),0),"")</f>
        <v/>
      </c>
      <c r="M39" s="23" t="str">
        <f>IF(AND(ISNUMBER(VLOOKUP($A39,Rezepte,MATCH(Kalkulation!M$5,Rezepte!$5:$5,0),0)),ISNUMBER(VLOOKUP(M$5,Materialpreise,3,0))),VLOOKUP(M$5,Materialpreise,3,0)*VLOOKUP($A39,Rezepte,MATCH(Kalkulation!M$5,Rezepte!$5:$5,0),0),"")</f>
        <v/>
      </c>
      <c r="N39" s="23" t="str">
        <f>IF(AND(ISNUMBER(VLOOKUP($A39,Rezepte,MATCH(Kalkulation!N$5,Rezepte!$5:$5,0),0)),ISNUMBER(VLOOKUP(N$5,Materialpreise,3,0))),VLOOKUP(N$5,Materialpreise,3,0)*VLOOKUP($A39,Rezepte,MATCH(Kalkulation!N$5,Rezepte!$5:$5,0),0),"")</f>
        <v/>
      </c>
      <c r="O39" s="23" t="str">
        <f>IF(AND(ISNUMBER(VLOOKUP($A39,Rezepte,MATCH(Kalkulation!O$5,Rezepte!$5:$5,0),0)),ISNUMBER(VLOOKUP(O$5,Materialpreise,3,0))),VLOOKUP(O$5,Materialpreise,3,0)*VLOOKUP($A39,Rezepte,MATCH(Kalkulation!O$5,Rezepte!$5:$5,0),0),"")</f>
        <v/>
      </c>
      <c r="P39" s="23" t="str">
        <f>IF(AND(ISNUMBER(VLOOKUP($A39,Rezepte,MATCH(Kalkulation!P$5,Rezepte!$5:$5,0),0)),ISNUMBER(VLOOKUP(P$5,Materialpreise,3,0))),VLOOKUP(P$5,Materialpreise,3,0)*VLOOKUP($A39,Rezepte,MATCH(Kalkulation!P$5,Rezepte!$5:$5,0),0),"")</f>
        <v/>
      </c>
      <c r="Q39" s="23" t="str">
        <f>IF(AND(ISNUMBER(VLOOKUP($A39,Rezepte,MATCH(Kalkulation!Q$5,Rezepte!$5:$5,0),0)),ISNUMBER(VLOOKUP(Q$5,Materialpreise,3,0))),VLOOKUP(Q$5,Materialpreise,3,0)*VLOOKUP($A39,Rezepte,MATCH(Kalkulation!Q$5,Rezepte!$5:$5,0),0),"")</f>
        <v/>
      </c>
      <c r="R39" s="23" t="str">
        <f>IF(AND(ISNUMBER(VLOOKUP($A39,Rezepte,MATCH(Kalkulation!R$5,Rezepte!$5:$5,0),0)),ISNUMBER(VLOOKUP(R$5,Materialpreise,3,0))),VLOOKUP(R$5,Materialpreise,3,0)*VLOOKUP($A39,Rezepte,MATCH(Kalkulation!R$5,Rezepte!$5:$5,0),0),"")</f>
        <v/>
      </c>
      <c r="S39" s="23" t="str">
        <f>IF(AND(ISNUMBER(VLOOKUP($A39,Rezepte,MATCH(Kalkulation!S$5,Rezepte!$5:$5,0),0)),ISNUMBER(VLOOKUP(S$5,Materialpreise,3,0))),VLOOKUP(S$5,Materialpreise,3,0)*VLOOKUP($A39,Rezepte,MATCH(Kalkulation!S$5,Rezepte!$5:$5,0),0),"")</f>
        <v/>
      </c>
      <c r="T39" s="23" t="str">
        <f>IF(AND(ISNUMBER(VLOOKUP($A39,Rezepte,MATCH(Kalkulation!T$5,Rezepte!$5:$5,0),0)),ISNUMBER(VLOOKUP(T$5,Materialpreise,3,0))),VLOOKUP(T$5,Materialpreise,3,0)*VLOOKUP($A39,Rezepte,MATCH(Kalkulation!T$5,Rezepte!$5:$5,0),0),"")</f>
        <v/>
      </c>
      <c r="U39" s="23" t="str">
        <f>IF(AND(ISNUMBER(VLOOKUP($A39,Rezepte,MATCH(Kalkulation!U$5,Rezepte!$5:$5,0),0)),ISNUMBER(VLOOKUP(U$5,Materialpreise,3,0))),VLOOKUP(U$5,Materialpreise,3,0)*VLOOKUP($A39,Rezepte,MATCH(Kalkulation!U$5,Rezepte!$5:$5,0),0),"")</f>
        <v/>
      </c>
      <c r="V39" s="23" t="str">
        <f>IF(AND(ISNUMBER(VLOOKUP($A39,Rezepte,MATCH(Kalkulation!V$5,Rezepte!$5:$5,0),0)),ISNUMBER(VLOOKUP(V$5,Materialpreise,3,0))),VLOOKUP(V$5,Materialpreise,3,0)*VLOOKUP($A39,Rezepte,MATCH(Kalkulation!V$5,Rezepte!$5:$5,0),0),"")</f>
        <v/>
      </c>
      <c r="W39" s="23" t="str">
        <f>IF(AND(ISNUMBER(VLOOKUP($A39,Rezepte,MATCH(Kalkulation!W$5,Rezepte!$5:$5,0),0)),ISNUMBER(VLOOKUP(W$5,Materialpreise,3,0))),VLOOKUP(W$5,Materialpreise,3,0)*VLOOKUP($A39,Rezepte,MATCH(Kalkulation!W$5,Rezepte!$5:$5,0),0),"")</f>
        <v/>
      </c>
      <c r="X39" s="23" t="str">
        <f>IF(AND(ISNUMBER(VLOOKUP($A39,Rezepte,MATCH(Kalkulation!X$5,Rezepte!$5:$5,0),0)),ISNUMBER(VLOOKUP(X$5,Materialpreise,3,0))),VLOOKUP(X$5,Materialpreise,3,0)*VLOOKUP($A39,Rezepte,MATCH(Kalkulation!X$5,Rezepte!$5:$5,0),0),"")</f>
        <v/>
      </c>
      <c r="Y39" s="23" t="str">
        <f>IF(AND(ISNUMBER(VLOOKUP($A39,Rezepte,MATCH(Kalkulation!Y$5,Rezepte!$5:$5,0),0)),ISNUMBER(VLOOKUP(Y$5,Materialpreise,3,0))),VLOOKUP(Y$5,Materialpreise,3,0)*VLOOKUP($A39,Rezepte,MATCH(Kalkulation!Y$5,Rezepte!$5:$5,0),0),"")</f>
        <v/>
      </c>
      <c r="Z39" s="23" t="str">
        <f>IF(AND(ISNUMBER(VLOOKUP($A39,Rezepte,MATCH(Kalkulation!Z$5,Rezepte!$5:$5,0),0)),ISNUMBER(VLOOKUP(Z$5,Materialpreise,3,0))),VLOOKUP(Z$5,Materialpreise,3,0)*VLOOKUP($A39,Rezepte,MATCH(Kalkulation!Z$5,Rezepte!$5:$5,0),0),"")</f>
        <v/>
      </c>
      <c r="AA39" s="23" t="str">
        <f>IF(AND(ISNUMBER(VLOOKUP($A39,Rezepte,MATCH(Kalkulation!AA$5,Rezepte!$5:$5,0),0)),ISNUMBER(VLOOKUP(AA$5,Materialpreise,3,0))),VLOOKUP(AA$5,Materialpreise,3,0)*VLOOKUP($A39,Rezepte,MATCH(Kalkulation!AA$5,Rezepte!$5:$5,0),0),"")</f>
        <v/>
      </c>
      <c r="AB39" s="23" t="str">
        <f>IF(AND(ISNUMBER(VLOOKUP($A39,Rezepte,MATCH(Kalkulation!AB$5,Rezepte!$5:$5,0),0)),ISNUMBER(VLOOKUP(AB$5,Materialpreise,3,0))),VLOOKUP(AB$5,Materialpreise,3,0)*VLOOKUP($A39,Rezepte,MATCH(Kalkulation!AB$5,Rezepte!$5:$5,0),0),"")</f>
        <v/>
      </c>
      <c r="AC39" s="23" t="str">
        <f>IF(AND(ISNUMBER(VLOOKUP($A39,Rezepte,MATCH(Kalkulation!AC$5,Rezepte!$5:$5,0),0)),ISNUMBER(VLOOKUP(AC$5,Materialpreise,3,0))),VLOOKUP(AC$5,Materialpreise,3,0)*VLOOKUP($A39,Rezepte,MATCH(Kalkulation!AC$5,Rezepte!$5:$5,0),0),"")</f>
        <v/>
      </c>
      <c r="AD39" s="23" t="str">
        <f>IF(AND(ISNUMBER(VLOOKUP($A39,Rezepte,MATCH(Kalkulation!AD$5,Rezepte!$5:$5,0),0)),ISNUMBER(VLOOKUP(AD$5,Materialpreise,3,0))),VLOOKUP(AD$5,Materialpreise,3,0)*VLOOKUP($A39,Rezepte,MATCH(Kalkulation!AD$5,Rezepte!$5:$5,0),0),"")</f>
        <v/>
      </c>
      <c r="AE39" s="23" t="str">
        <f>IF(AND(ISNUMBER(VLOOKUP($A39,Rezepte,MATCH(Kalkulation!AE$5,Rezepte!$5:$5,0),0)),ISNUMBER(VLOOKUP(AE$5,Materialpreise,3,0))),VLOOKUP(AE$5,Materialpreise,3,0)*VLOOKUP($A39,Rezepte,MATCH(Kalkulation!AE$5,Rezepte!$5:$5,0),0),"")</f>
        <v/>
      </c>
      <c r="AF39" s="23" t="str">
        <f>IF(AND(ISNUMBER(VLOOKUP($A39,Rezepte,MATCH(Kalkulation!AF$5,Rezepte!$5:$5,0),0)),ISNUMBER(VLOOKUP(AF$5,Materialpreise,3,0))),VLOOKUP(AF$5,Materialpreise,3,0)*VLOOKUP($A39,Rezepte,MATCH(Kalkulation!AF$5,Rezepte!$5:$5,0),0),"")</f>
        <v/>
      </c>
      <c r="AG39" s="23" t="str">
        <f>IF(AND(ISNUMBER(VLOOKUP($A39,Rezepte,MATCH(Kalkulation!AG$5,Rezepte!$5:$5,0),0)),ISNUMBER(VLOOKUP(AG$5,Materialpreise,3,0))),VLOOKUP(AG$5,Materialpreise,3,0)*VLOOKUP($A39,Rezepte,MATCH(Kalkulation!AG$5,Rezepte!$5:$5,0),0),"")</f>
        <v/>
      </c>
      <c r="AH39" s="23" t="str">
        <f>IF(AND(ISNUMBER(VLOOKUP($A39,Rezepte,MATCH(Kalkulation!AH$5,Rezepte!$5:$5,0),0)),ISNUMBER(VLOOKUP(AH$5,Materialpreise,3,0))),VLOOKUP(AH$5,Materialpreise,3,0)*VLOOKUP($A39,Rezepte,MATCH(Kalkulation!AH$5,Rezepte!$5:$5,0),0),"")</f>
        <v/>
      </c>
      <c r="AI39" s="23" t="str">
        <f>IF(AND(ISNUMBER(VLOOKUP($A39,Rezepte,MATCH(Kalkulation!AI$5,Rezepte!$5:$5,0),0)),ISNUMBER(VLOOKUP(AI$5,Materialpreise,3,0))),VLOOKUP(AI$5,Materialpreise,3,0)*VLOOKUP($A39,Rezepte,MATCH(Kalkulation!AI$5,Rezepte!$5:$5,0),0),"")</f>
        <v/>
      </c>
      <c r="AJ39" s="23" t="str">
        <f>IF(AND(ISNUMBER(VLOOKUP($A39,Rezepte,MATCH(Kalkulation!AJ$5,Rezepte!$5:$5,0),0)),ISNUMBER(VLOOKUP(AJ$5,Materialpreise,3,0))),VLOOKUP(AJ$5,Materialpreise,3,0)*VLOOKUP($A39,Rezepte,MATCH(Kalkulation!AJ$5,Rezepte!$5:$5,0),0),"")</f>
        <v/>
      </c>
      <c r="AK39" s="23" t="str">
        <f>IF(AND(ISNUMBER(VLOOKUP($A39,Rezepte,MATCH(Kalkulation!AK$5,Rezepte!$5:$5,0),0)),ISNUMBER(VLOOKUP(AK$5,Materialpreise,3,0))),VLOOKUP(AK$5,Materialpreise,3,0)*VLOOKUP($A39,Rezepte,MATCH(Kalkulation!AK$5,Rezepte!$5:$5,0),0),"")</f>
        <v/>
      </c>
      <c r="AL39" s="23" t="str">
        <f>IF(AND(ISNUMBER(VLOOKUP($A39,Rezepte,MATCH(Kalkulation!AL$5,Rezepte!$5:$5,0),0)),ISNUMBER(VLOOKUP(AL$5,Materialpreise,3,0))),VLOOKUP(AL$5,Materialpreise,3,0)*VLOOKUP($A39,Rezepte,MATCH(Kalkulation!AL$5,Rezepte!$5:$5,0),0),"")</f>
        <v/>
      </c>
      <c r="AM39" s="23" t="str">
        <f>IF(AND(ISNUMBER(VLOOKUP($A39,Rezepte,MATCH(Kalkulation!AM$5,Rezepte!$5:$5,0),0)),ISNUMBER(VLOOKUP(AM$5,Materialpreise,3,0))),VLOOKUP(AM$5,Materialpreise,3,0)*VLOOKUP($A39,Rezepte,MATCH(Kalkulation!AM$5,Rezepte!$5:$5,0),0),"")</f>
        <v/>
      </c>
      <c r="AN39" s="23" t="str">
        <f>IF(AND(ISNUMBER(VLOOKUP($A39,Rezepte,MATCH(Kalkulation!AN$5,Rezepte!$5:$5,0),0)),ISNUMBER(VLOOKUP(AN$5,Materialpreise,3,0))),VLOOKUP(AN$5,Materialpreise,3,0)*VLOOKUP($A39,Rezepte,MATCH(Kalkulation!AN$5,Rezepte!$5:$5,0),0),"")</f>
        <v/>
      </c>
      <c r="AO39" s="23" t="str">
        <f>IF(AND(ISNUMBER(VLOOKUP($A39,Rezepte,MATCH(Kalkulation!AO$5,Rezepte!$5:$5,0),0)),ISNUMBER(VLOOKUP(AO$5,Materialpreise,3,0))),VLOOKUP(AO$5,Materialpreise,3,0)*VLOOKUP($A39,Rezepte,MATCH(Kalkulation!AO$5,Rezepte!$5:$5,0),0),"")</f>
        <v/>
      </c>
      <c r="AP39" s="23" t="str">
        <f>IF(AND(ISNUMBER(VLOOKUP($A39,Rezepte,MATCH(Kalkulation!AP$5,Rezepte!$5:$5,0),0)),ISNUMBER(VLOOKUP(AP$5,Materialpreise,3,0))),VLOOKUP(AP$5,Materialpreise,3,0)*VLOOKUP($A39,Rezepte,MATCH(Kalkulation!AP$5,Rezepte!$5:$5,0),0),"")</f>
        <v/>
      </c>
      <c r="AQ39" s="23" t="str">
        <f>IF(AND(ISNUMBER(VLOOKUP($A39,Rezepte,MATCH(Kalkulation!AQ$5,Rezepte!$5:$5,0),0)),ISNUMBER(VLOOKUP(AQ$5,Materialpreise,3,0))),VLOOKUP(AQ$5,Materialpreise,3,0)*VLOOKUP($A39,Rezepte,MATCH(Kalkulation!AQ$5,Rezepte!$5:$5,0),0),"")</f>
        <v/>
      </c>
      <c r="AR39" s="23" t="str">
        <f>IF(AND(ISNUMBER(VLOOKUP($A39,Rezepte,MATCH(Kalkulation!AR$5,Rezepte!$5:$5,0),0)),ISNUMBER(VLOOKUP(AR$5,Materialpreise,3,0))),VLOOKUP(AR$5,Materialpreise,3,0)*VLOOKUP($A39,Rezepte,MATCH(Kalkulation!AR$5,Rezepte!$5:$5,0),0),"")</f>
        <v/>
      </c>
      <c r="AS39" s="23" t="str">
        <f>IF(AND(ISNUMBER(VLOOKUP($A39,Rezepte,MATCH(Kalkulation!AS$5,Rezepte!$5:$5,0),0)),ISNUMBER(VLOOKUP(AS$5,Materialpreise,3,0))),VLOOKUP(AS$5,Materialpreise,3,0)*VLOOKUP($A39,Rezepte,MATCH(Kalkulation!AS$5,Rezepte!$5:$5,0),0),"")</f>
        <v/>
      </c>
      <c r="AT39" s="23" t="str">
        <f>IF(AND(ISNUMBER(VLOOKUP($A39,Rezepte,MATCH(Kalkulation!AT$5,Rezepte!$5:$5,0),0)),ISNUMBER(VLOOKUP(AT$5,Materialpreise,3,0))),VLOOKUP(AT$5,Materialpreise,3,0)*VLOOKUP($A39,Rezepte,MATCH(Kalkulation!AT$5,Rezepte!$5:$5,0),0),"")</f>
        <v/>
      </c>
      <c r="AU39" s="23" t="str">
        <f>IF(AND(ISNUMBER(VLOOKUP($A39,Rezepte,MATCH(Kalkulation!AU$5,Rezepte!$5:$5,0),0)),ISNUMBER(VLOOKUP(AU$5,Materialpreise,3,0))),VLOOKUP(AU$5,Materialpreise,3,0)*VLOOKUP($A39,Rezepte,MATCH(Kalkulation!AU$5,Rezepte!$5:$5,0),0),"")</f>
        <v/>
      </c>
      <c r="AV39" s="23" t="str">
        <f>IF(AND(ISNUMBER(VLOOKUP($A39,Rezepte,MATCH(Kalkulation!AV$5,Rezepte!$5:$5,0),0)),ISNUMBER(VLOOKUP(AV$5,Materialpreise,3,0))),VLOOKUP(AV$5,Materialpreise,3,0)*VLOOKUP($A39,Rezepte,MATCH(Kalkulation!AV$5,Rezepte!$5:$5,0),0),"")</f>
        <v/>
      </c>
      <c r="AW39" s="23" t="str">
        <f>IF(AND(ISNUMBER(VLOOKUP($A39,Rezepte,MATCH(Kalkulation!AW$5,Rezepte!$5:$5,0),0)),ISNUMBER(VLOOKUP(AW$5,Materialpreise,3,0))),VLOOKUP(AW$5,Materialpreise,3,0)*VLOOKUP($A39,Rezepte,MATCH(Kalkulation!AW$5,Rezepte!$5:$5,0),0),"")</f>
        <v/>
      </c>
      <c r="AX39" s="23" t="str">
        <f>IF(AND(ISNUMBER(VLOOKUP($A39,Rezepte,MATCH(Kalkulation!AX$5,Rezepte!$5:$5,0),0)),ISNUMBER(VLOOKUP(AX$5,Materialpreise,3,0))),VLOOKUP(AX$5,Materialpreise,3,0)*VLOOKUP($A39,Rezepte,MATCH(Kalkulation!AX$5,Rezepte!$5:$5,0),0),"")</f>
        <v/>
      </c>
      <c r="AY39" s="23" t="str">
        <f>IF(AND(ISNUMBER(VLOOKUP($A39,Rezepte,MATCH(Kalkulation!AY$5,Rezepte!$5:$5,0),0)),ISNUMBER(VLOOKUP(AY$5,Materialpreise,3,0))),VLOOKUP(AY$5,Materialpreise,3,0)*VLOOKUP($A39,Rezepte,MATCH(Kalkulation!AY$5,Rezepte!$5:$5,0),0),"")</f>
        <v/>
      </c>
      <c r="AZ39" s="23" t="str">
        <f>IF(AND(ISNUMBER(VLOOKUP($A39,Rezepte,MATCH(Kalkulation!AZ$5,Rezepte!$5:$5,0),0)),ISNUMBER(VLOOKUP(AZ$5,Materialpreise,3,0))),VLOOKUP(AZ$5,Materialpreise,3,0)*VLOOKUP($A39,Rezepte,MATCH(Kalkulation!AZ$5,Rezepte!$5:$5,0),0),"")</f>
        <v/>
      </c>
      <c r="BA39" s="23" t="str">
        <f>IF(AND(ISNUMBER(VLOOKUP($A39,Rezepte,MATCH(Kalkulation!BA$5,Rezepte!$5:$5,0),0)),ISNUMBER(VLOOKUP(BA$5,Materialpreise,3,0))),VLOOKUP(BA$5,Materialpreise,3,0)*VLOOKUP($A39,Rezepte,MATCH(Kalkulation!BA$5,Rezepte!$5:$5,0),0),"")</f>
        <v/>
      </c>
    </row>
    <row r="40" spans="1:53" x14ac:dyDescent="0.25">
      <c r="A40" t="str">
        <f t="array" ref="A40">IFERROR(INDEX(Rezepte!$A$6:$A$100,MATCH(1,(COUNTIF(A$6:A39,Rezepte!A$6:A$100)=0)*(Rezepte!A$6:A$100&lt;&gt;""),0)),"")</f>
        <v/>
      </c>
    </row>
    <row r="41" spans="1:53" x14ac:dyDescent="0.25">
      <c r="A41" t="str">
        <f t="array" ref="A41">IFERROR(INDEX(Rezepte!$A$6:$A$100,MATCH(1,(COUNTIF(A$6:A40,Rezepte!A$6:A$100)=0)*(Rezepte!A$6:A$100&lt;&gt;""),0)),"")</f>
        <v/>
      </c>
    </row>
    <row r="42" spans="1:53" x14ac:dyDescent="0.25">
      <c r="A42" t="str">
        <f t="array" ref="A42">IFERROR(INDEX(Rezepte!$A$6:$A$100,MATCH(1,(COUNTIF(A$6:A41,Rezepte!A$6:A$100)=0)*(Rezepte!A$6:A$100&lt;&gt;""),0)),"")</f>
        <v/>
      </c>
    </row>
    <row r="43" spans="1:53" x14ac:dyDescent="0.25">
      <c r="A43" t="str">
        <f t="array" ref="A43">IFERROR(INDEX(Rezepte!$A$6:$A$100,MATCH(1,(COUNTIF(A$6:A42,Rezepte!A$6:A$100)=0)*(Rezepte!A$6:A$100&lt;&gt;""),0)),"")</f>
        <v/>
      </c>
    </row>
    <row r="44" spans="1:53" x14ac:dyDescent="0.25">
      <c r="A44" t="str">
        <f t="array" ref="A44">IFERROR(INDEX(Rezepte!$A$6:$A$100,MATCH(1,(COUNTIF(A$6:A43,Rezepte!A$6:A$100)=0)*(Rezepte!A$6:A$100&lt;&gt;""),0)),"")</f>
        <v/>
      </c>
    </row>
    <row r="45" spans="1:53" x14ac:dyDescent="0.25">
      <c r="A45" t="str">
        <f t="array" ref="A45">IFERROR(INDEX(Rezepte!$A$6:$A$100,MATCH(1,(COUNTIF(A$6:A44,Rezepte!A$6:A$100)=0)*(Rezepte!A$6:A$100&lt;&gt;""),0)),"")</f>
        <v/>
      </c>
    </row>
    <row r="46" spans="1:53" x14ac:dyDescent="0.25">
      <c r="A46" t="str">
        <f t="array" ref="A46">IFERROR(INDEX(Rezepte!$A$6:$A$100,MATCH(1,(COUNTIF(A$6:A45,Rezepte!A$6:A$100)=0)*(Rezepte!A$6:A$100&lt;&gt;""),0)),"")</f>
        <v/>
      </c>
    </row>
    <row r="47" spans="1:53" x14ac:dyDescent="0.25">
      <c r="A47" t="str">
        <f t="array" ref="A47">IFERROR(INDEX(Rezepte!$A$6:$A$100,MATCH(1,(COUNTIF(A$6:A46,Rezepte!A$6:A$100)=0)*(Rezepte!A$6:A$100&lt;&gt;""),0)),"")</f>
        <v/>
      </c>
    </row>
    <row r="48" spans="1:53" x14ac:dyDescent="0.25">
      <c r="A48" t="str">
        <f t="array" ref="A48">IFERROR(INDEX(Rezepte!$A$6:$A$100,MATCH(1,(COUNTIF(A$6:A47,Rezepte!A$6:A$100)=0)*(Rezepte!A$6:A$100&lt;&gt;""),0)),"")</f>
        <v/>
      </c>
    </row>
    <row r="49" spans="1:1" x14ac:dyDescent="0.25">
      <c r="A49" t="str">
        <f t="array" ref="A49">IFERROR(INDEX(Rezepte!$A$6:$A$100,MATCH(1,(COUNTIF(A$6:A48,Rezepte!A$6:A$100)=0)*(Rezepte!A$6:A$100&lt;&gt;""),0)),"")</f>
        <v/>
      </c>
    </row>
    <row r="50" spans="1:1" x14ac:dyDescent="0.25">
      <c r="A50" t="str">
        <f t="array" ref="A50">IFERROR(INDEX(Rezepte!$A$6:$A$100,MATCH(1,(COUNTIF(A$6:A49,Rezepte!A$6:A$100)=0)*(Rezepte!A$6:A$100&lt;&gt;""),0)),"")</f>
        <v/>
      </c>
    </row>
  </sheetData>
  <conditionalFormatting sqref="A6:AM37">
    <cfRule type="expression" dxfId="1" priority="1">
      <formula>AND(MOD(COUNTA($A$6:$A6),2)=1,LEN($A6)&gt;0)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C31"/>
  <sheetViews>
    <sheetView workbookViewId="0">
      <selection activeCell="A14" sqref="A14"/>
    </sheetView>
  </sheetViews>
  <sheetFormatPr baseColWidth="10" defaultRowHeight="15" x14ac:dyDescent="0.25"/>
  <sheetData>
    <row r="1" spans="1:3" x14ac:dyDescent="0.25">
      <c r="A1" s="8" t="s">
        <v>53</v>
      </c>
      <c r="B1" s="9"/>
      <c r="C1" s="10"/>
    </row>
    <row r="2" spans="1:3" x14ac:dyDescent="0.25">
      <c r="A2" s="11"/>
      <c r="B2" s="12" t="s">
        <v>54</v>
      </c>
      <c r="C2" s="13" t="s">
        <v>55</v>
      </c>
    </row>
    <row r="3" spans="1:3" x14ac:dyDescent="0.25">
      <c r="A3" s="11" t="s">
        <v>56</v>
      </c>
      <c r="B3" s="14">
        <v>0.64</v>
      </c>
      <c r="C3" s="15">
        <f t="shared" ref="C3:C8" si="0">B3/1000</f>
        <v>6.4000000000000005E-4</v>
      </c>
    </row>
    <row r="4" spans="1:3" x14ac:dyDescent="0.25">
      <c r="A4" s="11" t="s">
        <v>8</v>
      </c>
      <c r="B4" s="14">
        <v>0.60000000000000009</v>
      </c>
      <c r="C4" s="15">
        <f t="shared" si="0"/>
        <v>6.0000000000000006E-4</v>
      </c>
    </row>
    <row r="5" spans="1:3" x14ac:dyDescent="0.25">
      <c r="A5" s="11" t="s">
        <v>9</v>
      </c>
      <c r="B5" s="14">
        <v>0.8</v>
      </c>
      <c r="C5" s="15">
        <f t="shared" si="0"/>
        <v>8.0000000000000004E-4</v>
      </c>
    </row>
    <row r="6" spans="1:3" x14ac:dyDescent="0.25">
      <c r="A6" s="11" t="s">
        <v>20</v>
      </c>
      <c r="B6" s="14">
        <v>0.8</v>
      </c>
      <c r="C6" s="15">
        <f t="shared" si="0"/>
        <v>8.0000000000000004E-4</v>
      </c>
    </row>
    <row r="7" spans="1:3" x14ac:dyDescent="0.25">
      <c r="A7" s="11" t="s">
        <v>57</v>
      </c>
      <c r="B7" s="14">
        <v>1.7000000000000002</v>
      </c>
      <c r="C7" s="15">
        <f t="shared" si="0"/>
        <v>1.7000000000000001E-3</v>
      </c>
    </row>
    <row r="8" spans="1:3" x14ac:dyDescent="0.25">
      <c r="A8" s="11" t="s">
        <v>58</v>
      </c>
      <c r="B8" s="14">
        <v>1.7000000000000002</v>
      </c>
      <c r="C8" s="15">
        <f t="shared" si="0"/>
        <v>1.7000000000000001E-3</v>
      </c>
    </row>
    <row r="9" spans="1:3" x14ac:dyDescent="0.25">
      <c r="A9" s="11" t="s">
        <v>59</v>
      </c>
      <c r="B9" s="14">
        <v>1.59</v>
      </c>
      <c r="C9" s="15">
        <f t="shared" ref="C9:C31" si="1">B9/1000</f>
        <v>1.5900000000000001E-3</v>
      </c>
    </row>
    <row r="10" spans="1:3" x14ac:dyDescent="0.25">
      <c r="A10" s="11" t="s">
        <v>28</v>
      </c>
      <c r="B10" s="14">
        <f>6/1000</f>
        <v>6.0000000000000001E-3</v>
      </c>
      <c r="C10" s="15">
        <f t="shared" si="1"/>
        <v>6.0000000000000002E-6</v>
      </c>
    </row>
    <row r="11" spans="1:3" x14ac:dyDescent="0.25">
      <c r="A11" s="11" t="s">
        <v>11</v>
      </c>
      <c r="B11" s="14">
        <v>2.15</v>
      </c>
      <c r="C11" s="15">
        <f t="shared" si="1"/>
        <v>2.15E-3</v>
      </c>
    </row>
    <row r="12" spans="1:3" x14ac:dyDescent="0.25">
      <c r="A12" s="11" t="s">
        <v>10</v>
      </c>
      <c r="B12" s="14">
        <v>1.2</v>
      </c>
      <c r="C12" s="15">
        <f t="shared" si="1"/>
        <v>1.1999999999999999E-3</v>
      </c>
    </row>
    <row r="13" spans="1:3" x14ac:dyDescent="0.25">
      <c r="A13" s="11" t="s">
        <v>60</v>
      </c>
      <c r="B13" s="14">
        <v>6.6</v>
      </c>
      <c r="C13" s="15">
        <f t="shared" si="1"/>
        <v>6.6E-3</v>
      </c>
    </row>
    <row r="14" spans="1:3" x14ac:dyDescent="0.25">
      <c r="A14" s="11" t="s">
        <v>61</v>
      </c>
      <c r="B14" s="14">
        <v>5.3</v>
      </c>
      <c r="C14" s="15">
        <f t="shared" si="1"/>
        <v>5.3E-3</v>
      </c>
    </row>
    <row r="15" spans="1:3" x14ac:dyDescent="0.25">
      <c r="A15" s="16" t="s">
        <v>21</v>
      </c>
      <c r="B15" s="17">
        <v>79.599999999999994</v>
      </c>
      <c r="C15" s="15">
        <f t="shared" si="1"/>
        <v>7.959999999999999E-2</v>
      </c>
    </row>
    <row r="16" spans="1:3" x14ac:dyDescent="0.25">
      <c r="A16" s="16" t="s">
        <v>22</v>
      </c>
      <c r="B16" s="17">
        <v>223.75</v>
      </c>
      <c r="C16" s="15">
        <f>B16/1000</f>
        <v>0.22375</v>
      </c>
    </row>
    <row r="17" spans="1:3" x14ac:dyDescent="0.25">
      <c r="A17" s="16" t="s">
        <v>23</v>
      </c>
      <c r="B17" s="14">
        <v>51.1</v>
      </c>
      <c r="C17" s="15">
        <f t="shared" si="1"/>
        <v>5.11E-2</v>
      </c>
    </row>
    <row r="18" spans="1:3" x14ac:dyDescent="0.25">
      <c r="A18" s="16" t="s">
        <v>24</v>
      </c>
      <c r="B18" s="17">
        <v>71.599999999999994</v>
      </c>
      <c r="C18" s="15">
        <f t="shared" si="1"/>
        <v>7.1599999999999997E-2</v>
      </c>
    </row>
    <row r="19" spans="1:3" x14ac:dyDescent="0.25">
      <c r="A19" s="16" t="s">
        <v>25</v>
      </c>
      <c r="B19" s="14">
        <v>56.9</v>
      </c>
      <c r="C19" s="15">
        <f t="shared" si="1"/>
        <v>5.6899999999999999E-2</v>
      </c>
    </row>
    <row r="20" spans="1:3" x14ac:dyDescent="0.25">
      <c r="A20" s="18" t="s">
        <v>30</v>
      </c>
      <c r="B20" s="14">
        <v>99.5</v>
      </c>
      <c r="C20" s="15">
        <f t="shared" si="1"/>
        <v>9.9500000000000005E-2</v>
      </c>
    </row>
    <row r="21" spans="1:3" x14ac:dyDescent="0.25">
      <c r="A21" s="18" t="s">
        <v>36</v>
      </c>
      <c r="B21" s="14">
        <v>1.8</v>
      </c>
      <c r="C21" s="15">
        <f t="shared" si="1"/>
        <v>1.8E-3</v>
      </c>
    </row>
    <row r="22" spans="1:3" x14ac:dyDescent="0.25">
      <c r="A22" s="18" t="s">
        <v>35</v>
      </c>
      <c r="B22" s="14">
        <v>2.42</v>
      </c>
      <c r="C22" s="15">
        <f t="shared" si="1"/>
        <v>2.4199999999999998E-3</v>
      </c>
    </row>
    <row r="23" spans="1:3" x14ac:dyDescent="0.25">
      <c r="A23" s="18" t="s">
        <v>38</v>
      </c>
      <c r="B23" s="14">
        <v>1.57</v>
      </c>
      <c r="C23" s="15">
        <f t="shared" si="1"/>
        <v>1.57E-3</v>
      </c>
    </row>
    <row r="24" spans="1:3" x14ac:dyDescent="0.25">
      <c r="A24" s="18" t="s">
        <v>37</v>
      </c>
      <c r="B24" s="14">
        <f>(0.42/0.25)</f>
        <v>1.68</v>
      </c>
      <c r="C24" s="15">
        <f t="shared" si="1"/>
        <v>1.6799999999999999E-3</v>
      </c>
    </row>
    <row r="25" spans="1:3" x14ac:dyDescent="0.25">
      <c r="A25" s="18" t="s">
        <v>32</v>
      </c>
      <c r="B25" s="14">
        <v>0.89</v>
      </c>
      <c r="C25" s="15">
        <f t="shared" si="1"/>
        <v>8.9000000000000006E-4</v>
      </c>
    </row>
    <row r="26" spans="1:3" x14ac:dyDescent="0.25">
      <c r="A26" s="18" t="s">
        <v>33</v>
      </c>
      <c r="B26" s="14">
        <v>0.65</v>
      </c>
      <c r="C26" s="15">
        <f t="shared" si="1"/>
        <v>6.4999999999999997E-4</v>
      </c>
    </row>
    <row r="27" spans="1:3" x14ac:dyDescent="0.25">
      <c r="A27" s="18" t="s">
        <v>34</v>
      </c>
      <c r="B27" s="14">
        <v>5.16</v>
      </c>
      <c r="C27" s="15">
        <f t="shared" si="1"/>
        <v>5.1600000000000005E-3</v>
      </c>
    </row>
    <row r="28" spans="1:3" x14ac:dyDescent="0.25">
      <c r="A28" s="18" t="s">
        <v>62</v>
      </c>
      <c r="B28" s="14">
        <v>17.25</v>
      </c>
      <c r="C28" s="15">
        <f t="shared" si="1"/>
        <v>1.7250000000000001E-2</v>
      </c>
    </row>
    <row r="29" spans="1:3" x14ac:dyDescent="0.25">
      <c r="A29" s="18" t="s">
        <v>63</v>
      </c>
      <c r="B29" s="14">
        <v>0</v>
      </c>
      <c r="C29" s="15">
        <f t="shared" si="1"/>
        <v>0</v>
      </c>
    </row>
    <row r="30" spans="1:3" x14ac:dyDescent="0.25">
      <c r="A30" s="18" t="s">
        <v>64</v>
      </c>
      <c r="B30" s="14">
        <v>0</v>
      </c>
      <c r="C30" s="15">
        <f t="shared" si="1"/>
        <v>0</v>
      </c>
    </row>
    <row r="31" spans="1:3" ht="15.75" thickBot="1" x14ac:dyDescent="0.3">
      <c r="A31" s="19" t="s">
        <v>44</v>
      </c>
      <c r="B31" s="20">
        <v>0</v>
      </c>
      <c r="C31" s="21">
        <f t="shared" si="1"/>
        <v>0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Y50"/>
  <sheetViews>
    <sheetView workbookViewId="0">
      <selection activeCell="A15" sqref="A15"/>
    </sheetView>
  </sheetViews>
  <sheetFormatPr baseColWidth="10" defaultColWidth="10.7109375" defaultRowHeight="15" x14ac:dyDescent="0.25"/>
  <cols>
    <col min="1" max="1" width="26.5703125" customWidth="1"/>
    <col min="2" max="2" width="12.28515625" style="23" bestFit="1" customWidth="1"/>
    <col min="3" max="3" width="14.140625" style="23" customWidth="1"/>
    <col min="4" max="4" width="14" style="23" bestFit="1" customWidth="1"/>
    <col min="5" max="5" width="12.28515625" style="23" bestFit="1" customWidth="1"/>
    <col min="6" max="6" width="12.7109375" style="23" bestFit="1" customWidth="1"/>
    <col min="7" max="7" width="12" style="23" bestFit="1" customWidth="1"/>
    <col min="8" max="8" width="24.42578125" style="23" bestFit="1" customWidth="1"/>
    <col min="9" max="34" width="10.7109375" style="23"/>
    <col min="35" max="35" width="13.85546875" style="23" bestFit="1" customWidth="1"/>
    <col min="36" max="36" width="17.140625" style="23" bestFit="1" customWidth="1"/>
    <col min="37" max="16384" width="10.7109375" style="23"/>
  </cols>
  <sheetData>
    <row r="1" spans="1:51" customFormat="1" x14ac:dyDescent="0.25"/>
    <row r="2" spans="1:51" customFormat="1" x14ac:dyDescent="0.25"/>
    <row r="3" spans="1:51" customFormat="1" x14ac:dyDescent="0.25"/>
    <row r="4" spans="1:51" customFormat="1" x14ac:dyDescent="0.25"/>
    <row r="5" spans="1:51" customFormat="1" x14ac:dyDescent="0.25">
      <c r="A5" s="22" t="s">
        <v>0</v>
      </c>
      <c r="B5" t="str">
        <f>IF(ISBLANK(Rezepte!E5)=FALSE,Rezepte!E5,"")</f>
        <v>Gesamtmehl</v>
      </c>
      <c r="C5" t="str">
        <f>IF(ISBLANK(Rezepte!F5)=FALSE,Rezepte!F5,"")</f>
        <v>Gesamtwasser</v>
      </c>
      <c r="D5" t="str">
        <f>IF(ISBLANK(Rezepte!G5)=FALSE,Rezepte!G5,"")</f>
        <v>Mehlmischung</v>
      </c>
      <c r="E5" t="str">
        <f>IF(ISBLANK(Rezepte!H5)=FALSE,Rezepte!H5,"")</f>
        <v>Gesamtmehl</v>
      </c>
      <c r="F5" t="str">
        <f>IF(ISBLANK(Rezepte!I5)=FALSE,Rezepte!I5,"")</f>
        <v>Roggenanteil</v>
      </c>
      <c r="G5" t="str">
        <f>IF(ISBLANK(Rezepte!J5)=FALSE,Rezepte!J5,"")</f>
        <v>Dinkelmehl</v>
      </c>
      <c r="H5" t="str">
        <f>IF(ISBLANK(Rezepte!K5)=FALSE,Rezepte!K5,"")</f>
        <v>Wasseranteil im Sauerteig</v>
      </c>
      <c r="I5" t="str">
        <f>IF(ISBLANK(Rezepte!L5)=FALSE,Rezepte!L5,"")</f>
        <v>Wasser</v>
      </c>
      <c r="J5" t="str">
        <f>IF(ISBLANK(Rezepte!M5)=FALSE,Rezepte!M5,"")</f>
        <v>Roggenanteil</v>
      </c>
      <c r="K5" t="str">
        <f>IF(ISBLANK(Rezepte!N5)=FALSE,Rezepte!N5,"")</f>
        <v>Roggenmehl</v>
      </c>
      <c r="L5" t="str">
        <f>IF(ISBLANK(Rezepte!O5)=FALSE,Rezepte!O5,"")</f>
        <v>Roggenvollkornmehl</v>
      </c>
      <c r="M5" t="str">
        <f>IF(ISBLANK(Rezepte!P5)=FALSE,Rezepte!P5,"")</f>
        <v>Salz</v>
      </c>
      <c r="N5" t="str">
        <f>IF(ISBLANK(Rezepte!Q5)=FALSE,Rezepte!Q5,"")</f>
        <v>Hefe</v>
      </c>
      <c r="O5" t="str">
        <f>IF(ISBLANK(Rezepte!R5)=FALSE,Rezepte!R5,"")</f>
        <v>Zwiebel getrocknet</v>
      </c>
      <c r="P5" t="str">
        <f>IF(ISBLANK(Rezepte!S5)=FALSE,Rezepte!S5,"")</f>
        <v>Speck geräuchert</v>
      </c>
      <c r="Q5" t="str">
        <f>IF(ISBLANK(Rezepte!T5)=FALSE,Rezepte!T5,"")</f>
        <v>Roggenbackschrot</v>
      </c>
      <c r="R5" t="str">
        <f>IF(ISBLANK(Rezepte!U5)=FALSE,Rezepte!U5,"")</f>
        <v>Koriander</v>
      </c>
      <c r="S5" t="str">
        <f>IF(ISBLANK(Rezepte!V5)=FALSE,Rezepte!V5,"")</f>
        <v>Kerbel</v>
      </c>
      <c r="T5" t="str">
        <f>IF(ISBLANK(Rezepte!W5)=FALSE,Rezepte!W5,"")</f>
        <v>Kardamom</v>
      </c>
      <c r="U5" t="str">
        <f>IF(ISBLANK(Rezepte!X5)=FALSE,Rezepte!X5,"")</f>
        <v>Liebstöckel</v>
      </c>
      <c r="V5" t="str">
        <f>IF(ISBLANK(Rezepte!Y5)=FALSE,Rezepte!Y5,"")</f>
        <v>Kümmel</v>
      </c>
      <c r="W5" t="str">
        <f>IF(ISBLANK(Rezepte!Z5)=FALSE,Rezepte!Z5,"")</f>
        <v>Fett</v>
      </c>
      <c r="X5" t="str">
        <f>IF(ISBLANK(Rezepte!AA5)=FALSE,Rezepte!AA5,"")</f>
        <v>Rosmarin</v>
      </c>
      <c r="Y5" t="str">
        <f>IF(ISBLANK(Rezepte!AB5)=FALSE,Rezepte!AB5,"")</f>
        <v>Zucker</v>
      </c>
      <c r="Z5" t="str">
        <f>IF(ISBLANK(Rezepte!AC5)=FALSE,Rezepte!AC5,"")</f>
        <v>Milch</v>
      </c>
      <c r="AA5" t="str">
        <f>IF(ISBLANK(Rezepte!AD5)=FALSE,Rezepte!AD5,"")</f>
        <v>Butter</v>
      </c>
      <c r="AB5" t="str">
        <f>IF(ISBLANK(Rezepte!AE5)=FALSE,Rezepte!AE5,"")</f>
        <v>Kardamom</v>
      </c>
      <c r="AC5" t="str">
        <f>IF(ISBLANK(Rezepte!AF5)=FALSE,Rezepte!AF5,"")</f>
        <v>Vanillezucker</v>
      </c>
      <c r="AD5" t="str">
        <f>IF(ISBLANK(Rezepte!AG5)=FALSE,Rezepte!AG5,"")</f>
        <v>Eier</v>
      </c>
      <c r="AE5" t="str">
        <f>IF(ISBLANK(Rezepte!AH5)=FALSE,Rezepte!AH5,"")</f>
        <v>Quark</v>
      </c>
      <c r="AF5" t="str">
        <f>IF(ISBLANK(Rezepte!AI5)=FALSE,Rezepte!AI5,"")</f>
        <v>Pudding</v>
      </c>
      <c r="AG5" t="str">
        <f>IF(ISBLANK(Rezepte!AJ5)=FALSE,Rezepte!AJ5,"")</f>
        <v>Magarine</v>
      </c>
      <c r="AH5" t="str">
        <f>IF(ISBLANK(Rezepte!AK5)=FALSE,Rezepte!AK5,"")</f>
        <v>Aroma</v>
      </c>
      <c r="AI5" t="str">
        <f>IF(ISBLANK(Rezepte!AL5)=FALSE,Rezepte!AL5,"")</f>
        <v>Hirschhornsalz</v>
      </c>
      <c r="AJ5" t="str">
        <f>IF(ISBLANK(Rezepte!AM5)=FALSE,Rezepte!AM5,"")</f>
        <v>Bruttoteiggewicht</v>
      </c>
      <c r="AK5" t="str">
        <f>IF(ISBLANK(Rezepte!AN5)=FALSE,Rezepte!AN5,"")</f>
        <v>Quellstück</v>
      </c>
      <c r="AL5" t="str">
        <f>IF(ISBLANK(Rezepte!AO5)=FALSE,Rezepte!AO5,"")</f>
        <v/>
      </c>
      <c r="AM5" t="str">
        <f>IF(ISBLANK(Rezepte!AP5)=FALSE,Rezepte!AP5,"")</f>
        <v/>
      </c>
      <c r="AN5" t="str">
        <f>IF(ISBLANK(Rezepte!AQ5)=FALSE,Rezepte!AQ5,"")</f>
        <v/>
      </c>
      <c r="AO5" t="str">
        <f>IF(ISBLANK(Rezepte!AR5)=FALSE,Rezepte!AR5,"")</f>
        <v/>
      </c>
      <c r="AP5" t="str">
        <f>IF(ISBLANK(Rezepte!AS5)=FALSE,Rezepte!AS5,"")</f>
        <v/>
      </c>
      <c r="AQ5" t="str">
        <f>IF(ISBLANK(Rezepte!AT5)=FALSE,Rezepte!AT5,"")</f>
        <v/>
      </c>
      <c r="AR5" t="str">
        <f>IF(ISBLANK(Rezepte!AU5)=FALSE,Rezepte!AU5,"")</f>
        <v/>
      </c>
      <c r="AS5" t="str">
        <f>IF(ISBLANK(Rezepte!AV5)=FALSE,Rezepte!AV5,"")</f>
        <v/>
      </c>
      <c r="AT5" t="str">
        <f>IF(ISBLANK(Rezepte!AW5)=FALSE,Rezepte!AW5,"")</f>
        <v/>
      </c>
      <c r="AU5" t="str">
        <f>IF(ISBLANK(Rezepte!AX5)=FALSE,Rezepte!AX5,"")</f>
        <v/>
      </c>
      <c r="AV5" t="str">
        <f>IF(ISBLANK(Rezepte!AY5)=FALSE,Rezepte!AY5,"")</f>
        <v/>
      </c>
    </row>
    <row r="6" spans="1:51" x14ac:dyDescent="0.25">
      <c r="A6" t="str">
        <f>Rezepte!A6</f>
        <v>Zwiebelbrot</v>
      </c>
      <c r="B6" s="24">
        <f ca="1">IF(LEN($A6)&gt;0,IF(AND(ISNUMBER(VLOOKUP($A6,Rezepte,MATCH(Produktionsmenge!B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B$5,Rezepte!$5:$5,0),0),""),"")</f>
        <v>51709.090909090912</v>
      </c>
      <c r="C6" s="24">
        <f ca="1">IF(LEN($A6)&gt;0,IF(AND(ISNUMBER(VLOOKUP($A6,Rezepte,MATCH(Produktionsmenge!C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C$5,Rezepte!$5:$5,0),0),""),"")</f>
        <v>33610.909090909088</v>
      </c>
      <c r="D6" s="24" t="str">
        <f ca="1">IF(LEN($A6)&gt;0,IF(AND(ISNUMBER(VLOOKUP($A6,Rezepte,MATCH(Produktionsmenge!D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D$5,Rezepte!$5:$5,0),0),""),"")</f>
        <v/>
      </c>
      <c r="E6" s="24">
        <f ca="1">IF(LEN($A6)&gt;0,IF(AND(ISNUMBER(VLOOKUP($A6,Rezepte,MATCH(Produktionsmenge!E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E$5,Rezepte!$5:$5,0),0),""),"")</f>
        <v>51709.090909090912</v>
      </c>
      <c r="F6" s="24">
        <f ca="1">IF(LEN($A6)&gt;0,IF(AND(ISNUMBER(VLOOKUP($A6,Rezepte,MATCH(Produktionsmenge!F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F$5,Rezepte!$5:$5,0),0),""),"")</f>
        <v>31025.454545454544</v>
      </c>
      <c r="G6" s="24">
        <f ca="1">IF(LEN($A6)&gt;0,IF(AND(ISNUMBER(VLOOKUP($A6,Rezepte,MATCH(Produktionsmenge!G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G$5,Rezepte!$5:$5,0),0),""),"")</f>
        <v>20683.636363636364</v>
      </c>
      <c r="H6" s="24">
        <f ca="1">IF(LEN($A6)&gt;0,IF(AND(ISNUMBER(VLOOKUP($A6,Rezepte,MATCH(Produktionsmenge!H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H$5,Rezepte!$5:$5,0),0),""),"")</f>
        <v>9928.1454545454562</v>
      </c>
      <c r="I6" s="24">
        <f ca="1">IF(LEN($A6)&gt;0,IF(AND(ISNUMBER(VLOOKUP($A6,Rezepte,MATCH(Produktionsmenge!I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I$5,Rezepte!$5:$5,0),0),""),"")</f>
        <v>9928.1454545454562</v>
      </c>
      <c r="J6" s="24">
        <f ca="1">IF(LEN($A6)&gt;0,IF(AND(ISNUMBER(VLOOKUP($A6,Rezepte,MATCH(Produktionsmenge!J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J$5,Rezepte!$5:$5,0),0),""),"")</f>
        <v>31025.454545454544</v>
      </c>
      <c r="K6" s="24">
        <f ca="1">IF(LEN($A6)&gt;0,IF(AND(ISNUMBER(VLOOKUP($A6,Rezepte,MATCH(Produktionsmenge!K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K$5,Rezepte!$5:$5,0),0),""),"")</f>
        <v>18615.272727272728</v>
      </c>
      <c r="L6" s="24">
        <f ca="1">IF(LEN($A6)&gt;0,IF(AND(ISNUMBER(VLOOKUP($A6,Rezepte,MATCH(Produktionsmenge!L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L$5,Rezepte!$5:$5,0),0),""),"")</f>
        <v>12410.181818181818</v>
      </c>
      <c r="M6" s="24">
        <f ca="1">IF(LEN($A6)&gt;0,IF(AND(ISNUMBER(VLOOKUP($A6,Rezepte,MATCH(Produktionsmenge!M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M$5,Rezepte!$5:$5,0),0),""),"")</f>
        <v>1809.8181818181818</v>
      </c>
      <c r="N6" s="24">
        <f ca="1">IF(LEN($A6)&gt;0,IF(AND(ISNUMBER(VLOOKUP($A6,Rezepte,MATCH(Produktionsmenge!N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N$5,Rezepte!$5:$5,0),0),""),"")</f>
        <v>2068.3636363636365</v>
      </c>
      <c r="O6" s="24">
        <f ca="1">IF(LEN($A6)&gt;0,IF(AND(ISNUMBER(VLOOKUP($A6,Rezepte,MATCH(Produktionsmenge!O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O$5,Rezepte!$5:$5,0),0),""),"")</f>
        <v>2585.4545454545455</v>
      </c>
      <c r="P6" s="24" t="str">
        <f ca="1">IF(LEN($A6)&gt;0,IF(AND(ISNUMBER(VLOOKUP($A6,Rezepte,MATCH(Produktionsmenge!P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P$5,Rezepte!$5:$5,0),0),""),"")</f>
        <v/>
      </c>
      <c r="Q6" s="24" t="str">
        <f ca="1">IF(LEN($A6)&gt;0,IF(AND(ISNUMBER(VLOOKUP($A6,Rezepte,MATCH(Produktionsmenge!Q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Q$5,Rezepte!$5:$5,0),0),""),"")</f>
        <v/>
      </c>
      <c r="R6" s="24" t="str">
        <f ca="1">IF(LEN($A6)&gt;0,IF(AND(ISNUMBER(VLOOKUP($A6,Rezepte,MATCH(Produktionsmenge!R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R$5,Rezepte!$5:$5,0),0),""),"")</f>
        <v/>
      </c>
      <c r="S6" s="24" t="str">
        <f ca="1">IF(LEN($A6)&gt;0,IF(AND(ISNUMBER(VLOOKUP($A6,Rezepte,MATCH(Produktionsmenge!S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S$5,Rezepte!$5:$5,0),0),""),"")</f>
        <v/>
      </c>
      <c r="T6" s="24" t="str">
        <f ca="1">IF(LEN($A6)&gt;0,IF(AND(ISNUMBER(VLOOKUP($A6,Rezepte,MATCH(Produktionsmenge!T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T$5,Rezepte!$5:$5,0),0),""),"")</f>
        <v/>
      </c>
      <c r="U6" s="24" t="str">
        <f ca="1">IF(LEN($A6)&gt;0,IF(AND(ISNUMBER(VLOOKUP($A6,Rezepte,MATCH(Produktionsmenge!U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U$5,Rezepte!$5:$5,0),0),""),"")</f>
        <v/>
      </c>
      <c r="V6" s="24" t="str">
        <f ca="1">IF(LEN($A6)&gt;0,IF(AND(ISNUMBER(VLOOKUP($A6,Rezepte,MATCH(Produktionsmenge!V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V$5,Rezepte!$5:$5,0),0),""),"")</f>
        <v/>
      </c>
      <c r="W6" s="24" t="str">
        <f ca="1">IF(LEN($A6)&gt;0,IF(AND(ISNUMBER(VLOOKUP($A6,Rezepte,MATCH(Produktionsmenge!W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W$5,Rezepte!$5:$5,0),0),""),"")</f>
        <v/>
      </c>
      <c r="X6" s="24" t="str">
        <f ca="1">IF(LEN($A6)&gt;0,IF(AND(ISNUMBER(VLOOKUP($A6,Rezepte,MATCH(Produktionsmenge!X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X$5,Rezepte!$5:$5,0),0),""),"")</f>
        <v/>
      </c>
      <c r="Y6" s="24" t="str">
        <f ca="1">IF(LEN($A6)&gt;0,IF(AND(ISNUMBER(VLOOKUP($A6,Rezepte,MATCH(Produktionsmenge!Y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Y$5,Rezepte!$5:$5,0),0),""),"")</f>
        <v/>
      </c>
      <c r="Z6" s="24" t="str">
        <f ca="1">IF(LEN($A6)&gt;0,IF(AND(ISNUMBER(VLOOKUP($A6,Rezepte,MATCH(Produktionsmenge!Z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Z$5,Rezepte!$5:$5,0),0),""),"")</f>
        <v/>
      </c>
      <c r="AA6" s="24" t="str">
        <f ca="1">IF(LEN($A6)&gt;0,IF(AND(ISNUMBER(VLOOKUP($A6,Rezepte,MATCH(Produktionsmenge!AA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AA$5,Rezepte!$5:$5,0),0),""),"")</f>
        <v/>
      </c>
      <c r="AB6" s="24" t="str">
        <f ca="1">IF(LEN($A6)&gt;0,IF(AND(ISNUMBER(VLOOKUP($A6,Rezepte,MATCH(Produktionsmenge!AB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AB$5,Rezepte!$5:$5,0),0),""),"")</f>
        <v/>
      </c>
      <c r="AC6" s="24" t="str">
        <f ca="1">IF(LEN($A6)&gt;0,IF(AND(ISNUMBER(VLOOKUP($A6,Rezepte,MATCH(Produktionsmenge!AC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AC$5,Rezepte!$5:$5,0),0),""),"")</f>
        <v/>
      </c>
      <c r="AD6" s="24" t="str">
        <f ca="1">IF(LEN($A6)&gt;0,IF(AND(ISNUMBER(VLOOKUP($A6,Rezepte,MATCH(Produktionsmenge!AD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AD$5,Rezepte!$5:$5,0),0),""),"")</f>
        <v/>
      </c>
      <c r="AE6" s="24" t="str">
        <f ca="1">IF(LEN($A6)&gt;0,IF(AND(ISNUMBER(VLOOKUP($A6,Rezepte,MATCH(Produktionsmenge!AE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AE$5,Rezepte!$5:$5,0),0),""),"")</f>
        <v/>
      </c>
      <c r="AF6" s="24" t="str">
        <f ca="1">IF(LEN($A6)&gt;0,IF(AND(ISNUMBER(VLOOKUP($A6,Rezepte,MATCH(Produktionsmenge!AF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AF$5,Rezepte!$5:$5,0),0),""),"")</f>
        <v/>
      </c>
      <c r="AG6" s="24" t="str">
        <f ca="1">IF(LEN($A6)&gt;0,IF(AND(ISNUMBER(VLOOKUP($A6,Rezepte,MATCH(Produktionsmenge!AG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AG$5,Rezepte!$5:$5,0),0),""),"")</f>
        <v/>
      </c>
      <c r="AH6" s="24" t="str">
        <f ca="1">IF(LEN($A6)&gt;0,IF(AND(ISNUMBER(VLOOKUP($A6,Rezepte,MATCH(Produktionsmenge!AH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AH$5,Rezepte!$5:$5,0),0),""),"")</f>
        <v/>
      </c>
      <c r="AI6" s="24" t="str">
        <f ca="1">IF(LEN($A6)&gt;0,IF(AND(ISNUMBER(VLOOKUP($A6,Rezepte,MATCH(Produktionsmenge!AI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AI$5,Rezepte!$5:$5,0),0),""),"")</f>
        <v/>
      </c>
      <c r="AJ6" s="24">
        <f ca="1">IF(LEN($A6)&gt;0,IF(AND(ISNUMBER(VLOOKUP($A6,Rezepte,MATCH(Produktionsmenge!AJ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AJ$5,Rezepte!$5:$5,0),0),""),"")</f>
        <v>91783.636363636368</v>
      </c>
      <c r="AK6" s="24" t="str">
        <f ca="1">IF(LEN($A6)&gt;0,IF(AND(ISNUMBER(VLOOKUP($A6,Rezepte,MATCH(Produktionsmenge!AK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AK$5,Rezepte!$5:$5,0),0),""),"")</f>
        <v/>
      </c>
      <c r="AL6" s="24" t="str">
        <f ca="1">IF(LEN($A6)&gt;0,IF(AND(ISNUMBER(VLOOKUP($A6,Rezepte,MATCH(Produktionsmenge!AL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AL$5,Rezepte!$5:$5,0),0),""),"")</f>
        <v/>
      </c>
      <c r="AM6" s="24" t="str">
        <f ca="1">IF(LEN($A6)&gt;0,IF(AND(ISNUMBER(VLOOKUP($A6,Rezepte,MATCH(Produktionsmenge!AM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AM$5,Rezepte!$5:$5,0),0),""),"")</f>
        <v/>
      </c>
      <c r="AN6" s="24" t="str">
        <f ca="1">IF(LEN($A6)&gt;0,IF(AND(ISNUMBER(VLOOKUP($A6,Rezepte,MATCH(Produktionsmenge!AN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AN$5,Rezepte!$5:$5,0),0),""),"")</f>
        <v/>
      </c>
      <c r="AO6" s="24" t="str">
        <f ca="1">IF(LEN($A6)&gt;0,IF(AND(ISNUMBER(VLOOKUP($A6,Rezepte,MATCH(Produktionsmenge!AO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AO$5,Rezepte!$5:$5,0),0),""),"")</f>
        <v/>
      </c>
      <c r="AP6" s="24" t="str">
        <f ca="1">IF(LEN($A6)&gt;0,IF(AND(ISNUMBER(VLOOKUP($A6,Rezepte,MATCH(Produktionsmenge!AP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AP$5,Rezepte!$5:$5,0),0),""),"")</f>
        <v/>
      </c>
      <c r="AQ6" s="24" t="str">
        <f ca="1">IF(LEN($A6)&gt;0,IF(AND(ISNUMBER(VLOOKUP($A6,Rezepte,MATCH(Produktionsmenge!AQ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AQ$5,Rezepte!$5:$5,0),0),""),"")</f>
        <v/>
      </c>
      <c r="AR6" s="24" t="str">
        <f ca="1">IF(LEN($A6)&gt;0,IF(AND(ISNUMBER(VLOOKUP($A6,Rezepte,MATCH(Produktionsmenge!AR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AR$5,Rezepte!$5:$5,0),0),""),"")</f>
        <v/>
      </c>
      <c r="AS6" s="24" t="str">
        <f ca="1">IF(LEN($A6)&gt;0,IF(AND(ISNUMBER(VLOOKUP($A6,Rezepte,MATCH(Produktionsmenge!AS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AS$5,Rezepte!$5:$5,0),0),""),"")</f>
        <v/>
      </c>
      <c r="AT6" s="24" t="str">
        <f ca="1">IF(LEN($A6)&gt;0,IF(AND(ISNUMBER(VLOOKUP($A6,Rezepte,MATCH(Produktionsmenge!AT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AT$5,Rezepte!$5:$5,0),0),""),"")</f>
        <v/>
      </c>
      <c r="AU6" s="24" t="str">
        <f ca="1">IF(LEN($A6)&gt;0,IF(AND(ISNUMBER(VLOOKUP($A6,Rezepte,MATCH(Produktionsmenge!AU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AU$5,Rezepte!$5:$5,0),0),""),"")</f>
        <v/>
      </c>
      <c r="AV6" s="24" t="str">
        <f ca="1">IF(LEN($A6)&gt;0,IF(AND(ISNUMBER(VLOOKUP($A6,Rezepte,MATCH(Produktionsmenge!AV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AV$5,Rezepte!$5:$5,0),0),""),"")</f>
        <v/>
      </c>
      <c r="AW6" s="24" t="str">
        <f ca="1">IF(LEN($A6)&gt;0,IF(AND(ISNUMBER(VLOOKUP($A6,Rezepte,MATCH(Produktionsmenge!AW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AW$5,Rezepte!$5:$5,0),0),""),"")</f>
        <v/>
      </c>
      <c r="AX6" s="24" t="str">
        <f ca="1">IF(LEN($A6)&gt;0,IF(AND(ISNUMBER(VLOOKUP($A6,Rezepte,MATCH(Produktionsmenge!AX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AX$5,Rezepte!$5:$5,0),0),""),"")</f>
        <v/>
      </c>
      <c r="AY6" s="24" t="str">
        <f ca="1">IF(LEN($A6)&gt;0,IF(AND(ISNUMBER(VLOOKUP($A6,Rezepte,MATCH(Produktionsmenge!AY$5,Rezepte!$5:$5,0),0)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&gt;0),SUM(OFFSET(Bestellungen!$A$5,1,MATCH(IF(ISNUMBER(SEARCH("(",$A6)),LEFT($A6,SEARCH("(",$A6)-2),$A6),Bestellungen!$A$5:$AJ$5,0)-1):OFFSET(Bestellungen!$A$5,COUNTA(Bestellungen!$A$6:$A$1048576),MATCH(IF(ISNUMBER(SEARCH("(",$A6)),LEFT($A6,SEARCH("(",$A6)-2),$A6),Bestellungen!$A$5:$AJ$5,0)-1))*VLOOKUP($A6,Rezepte,MATCH(Produktionsmenge!AY$5,Rezepte!$5:$5,0),0),""),"")</f>
        <v/>
      </c>
    </row>
    <row r="7" spans="1:51" x14ac:dyDescent="0.25">
      <c r="A7" t="str">
        <f t="array" ref="A7">IFERROR(INDEX(Rezepte!$A$6:$A$100,MATCH(1,(COUNTIF(A$6:A6,Rezepte!A$6:A$100)=0)*(Rezepte!A$6:A$100&lt;&gt;""),0)),"")</f>
        <v>Mischbrot</v>
      </c>
      <c r="B7" s="24">
        <f ca="1">IF(LEN($A7)&gt;0,IF(AND(ISNUMBER(VLOOKUP($A7,Rezepte,MATCH(Produktionsmenge!B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B$5,Rezepte!$5:$5,0),0),""),"")</f>
        <v>2956.3636363636365</v>
      </c>
      <c r="C7" s="24">
        <f ca="1">IF(LEN($A7)&gt;0,IF(AND(ISNUMBER(VLOOKUP($A7,Rezepte,MATCH(Produktionsmenge!C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C$5,Rezepte!$5:$5,0),0),""),"")</f>
        <v>1921.6363636363635</v>
      </c>
      <c r="D7" s="24" t="str">
        <f ca="1">IF(LEN($A7)&gt;0,IF(AND(ISNUMBER(VLOOKUP($A7,Rezepte,MATCH(Produktionsmenge!D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D$5,Rezepte!$5:$5,0),0),""),"")</f>
        <v/>
      </c>
      <c r="E7" s="24">
        <f ca="1">IF(LEN($A7)&gt;0,IF(AND(ISNUMBER(VLOOKUP($A7,Rezepte,MATCH(Produktionsmenge!E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E$5,Rezepte!$5:$5,0),0),""),"")</f>
        <v>2956.3636363636365</v>
      </c>
      <c r="F7" s="24">
        <f ca="1">IF(LEN($A7)&gt;0,IF(AND(ISNUMBER(VLOOKUP($A7,Rezepte,MATCH(Produktionsmenge!F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F$5,Rezepte!$5:$5,0),0),""),"")</f>
        <v>1773.8181818181818</v>
      </c>
      <c r="G7" s="24">
        <f ca="1">IF(LEN($A7)&gt;0,IF(AND(ISNUMBER(VLOOKUP($A7,Rezepte,MATCH(Produktionsmenge!G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G$5,Rezepte!$5:$5,0),0),""),"")</f>
        <v>1182.5454545454547</v>
      </c>
      <c r="H7" s="24">
        <f ca="1">IF(LEN($A7)&gt;0,IF(AND(ISNUMBER(VLOOKUP($A7,Rezepte,MATCH(Produktionsmenge!H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H$5,Rezepte!$5:$5,0),0),""),"")</f>
        <v>567.62181818181807</v>
      </c>
      <c r="I7" s="24">
        <f ca="1">IF(LEN($A7)&gt;0,IF(AND(ISNUMBER(VLOOKUP($A7,Rezepte,MATCH(Produktionsmenge!I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I$5,Rezepte!$5:$5,0),0),""),"")</f>
        <v>567.62181818181807</v>
      </c>
      <c r="J7" s="24">
        <f ca="1">IF(LEN($A7)&gt;0,IF(AND(ISNUMBER(VLOOKUP($A7,Rezepte,MATCH(Produktionsmenge!J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J$5,Rezepte!$5:$5,0),0),""),"")</f>
        <v>1773.8181818181818</v>
      </c>
      <c r="K7" s="24">
        <f ca="1">IF(LEN($A7)&gt;0,IF(AND(ISNUMBER(VLOOKUP($A7,Rezepte,MATCH(Produktionsmenge!K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K$5,Rezepte!$5:$5,0),0),""),"")</f>
        <v>1064.2909090909091</v>
      </c>
      <c r="L7" s="24">
        <f ca="1">IF(LEN($A7)&gt;0,IF(AND(ISNUMBER(VLOOKUP($A7,Rezepte,MATCH(Produktionsmenge!L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L$5,Rezepte!$5:$5,0),0),""),"")</f>
        <v>709.52727272727259</v>
      </c>
      <c r="M7" s="24">
        <f ca="1">IF(LEN($A7)&gt;0,IF(AND(ISNUMBER(VLOOKUP($A7,Rezepte,MATCH(Produktionsmenge!M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M$5,Rezepte!$5:$5,0),0),""),"")</f>
        <v>103.47272727272727</v>
      </c>
      <c r="N7" s="24">
        <f ca="1">IF(LEN($A7)&gt;0,IF(AND(ISNUMBER(VLOOKUP($A7,Rezepte,MATCH(Produktionsmenge!N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N$5,Rezepte!$5:$5,0),0),""),"")</f>
        <v>118.25454545454546</v>
      </c>
      <c r="O7" s="24" t="str">
        <f ca="1">IF(LEN($A7)&gt;0,IF(AND(ISNUMBER(VLOOKUP($A7,Rezepte,MATCH(Produktionsmenge!O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O$5,Rezepte!$5:$5,0),0),""),"")</f>
        <v/>
      </c>
      <c r="P7" s="24" t="str">
        <f ca="1">IF(LEN($A7)&gt;0,IF(AND(ISNUMBER(VLOOKUP($A7,Rezepte,MATCH(Produktionsmenge!P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P$5,Rezepte!$5:$5,0),0),""),"")</f>
        <v/>
      </c>
      <c r="Q7" s="24" t="str">
        <f ca="1">IF(LEN($A7)&gt;0,IF(AND(ISNUMBER(VLOOKUP($A7,Rezepte,MATCH(Produktionsmenge!Q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Q$5,Rezepte!$5:$5,0),0),""),"")</f>
        <v/>
      </c>
      <c r="R7" s="24" t="str">
        <f ca="1">IF(LEN($A7)&gt;0,IF(AND(ISNUMBER(VLOOKUP($A7,Rezepte,MATCH(Produktionsmenge!R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R$5,Rezepte!$5:$5,0),0),""),"")</f>
        <v/>
      </c>
      <c r="S7" s="24" t="str">
        <f ca="1">IF(LEN($A7)&gt;0,IF(AND(ISNUMBER(VLOOKUP($A7,Rezepte,MATCH(Produktionsmenge!S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S$5,Rezepte!$5:$5,0),0),""),"")</f>
        <v/>
      </c>
      <c r="T7" s="24" t="str">
        <f ca="1">IF(LEN($A7)&gt;0,IF(AND(ISNUMBER(VLOOKUP($A7,Rezepte,MATCH(Produktionsmenge!T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T$5,Rezepte!$5:$5,0),0),""),"")</f>
        <v/>
      </c>
      <c r="U7" s="24" t="str">
        <f ca="1">IF(LEN($A7)&gt;0,IF(AND(ISNUMBER(VLOOKUP($A7,Rezepte,MATCH(Produktionsmenge!U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U$5,Rezepte!$5:$5,0),0),""),"")</f>
        <v/>
      </c>
      <c r="V7" s="24" t="str">
        <f ca="1">IF(LEN($A7)&gt;0,IF(AND(ISNUMBER(VLOOKUP($A7,Rezepte,MATCH(Produktionsmenge!V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V$5,Rezepte!$5:$5,0),0),""),"")</f>
        <v/>
      </c>
      <c r="W7" s="24" t="str">
        <f ca="1">IF(LEN($A7)&gt;0,IF(AND(ISNUMBER(VLOOKUP($A7,Rezepte,MATCH(Produktionsmenge!W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W$5,Rezepte!$5:$5,0),0),""),"")</f>
        <v/>
      </c>
      <c r="X7" s="24" t="str">
        <f ca="1">IF(LEN($A7)&gt;0,IF(AND(ISNUMBER(VLOOKUP($A7,Rezepte,MATCH(Produktionsmenge!X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X$5,Rezepte!$5:$5,0),0),""),"")</f>
        <v/>
      </c>
      <c r="Y7" s="24" t="str">
        <f ca="1">IF(LEN($A7)&gt;0,IF(AND(ISNUMBER(VLOOKUP($A7,Rezepte,MATCH(Produktionsmenge!Y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Y$5,Rezepte!$5:$5,0),0),""),"")</f>
        <v/>
      </c>
      <c r="Z7" s="24" t="str">
        <f ca="1">IF(LEN($A7)&gt;0,IF(AND(ISNUMBER(VLOOKUP($A7,Rezepte,MATCH(Produktionsmenge!Z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Z$5,Rezepte!$5:$5,0),0),""),"")</f>
        <v/>
      </c>
      <c r="AA7" s="24" t="str">
        <f ca="1">IF(LEN($A7)&gt;0,IF(AND(ISNUMBER(VLOOKUP($A7,Rezepte,MATCH(Produktionsmenge!AA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AA$5,Rezepte!$5:$5,0),0),""),"")</f>
        <v/>
      </c>
      <c r="AB7" s="24" t="str">
        <f ca="1">IF(LEN($A7)&gt;0,IF(AND(ISNUMBER(VLOOKUP($A7,Rezepte,MATCH(Produktionsmenge!AB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AB$5,Rezepte!$5:$5,0),0),""),"")</f>
        <v/>
      </c>
      <c r="AC7" s="24" t="str">
        <f ca="1">IF(LEN($A7)&gt;0,IF(AND(ISNUMBER(VLOOKUP($A7,Rezepte,MATCH(Produktionsmenge!AC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AC$5,Rezepte!$5:$5,0),0),""),"")</f>
        <v/>
      </c>
      <c r="AD7" s="24" t="str">
        <f ca="1">IF(LEN($A7)&gt;0,IF(AND(ISNUMBER(VLOOKUP($A7,Rezepte,MATCH(Produktionsmenge!AD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AD$5,Rezepte!$5:$5,0),0),""),"")</f>
        <v/>
      </c>
      <c r="AE7" s="24" t="str">
        <f ca="1">IF(LEN($A7)&gt;0,IF(AND(ISNUMBER(VLOOKUP($A7,Rezepte,MATCH(Produktionsmenge!AE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AE$5,Rezepte!$5:$5,0),0),""),"")</f>
        <v/>
      </c>
      <c r="AF7" s="24" t="str">
        <f ca="1">IF(LEN($A7)&gt;0,IF(AND(ISNUMBER(VLOOKUP($A7,Rezepte,MATCH(Produktionsmenge!AF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AF$5,Rezepte!$5:$5,0),0),""),"")</f>
        <v/>
      </c>
      <c r="AG7" s="24" t="str">
        <f ca="1">IF(LEN($A7)&gt;0,IF(AND(ISNUMBER(VLOOKUP($A7,Rezepte,MATCH(Produktionsmenge!AG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AG$5,Rezepte!$5:$5,0),0),""),"")</f>
        <v/>
      </c>
      <c r="AH7" s="24" t="str">
        <f ca="1">IF(LEN($A7)&gt;0,IF(AND(ISNUMBER(VLOOKUP($A7,Rezepte,MATCH(Produktionsmenge!AH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AH$5,Rezepte!$5:$5,0),0),""),"")</f>
        <v/>
      </c>
      <c r="AI7" s="24" t="str">
        <f ca="1">IF(LEN($A7)&gt;0,IF(AND(ISNUMBER(VLOOKUP($A7,Rezepte,MATCH(Produktionsmenge!AI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AI$5,Rezepte!$5:$5,0),0),""),"")</f>
        <v/>
      </c>
      <c r="AJ7" s="24">
        <f ca="1">IF(LEN($A7)&gt;0,IF(AND(ISNUMBER(VLOOKUP($A7,Rezepte,MATCH(Produktionsmenge!AJ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AJ$5,Rezepte!$5:$5,0),0),""),"")</f>
        <v>5099.727272727273</v>
      </c>
      <c r="AK7" s="24" t="str">
        <f ca="1">IF(LEN($A7)&gt;0,IF(AND(ISNUMBER(VLOOKUP($A7,Rezepte,MATCH(Produktionsmenge!AK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AK$5,Rezepte!$5:$5,0),0),""),"")</f>
        <v/>
      </c>
      <c r="AL7" s="24" t="str">
        <f ca="1">IF(LEN($A7)&gt;0,IF(AND(ISNUMBER(VLOOKUP($A7,Rezepte,MATCH(Produktionsmenge!AL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AL$5,Rezepte!$5:$5,0),0),""),"")</f>
        <v/>
      </c>
      <c r="AM7" s="24" t="str">
        <f ca="1">IF(LEN($A7)&gt;0,IF(AND(ISNUMBER(VLOOKUP($A7,Rezepte,MATCH(Produktionsmenge!AM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AM$5,Rezepte!$5:$5,0),0),""),"")</f>
        <v/>
      </c>
      <c r="AN7" s="24" t="str">
        <f ca="1">IF(LEN($A7)&gt;0,IF(AND(ISNUMBER(VLOOKUP($A7,Rezepte,MATCH(Produktionsmenge!AN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AN$5,Rezepte!$5:$5,0),0),""),"")</f>
        <v/>
      </c>
      <c r="AO7" s="24" t="str">
        <f ca="1">IF(LEN($A7)&gt;0,IF(AND(ISNUMBER(VLOOKUP($A7,Rezepte,MATCH(Produktionsmenge!AO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AO$5,Rezepte!$5:$5,0),0),""),"")</f>
        <v/>
      </c>
      <c r="AP7" s="24" t="str">
        <f ca="1">IF(LEN($A7)&gt;0,IF(AND(ISNUMBER(VLOOKUP($A7,Rezepte,MATCH(Produktionsmenge!AP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AP$5,Rezepte!$5:$5,0),0),""),"")</f>
        <v/>
      </c>
      <c r="AQ7" s="24" t="str">
        <f ca="1">IF(LEN($A7)&gt;0,IF(AND(ISNUMBER(VLOOKUP($A7,Rezepte,MATCH(Produktionsmenge!AQ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AQ$5,Rezepte!$5:$5,0),0),""),"")</f>
        <v/>
      </c>
      <c r="AR7" s="24" t="str">
        <f ca="1">IF(LEN($A7)&gt;0,IF(AND(ISNUMBER(VLOOKUP($A7,Rezepte,MATCH(Produktionsmenge!AR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AR$5,Rezepte!$5:$5,0),0),""),"")</f>
        <v/>
      </c>
      <c r="AS7" s="24" t="str">
        <f ca="1">IF(LEN($A7)&gt;0,IF(AND(ISNUMBER(VLOOKUP($A7,Rezepte,MATCH(Produktionsmenge!AS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AS$5,Rezepte!$5:$5,0),0),""),"")</f>
        <v/>
      </c>
      <c r="AT7" s="24" t="str">
        <f ca="1">IF(LEN($A7)&gt;0,IF(AND(ISNUMBER(VLOOKUP($A7,Rezepte,MATCH(Produktionsmenge!AT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AT$5,Rezepte!$5:$5,0),0),""),"")</f>
        <v/>
      </c>
      <c r="AU7" s="24" t="str">
        <f ca="1">IF(LEN($A7)&gt;0,IF(AND(ISNUMBER(VLOOKUP($A7,Rezepte,MATCH(Produktionsmenge!AU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AU$5,Rezepte!$5:$5,0),0),""),"")</f>
        <v/>
      </c>
      <c r="AV7" s="24" t="str">
        <f ca="1">IF(LEN($A7)&gt;0,IF(AND(ISNUMBER(VLOOKUP($A7,Rezepte,MATCH(Produktionsmenge!AV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AV$5,Rezepte!$5:$5,0),0),""),"")</f>
        <v/>
      </c>
      <c r="AW7" s="24" t="str">
        <f ca="1">IF(LEN($A7)&gt;0,IF(AND(ISNUMBER(VLOOKUP($A7,Rezepte,MATCH(Produktionsmenge!AW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AW$5,Rezepte!$5:$5,0),0),""),"")</f>
        <v/>
      </c>
      <c r="AX7" s="24" t="str">
        <f ca="1">IF(LEN($A7)&gt;0,IF(AND(ISNUMBER(VLOOKUP($A7,Rezepte,MATCH(Produktionsmenge!AX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AX$5,Rezepte!$5:$5,0),0),""),"")</f>
        <v/>
      </c>
      <c r="AY7" s="24" t="str">
        <f ca="1">IF(LEN($A7)&gt;0,IF(AND(ISNUMBER(VLOOKUP($A7,Rezepte,MATCH(Produktionsmenge!AY$5,Rezepte!$5:$5,0),0)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&gt;0),SUM(OFFSET(Bestellungen!$A$5,1,MATCH(IF(ISNUMBER(SEARCH("(",$A7)),LEFT($A7,SEARCH("(",$A7)-2),$A7),Bestellungen!$A$5:$AJ$5,0)-1):OFFSET(Bestellungen!$A$5,COUNTA(Bestellungen!$A$6:$A$1048576),MATCH(IF(ISNUMBER(SEARCH("(",$A7)),LEFT($A7,SEARCH("(",$A7)-2),$A7),Bestellungen!$A$5:$AJ$5,0)-1))*VLOOKUP($A7,Rezepte,MATCH(Produktionsmenge!AY$5,Rezepte!$5:$5,0),0),""),"")</f>
        <v/>
      </c>
    </row>
    <row r="8" spans="1:51" x14ac:dyDescent="0.25">
      <c r="A8" t="str">
        <f t="array" ref="A8">IFERROR(INDEX(Rezepte!$A$6:$A$100,MATCH(1,(COUNTIF(A$6:A7,Rezepte!A$6:A$100)=0)*(Rezepte!A$6:A$100&lt;&gt;""),0)),"")</f>
        <v>Roggenbrot</v>
      </c>
      <c r="B8" s="24">
        <f ca="1">IF(LEN($A8)&gt;0,IF(AND(ISNUMBER(VLOOKUP($A8,Rezepte,MATCH(Produktionsmenge!B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B$5,Rezepte!$5:$5,0),0),""),"")</f>
        <v>3876.1904761904761</v>
      </c>
      <c r="C8" s="24">
        <f ca="1">IF(LEN($A8)&gt;0,IF(AND(ISNUMBER(VLOOKUP($A8,Rezepte,MATCH(Produktionsmenge!C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C$5,Rezepte!$5:$5,0),0),""),"")</f>
        <v>2635.8095238095239</v>
      </c>
      <c r="D8" s="24" t="str">
        <f ca="1">IF(LEN($A8)&gt;0,IF(AND(ISNUMBER(VLOOKUP($A8,Rezepte,MATCH(Produktionsmenge!D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D$5,Rezepte!$5:$5,0),0),""),"")</f>
        <v/>
      </c>
      <c r="E8" s="24">
        <f ca="1">IF(LEN($A8)&gt;0,IF(AND(ISNUMBER(VLOOKUP($A8,Rezepte,MATCH(Produktionsmenge!E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E$5,Rezepte!$5:$5,0),0),""),"")</f>
        <v>3876.1904761904761</v>
      </c>
      <c r="F8" s="24" t="str">
        <f ca="1">IF(LEN($A8)&gt;0,IF(AND(ISNUMBER(VLOOKUP($A8,Rezepte,MATCH(Produktionsmenge!F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F$5,Rezepte!$5:$5,0),0),""),"")</f>
        <v/>
      </c>
      <c r="G8" s="24" t="str">
        <f ca="1">IF(LEN($A8)&gt;0,IF(AND(ISNUMBER(VLOOKUP($A8,Rezepte,MATCH(Produktionsmenge!G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G$5,Rezepte!$5:$5,0),0),""),"")</f>
        <v/>
      </c>
      <c r="H8" s="24">
        <f ca="1">IF(LEN($A8)&gt;0,IF(AND(ISNUMBER(VLOOKUP($A8,Rezepte,MATCH(Produktionsmenge!H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H$5,Rezepte!$5:$5,0),0),""),"")</f>
        <v>1612.4952380952382</v>
      </c>
      <c r="I8" s="24">
        <f ca="1">IF(LEN($A8)&gt;0,IF(AND(ISNUMBER(VLOOKUP($A8,Rezepte,MATCH(Produktionsmenge!I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I$5,Rezepte!$5:$5,0),0),""),"")</f>
        <v>1612.4952380952382</v>
      </c>
      <c r="J8" s="24" t="str">
        <f ca="1">IF(LEN($A8)&gt;0,IF(AND(ISNUMBER(VLOOKUP($A8,Rezepte,MATCH(Produktionsmenge!J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J$5,Rezepte!$5:$5,0),0),""),"")</f>
        <v/>
      </c>
      <c r="K8" s="24">
        <f ca="1">IF(LEN($A8)&gt;0,IF(AND(ISNUMBER(VLOOKUP($A8,Rezepte,MATCH(Produktionsmenge!K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K$5,Rezepte!$5:$5,0),0),""),"")</f>
        <v>1860.5714285714284</v>
      </c>
      <c r="L8" s="24">
        <f ca="1">IF(LEN($A8)&gt;0,IF(AND(ISNUMBER(VLOOKUP($A8,Rezepte,MATCH(Produktionsmenge!L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L$5,Rezepte!$5:$5,0),0),""),"")</f>
        <v>2015.6190476190477</v>
      </c>
      <c r="M8" s="24">
        <f ca="1">IF(LEN($A8)&gt;0,IF(AND(ISNUMBER(VLOOKUP($A8,Rezepte,MATCH(Produktionsmenge!M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M$5,Rezepte!$5:$5,0),0),""),"")</f>
        <v>135.66666666666666</v>
      </c>
      <c r="N8" s="24">
        <f ca="1">IF(LEN($A8)&gt;0,IF(AND(ISNUMBER(VLOOKUP($A8,Rezepte,MATCH(Produktionsmenge!N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N$5,Rezepte!$5:$5,0),0),""),"")</f>
        <v>155.04761904761904</v>
      </c>
      <c r="O8" s="24" t="str">
        <f ca="1">IF(LEN($A8)&gt;0,IF(AND(ISNUMBER(VLOOKUP($A8,Rezepte,MATCH(Produktionsmenge!O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O$5,Rezepte!$5:$5,0),0),""),"")</f>
        <v/>
      </c>
      <c r="P8" s="24" t="str">
        <f ca="1">IF(LEN($A8)&gt;0,IF(AND(ISNUMBER(VLOOKUP($A8,Rezepte,MATCH(Produktionsmenge!P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P$5,Rezepte!$5:$5,0),0),""),"")</f>
        <v/>
      </c>
      <c r="Q8" s="24" t="str">
        <f ca="1">IF(LEN($A8)&gt;0,IF(AND(ISNUMBER(VLOOKUP($A8,Rezepte,MATCH(Produktionsmenge!Q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Q$5,Rezepte!$5:$5,0),0),""),"")</f>
        <v/>
      </c>
      <c r="R8" s="24" t="str">
        <f ca="1">IF(LEN($A8)&gt;0,IF(AND(ISNUMBER(VLOOKUP($A8,Rezepte,MATCH(Produktionsmenge!R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R$5,Rezepte!$5:$5,0),0),""),"")</f>
        <v/>
      </c>
      <c r="S8" s="24" t="str">
        <f ca="1">IF(LEN($A8)&gt;0,IF(AND(ISNUMBER(VLOOKUP($A8,Rezepte,MATCH(Produktionsmenge!S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S$5,Rezepte!$5:$5,0),0),""),"")</f>
        <v/>
      </c>
      <c r="T8" s="24" t="str">
        <f ca="1">IF(LEN($A8)&gt;0,IF(AND(ISNUMBER(VLOOKUP($A8,Rezepte,MATCH(Produktionsmenge!T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T$5,Rezepte!$5:$5,0),0),""),"")</f>
        <v/>
      </c>
      <c r="U8" s="24" t="str">
        <f ca="1">IF(LEN($A8)&gt;0,IF(AND(ISNUMBER(VLOOKUP($A8,Rezepte,MATCH(Produktionsmenge!U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U$5,Rezepte!$5:$5,0),0),""),"")</f>
        <v/>
      </c>
      <c r="V8" s="24" t="str">
        <f ca="1">IF(LEN($A8)&gt;0,IF(AND(ISNUMBER(VLOOKUP($A8,Rezepte,MATCH(Produktionsmenge!V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V$5,Rezepte!$5:$5,0),0),""),"")</f>
        <v/>
      </c>
      <c r="W8" s="24" t="str">
        <f ca="1">IF(LEN($A8)&gt;0,IF(AND(ISNUMBER(VLOOKUP($A8,Rezepte,MATCH(Produktionsmenge!W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W$5,Rezepte!$5:$5,0),0),""),"")</f>
        <v/>
      </c>
      <c r="X8" s="24" t="str">
        <f ca="1">IF(LEN($A8)&gt;0,IF(AND(ISNUMBER(VLOOKUP($A8,Rezepte,MATCH(Produktionsmenge!X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X$5,Rezepte!$5:$5,0),0),""),"")</f>
        <v/>
      </c>
      <c r="Y8" s="24" t="str">
        <f ca="1">IF(LEN($A8)&gt;0,IF(AND(ISNUMBER(VLOOKUP($A8,Rezepte,MATCH(Produktionsmenge!Y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Y$5,Rezepte!$5:$5,0),0),""),"")</f>
        <v/>
      </c>
      <c r="Z8" s="24" t="str">
        <f ca="1">IF(LEN($A8)&gt;0,IF(AND(ISNUMBER(VLOOKUP($A8,Rezepte,MATCH(Produktionsmenge!Z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Z$5,Rezepte!$5:$5,0),0),""),"")</f>
        <v/>
      </c>
      <c r="AA8" s="24" t="str">
        <f ca="1">IF(LEN($A8)&gt;0,IF(AND(ISNUMBER(VLOOKUP($A8,Rezepte,MATCH(Produktionsmenge!AA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AA$5,Rezepte!$5:$5,0),0),""),"")</f>
        <v/>
      </c>
      <c r="AB8" s="24" t="str">
        <f ca="1">IF(LEN($A8)&gt;0,IF(AND(ISNUMBER(VLOOKUP($A8,Rezepte,MATCH(Produktionsmenge!AB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AB$5,Rezepte!$5:$5,0),0),""),"")</f>
        <v/>
      </c>
      <c r="AC8" s="24" t="str">
        <f ca="1">IF(LEN($A8)&gt;0,IF(AND(ISNUMBER(VLOOKUP($A8,Rezepte,MATCH(Produktionsmenge!AC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AC$5,Rezepte!$5:$5,0),0),""),"")</f>
        <v/>
      </c>
      <c r="AD8" s="24" t="str">
        <f ca="1">IF(LEN($A8)&gt;0,IF(AND(ISNUMBER(VLOOKUP($A8,Rezepte,MATCH(Produktionsmenge!AD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AD$5,Rezepte!$5:$5,0),0),""),"")</f>
        <v/>
      </c>
      <c r="AE8" s="24" t="str">
        <f ca="1">IF(LEN($A8)&gt;0,IF(AND(ISNUMBER(VLOOKUP($A8,Rezepte,MATCH(Produktionsmenge!AE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AE$5,Rezepte!$5:$5,0),0),""),"")</f>
        <v/>
      </c>
      <c r="AF8" s="24" t="str">
        <f ca="1">IF(LEN($A8)&gt;0,IF(AND(ISNUMBER(VLOOKUP($A8,Rezepte,MATCH(Produktionsmenge!AF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AF$5,Rezepte!$5:$5,0),0),""),"")</f>
        <v/>
      </c>
      <c r="AG8" s="24" t="str">
        <f ca="1">IF(LEN($A8)&gt;0,IF(AND(ISNUMBER(VLOOKUP($A8,Rezepte,MATCH(Produktionsmenge!AG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AG$5,Rezepte!$5:$5,0),0),""),"")</f>
        <v/>
      </c>
      <c r="AH8" s="24" t="str">
        <f ca="1">IF(LEN($A8)&gt;0,IF(AND(ISNUMBER(VLOOKUP($A8,Rezepte,MATCH(Produktionsmenge!AH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AH$5,Rezepte!$5:$5,0),0),""),"")</f>
        <v/>
      </c>
      <c r="AI8" s="24" t="str">
        <f ca="1">IF(LEN($A8)&gt;0,IF(AND(ISNUMBER(VLOOKUP($A8,Rezepte,MATCH(Produktionsmenge!AI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AI$5,Rezepte!$5:$5,0),0),""),"")</f>
        <v/>
      </c>
      <c r="AJ8" s="24">
        <f ca="1">IF(LEN($A8)&gt;0,IF(AND(ISNUMBER(VLOOKUP($A8,Rezepte,MATCH(Produktionsmenge!AJ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AJ$5,Rezepte!$5:$5,0),0),""),"")</f>
        <v>6802.7142857142862</v>
      </c>
      <c r="AK8" s="24" t="str">
        <f ca="1">IF(LEN($A8)&gt;0,IF(AND(ISNUMBER(VLOOKUP($A8,Rezepte,MATCH(Produktionsmenge!AK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AK$5,Rezepte!$5:$5,0),0),""),"")</f>
        <v/>
      </c>
      <c r="AL8" s="24" t="str">
        <f ca="1">IF(LEN($A8)&gt;0,IF(AND(ISNUMBER(VLOOKUP($A8,Rezepte,MATCH(Produktionsmenge!AL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AL$5,Rezepte!$5:$5,0),0),""),"")</f>
        <v/>
      </c>
      <c r="AM8" s="24" t="str">
        <f ca="1">IF(LEN($A8)&gt;0,IF(AND(ISNUMBER(VLOOKUP($A8,Rezepte,MATCH(Produktionsmenge!AM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AM$5,Rezepte!$5:$5,0),0),""),"")</f>
        <v/>
      </c>
      <c r="AN8" s="24" t="str">
        <f ca="1">IF(LEN($A8)&gt;0,IF(AND(ISNUMBER(VLOOKUP($A8,Rezepte,MATCH(Produktionsmenge!AN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AN$5,Rezepte!$5:$5,0),0),""),"")</f>
        <v/>
      </c>
      <c r="AO8" s="24" t="str">
        <f ca="1">IF(LEN($A8)&gt;0,IF(AND(ISNUMBER(VLOOKUP($A8,Rezepte,MATCH(Produktionsmenge!AO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AO$5,Rezepte!$5:$5,0),0),""),"")</f>
        <v/>
      </c>
      <c r="AP8" s="24" t="str">
        <f ca="1">IF(LEN($A8)&gt;0,IF(AND(ISNUMBER(VLOOKUP($A8,Rezepte,MATCH(Produktionsmenge!AP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AP$5,Rezepte!$5:$5,0),0),""),"")</f>
        <v/>
      </c>
      <c r="AQ8" s="24" t="str">
        <f ca="1">IF(LEN($A8)&gt;0,IF(AND(ISNUMBER(VLOOKUP($A8,Rezepte,MATCH(Produktionsmenge!AQ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AQ$5,Rezepte!$5:$5,0),0),""),"")</f>
        <v/>
      </c>
      <c r="AR8" s="24" t="str">
        <f ca="1">IF(LEN($A8)&gt;0,IF(AND(ISNUMBER(VLOOKUP($A8,Rezepte,MATCH(Produktionsmenge!AR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AR$5,Rezepte!$5:$5,0),0),""),"")</f>
        <v/>
      </c>
      <c r="AS8" s="24" t="str">
        <f ca="1">IF(LEN($A8)&gt;0,IF(AND(ISNUMBER(VLOOKUP($A8,Rezepte,MATCH(Produktionsmenge!AS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AS$5,Rezepte!$5:$5,0),0),""),"")</f>
        <v/>
      </c>
      <c r="AT8" s="24" t="str">
        <f ca="1">IF(LEN($A8)&gt;0,IF(AND(ISNUMBER(VLOOKUP($A8,Rezepte,MATCH(Produktionsmenge!AT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AT$5,Rezepte!$5:$5,0),0),""),"")</f>
        <v/>
      </c>
      <c r="AU8" s="24" t="str">
        <f ca="1">IF(LEN($A8)&gt;0,IF(AND(ISNUMBER(VLOOKUP($A8,Rezepte,MATCH(Produktionsmenge!AU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AU$5,Rezepte!$5:$5,0),0),""),"")</f>
        <v/>
      </c>
      <c r="AV8" s="24" t="str">
        <f ca="1">IF(LEN($A8)&gt;0,IF(AND(ISNUMBER(VLOOKUP($A8,Rezepte,MATCH(Produktionsmenge!AV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AV$5,Rezepte!$5:$5,0),0),""),"")</f>
        <v/>
      </c>
      <c r="AW8" s="24" t="str">
        <f ca="1">IF(LEN($A8)&gt;0,IF(AND(ISNUMBER(VLOOKUP($A8,Rezepte,MATCH(Produktionsmenge!AW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AW$5,Rezepte!$5:$5,0),0),""),"")</f>
        <v/>
      </c>
      <c r="AX8" s="24" t="str">
        <f ca="1">IF(LEN($A8)&gt;0,IF(AND(ISNUMBER(VLOOKUP($A8,Rezepte,MATCH(Produktionsmenge!AX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AX$5,Rezepte!$5:$5,0),0),""),"")</f>
        <v/>
      </c>
      <c r="AY8" s="24" t="str">
        <f ca="1">IF(LEN($A8)&gt;0,IF(AND(ISNUMBER(VLOOKUP($A8,Rezepte,MATCH(Produktionsmenge!AY$5,Rezepte!$5:$5,0),0)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&gt;0),SUM(OFFSET(Bestellungen!$A$5,1,MATCH(IF(ISNUMBER(SEARCH("(",$A8)),LEFT($A8,SEARCH("(",$A8)-2),$A8),Bestellungen!$A$5:$AJ$5,0)-1):OFFSET(Bestellungen!$A$5,COUNTA(Bestellungen!$A$6:$A$1048576),MATCH(IF(ISNUMBER(SEARCH("(",$A8)),LEFT($A8,SEARCH("(",$A8)-2),$A8),Bestellungen!$A$5:$AJ$5,0)-1))*VLOOKUP($A8,Rezepte,MATCH(Produktionsmenge!AY$5,Rezepte!$5:$5,0),0),""),"")</f>
        <v/>
      </c>
    </row>
    <row r="9" spans="1:51" x14ac:dyDescent="0.25">
      <c r="A9" t="str">
        <f t="array" ref="A9">IFERROR(INDEX(Rezepte!$A$6:$A$100,MATCH(1,(COUNTIF(A$6:A8,Rezepte!A$6:A$100)=0)*(Rezepte!A$6:A$100&lt;&gt;""),0)),"")</f>
        <v>Speckbrot</v>
      </c>
      <c r="B9" s="24">
        <f ca="1">IF(LEN($A9)&gt;0,IF(AND(ISNUMBER(VLOOKUP($A9,Rezepte,MATCH(Produktionsmenge!B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B$5,Rezepte!$5:$5,0),0),""),"")</f>
        <v>1436.3636363636365</v>
      </c>
      <c r="C9" s="24">
        <f ca="1">IF(LEN($A9)&gt;0,IF(AND(ISNUMBER(VLOOKUP($A9,Rezepte,MATCH(Produktionsmenge!C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C$5,Rezepte!$5:$5,0),0),""),"")</f>
        <v>933.63636363636351</v>
      </c>
      <c r="D9" s="24" t="str">
        <f ca="1">IF(LEN($A9)&gt;0,IF(AND(ISNUMBER(VLOOKUP($A9,Rezepte,MATCH(Produktionsmenge!D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D$5,Rezepte!$5:$5,0),0),""),"")</f>
        <v/>
      </c>
      <c r="E9" s="24">
        <f ca="1">IF(LEN($A9)&gt;0,IF(AND(ISNUMBER(VLOOKUP($A9,Rezepte,MATCH(Produktionsmenge!E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E$5,Rezepte!$5:$5,0),0),""),"")</f>
        <v>1436.3636363636365</v>
      </c>
      <c r="F9" s="24">
        <f ca="1">IF(LEN($A9)&gt;0,IF(AND(ISNUMBER(VLOOKUP($A9,Rezepte,MATCH(Produktionsmenge!F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F$5,Rezepte!$5:$5,0),0),""),"")</f>
        <v>861.81818181818176</v>
      </c>
      <c r="G9" s="24">
        <f ca="1">IF(LEN($A9)&gt;0,IF(AND(ISNUMBER(VLOOKUP($A9,Rezepte,MATCH(Produktionsmenge!G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G$5,Rezepte!$5:$5,0),0),""),"")</f>
        <v>574.54545454545462</v>
      </c>
      <c r="H9" s="24">
        <f ca="1">IF(LEN($A9)&gt;0,IF(AND(ISNUMBER(VLOOKUP($A9,Rezepte,MATCH(Produktionsmenge!H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H$5,Rezepte!$5:$5,0),0),""),"")</f>
        <v>276</v>
      </c>
      <c r="I9" s="24">
        <f ca="1">IF(LEN($A9)&gt;0,IF(AND(ISNUMBER(VLOOKUP($A9,Rezepte,MATCH(Produktionsmenge!I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I$5,Rezepte!$5:$5,0),0),""),"")</f>
        <v>276</v>
      </c>
      <c r="J9" s="24">
        <f ca="1">IF(LEN($A9)&gt;0,IF(AND(ISNUMBER(VLOOKUP($A9,Rezepte,MATCH(Produktionsmenge!J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J$5,Rezepte!$5:$5,0),0),""),"")</f>
        <v>861.81818181818176</v>
      </c>
      <c r="K9" s="24">
        <f ca="1">IF(LEN($A9)&gt;0,IF(AND(ISNUMBER(VLOOKUP($A9,Rezepte,MATCH(Produktionsmenge!K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K$5,Rezepte!$5:$5,0),0),""),"")</f>
        <v>517.09090909090912</v>
      </c>
      <c r="L9" s="24">
        <f ca="1">IF(LEN($A9)&gt;0,IF(AND(ISNUMBER(VLOOKUP($A9,Rezepte,MATCH(Produktionsmenge!L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L$5,Rezepte!$5:$5,0),0),""),"")</f>
        <v>345</v>
      </c>
      <c r="M9" s="24">
        <f ca="1">IF(LEN($A9)&gt;0,IF(AND(ISNUMBER(VLOOKUP($A9,Rezepte,MATCH(Produktionsmenge!M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M$5,Rezepte!$5:$5,0),0),""),"")</f>
        <v>50.272727272727273</v>
      </c>
      <c r="N9" s="24">
        <f ca="1">IF(LEN($A9)&gt;0,IF(AND(ISNUMBER(VLOOKUP($A9,Rezepte,MATCH(Produktionsmenge!N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N$5,Rezepte!$5:$5,0),0),""),"")</f>
        <v>57.454545454545453</v>
      </c>
      <c r="O9" s="24" t="str">
        <f ca="1">IF(LEN($A9)&gt;0,IF(AND(ISNUMBER(VLOOKUP($A9,Rezepte,MATCH(Produktionsmenge!O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O$5,Rezepte!$5:$5,0),0),""),"")</f>
        <v/>
      </c>
      <c r="P9" s="24">
        <f ca="1">IF(LEN($A9)&gt;0,IF(AND(ISNUMBER(VLOOKUP($A9,Rezepte,MATCH(Produktionsmenge!P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P$5,Rezepte!$5:$5,0),0),""),"")</f>
        <v>71.818181818181827</v>
      </c>
      <c r="Q9" s="24" t="str">
        <f ca="1">IF(LEN($A9)&gt;0,IF(AND(ISNUMBER(VLOOKUP($A9,Rezepte,MATCH(Produktionsmenge!Q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Q$5,Rezepte!$5:$5,0),0),""),"")</f>
        <v/>
      </c>
      <c r="R9" s="24" t="str">
        <f ca="1">IF(LEN($A9)&gt;0,IF(AND(ISNUMBER(VLOOKUP($A9,Rezepte,MATCH(Produktionsmenge!R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R$5,Rezepte!$5:$5,0),0),""),"")</f>
        <v/>
      </c>
      <c r="S9" s="24" t="str">
        <f ca="1">IF(LEN($A9)&gt;0,IF(AND(ISNUMBER(VLOOKUP($A9,Rezepte,MATCH(Produktionsmenge!S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S$5,Rezepte!$5:$5,0),0),""),"")</f>
        <v/>
      </c>
      <c r="T9" s="24" t="str">
        <f ca="1">IF(LEN($A9)&gt;0,IF(AND(ISNUMBER(VLOOKUP($A9,Rezepte,MATCH(Produktionsmenge!T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T$5,Rezepte!$5:$5,0),0),""),"")</f>
        <v/>
      </c>
      <c r="U9" s="24" t="str">
        <f ca="1">IF(LEN($A9)&gt;0,IF(AND(ISNUMBER(VLOOKUP($A9,Rezepte,MATCH(Produktionsmenge!U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U$5,Rezepte!$5:$5,0),0),""),"")</f>
        <v/>
      </c>
      <c r="V9" s="24" t="str">
        <f ca="1">IF(LEN($A9)&gt;0,IF(AND(ISNUMBER(VLOOKUP($A9,Rezepte,MATCH(Produktionsmenge!V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V$5,Rezepte!$5:$5,0),0),""),"")</f>
        <v/>
      </c>
      <c r="W9" s="24" t="str">
        <f ca="1">IF(LEN($A9)&gt;0,IF(AND(ISNUMBER(VLOOKUP($A9,Rezepte,MATCH(Produktionsmenge!W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W$5,Rezepte!$5:$5,0),0),""),"")</f>
        <v/>
      </c>
      <c r="X9" s="24" t="str">
        <f ca="1">IF(LEN($A9)&gt;0,IF(AND(ISNUMBER(VLOOKUP($A9,Rezepte,MATCH(Produktionsmenge!X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X$5,Rezepte!$5:$5,0),0),""),"")</f>
        <v/>
      </c>
      <c r="Y9" s="24" t="str">
        <f ca="1">IF(LEN($A9)&gt;0,IF(AND(ISNUMBER(VLOOKUP($A9,Rezepte,MATCH(Produktionsmenge!Y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Y$5,Rezepte!$5:$5,0),0),""),"")</f>
        <v/>
      </c>
      <c r="Z9" s="24" t="str">
        <f ca="1">IF(LEN($A9)&gt;0,IF(AND(ISNUMBER(VLOOKUP($A9,Rezepte,MATCH(Produktionsmenge!Z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Z$5,Rezepte!$5:$5,0),0),""),"")</f>
        <v/>
      </c>
      <c r="AA9" s="24" t="str">
        <f ca="1">IF(LEN($A9)&gt;0,IF(AND(ISNUMBER(VLOOKUP($A9,Rezepte,MATCH(Produktionsmenge!AA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AA$5,Rezepte!$5:$5,0),0),""),"")</f>
        <v/>
      </c>
      <c r="AB9" s="24" t="str">
        <f ca="1">IF(LEN($A9)&gt;0,IF(AND(ISNUMBER(VLOOKUP($A9,Rezepte,MATCH(Produktionsmenge!AB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AB$5,Rezepte!$5:$5,0),0),""),"")</f>
        <v/>
      </c>
      <c r="AC9" s="24" t="str">
        <f ca="1">IF(LEN($A9)&gt;0,IF(AND(ISNUMBER(VLOOKUP($A9,Rezepte,MATCH(Produktionsmenge!AC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AC$5,Rezepte!$5:$5,0),0),""),"")</f>
        <v/>
      </c>
      <c r="AD9" s="24" t="str">
        <f ca="1">IF(LEN($A9)&gt;0,IF(AND(ISNUMBER(VLOOKUP($A9,Rezepte,MATCH(Produktionsmenge!AD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AD$5,Rezepte!$5:$5,0),0),""),"")</f>
        <v/>
      </c>
      <c r="AE9" s="24" t="str">
        <f ca="1">IF(LEN($A9)&gt;0,IF(AND(ISNUMBER(VLOOKUP($A9,Rezepte,MATCH(Produktionsmenge!AE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AE$5,Rezepte!$5:$5,0),0),""),"")</f>
        <v/>
      </c>
      <c r="AF9" s="24" t="str">
        <f ca="1">IF(LEN($A9)&gt;0,IF(AND(ISNUMBER(VLOOKUP($A9,Rezepte,MATCH(Produktionsmenge!AF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AF$5,Rezepte!$5:$5,0),0),""),"")</f>
        <v/>
      </c>
      <c r="AG9" s="24" t="str">
        <f ca="1">IF(LEN($A9)&gt;0,IF(AND(ISNUMBER(VLOOKUP($A9,Rezepte,MATCH(Produktionsmenge!AG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AG$5,Rezepte!$5:$5,0),0),""),"")</f>
        <v/>
      </c>
      <c r="AH9" s="24" t="str">
        <f ca="1">IF(LEN($A9)&gt;0,IF(AND(ISNUMBER(VLOOKUP($A9,Rezepte,MATCH(Produktionsmenge!AH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AH$5,Rezepte!$5:$5,0),0),""),"")</f>
        <v/>
      </c>
      <c r="AI9" s="24" t="str">
        <f ca="1">IF(LEN($A9)&gt;0,IF(AND(ISNUMBER(VLOOKUP($A9,Rezepte,MATCH(Produktionsmenge!AI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AI$5,Rezepte!$5:$5,0),0),""),"")</f>
        <v/>
      </c>
      <c r="AJ9" s="24">
        <f ca="1">IF(LEN($A9)&gt;0,IF(AND(ISNUMBER(VLOOKUP($A9,Rezepte,MATCH(Produktionsmenge!AJ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AJ$5,Rezepte!$5:$5,0),0),""),"")</f>
        <v>2549.5454545454545</v>
      </c>
      <c r="AK9" s="24" t="str">
        <f ca="1">IF(LEN($A9)&gt;0,IF(AND(ISNUMBER(VLOOKUP($A9,Rezepte,MATCH(Produktionsmenge!AK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AK$5,Rezepte!$5:$5,0),0),""),"")</f>
        <v/>
      </c>
      <c r="AL9" s="24" t="str">
        <f ca="1">IF(LEN($A9)&gt;0,IF(AND(ISNUMBER(VLOOKUP($A9,Rezepte,MATCH(Produktionsmenge!AL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AL$5,Rezepte!$5:$5,0),0),""),"")</f>
        <v/>
      </c>
      <c r="AM9" s="24" t="str">
        <f ca="1">IF(LEN($A9)&gt;0,IF(AND(ISNUMBER(VLOOKUP($A9,Rezepte,MATCH(Produktionsmenge!AM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AM$5,Rezepte!$5:$5,0),0),""),"")</f>
        <v/>
      </c>
      <c r="AN9" s="24" t="str">
        <f ca="1">IF(LEN($A9)&gt;0,IF(AND(ISNUMBER(VLOOKUP($A9,Rezepte,MATCH(Produktionsmenge!AN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AN$5,Rezepte!$5:$5,0),0),""),"")</f>
        <v/>
      </c>
      <c r="AO9" s="24" t="str">
        <f ca="1">IF(LEN($A9)&gt;0,IF(AND(ISNUMBER(VLOOKUP($A9,Rezepte,MATCH(Produktionsmenge!AO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AO$5,Rezepte!$5:$5,0),0),""),"")</f>
        <v/>
      </c>
      <c r="AP9" s="24" t="str">
        <f ca="1">IF(LEN($A9)&gt;0,IF(AND(ISNUMBER(VLOOKUP($A9,Rezepte,MATCH(Produktionsmenge!AP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AP$5,Rezepte!$5:$5,0),0),""),"")</f>
        <v/>
      </c>
      <c r="AQ9" s="24" t="str">
        <f ca="1">IF(LEN($A9)&gt;0,IF(AND(ISNUMBER(VLOOKUP($A9,Rezepte,MATCH(Produktionsmenge!AQ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AQ$5,Rezepte!$5:$5,0),0),""),"")</f>
        <v/>
      </c>
      <c r="AR9" s="24" t="str">
        <f ca="1">IF(LEN($A9)&gt;0,IF(AND(ISNUMBER(VLOOKUP($A9,Rezepte,MATCH(Produktionsmenge!AR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AR$5,Rezepte!$5:$5,0),0),""),"")</f>
        <v/>
      </c>
      <c r="AS9" s="24" t="str">
        <f ca="1">IF(LEN($A9)&gt;0,IF(AND(ISNUMBER(VLOOKUP($A9,Rezepte,MATCH(Produktionsmenge!AS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AS$5,Rezepte!$5:$5,0),0),""),"")</f>
        <v/>
      </c>
      <c r="AT9" s="24" t="str">
        <f ca="1">IF(LEN($A9)&gt;0,IF(AND(ISNUMBER(VLOOKUP($A9,Rezepte,MATCH(Produktionsmenge!AT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AT$5,Rezepte!$5:$5,0),0),""),"")</f>
        <v/>
      </c>
      <c r="AU9" s="24" t="str">
        <f ca="1">IF(LEN($A9)&gt;0,IF(AND(ISNUMBER(VLOOKUP($A9,Rezepte,MATCH(Produktionsmenge!AU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AU$5,Rezepte!$5:$5,0),0),""),"")</f>
        <v/>
      </c>
      <c r="AV9" s="24" t="str">
        <f ca="1">IF(LEN($A9)&gt;0,IF(AND(ISNUMBER(VLOOKUP($A9,Rezepte,MATCH(Produktionsmenge!AV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AV$5,Rezepte!$5:$5,0),0),""),"")</f>
        <v/>
      </c>
      <c r="AW9" s="24" t="str">
        <f ca="1">IF(LEN($A9)&gt;0,IF(AND(ISNUMBER(VLOOKUP($A9,Rezepte,MATCH(Produktionsmenge!AW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AW$5,Rezepte!$5:$5,0),0),""),"")</f>
        <v/>
      </c>
      <c r="AX9" s="24" t="str">
        <f ca="1">IF(LEN($A9)&gt;0,IF(AND(ISNUMBER(VLOOKUP($A9,Rezepte,MATCH(Produktionsmenge!AX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AX$5,Rezepte!$5:$5,0),0),""),"")</f>
        <v/>
      </c>
      <c r="AY9" s="24" t="str">
        <f ca="1">IF(LEN($A9)&gt;0,IF(AND(ISNUMBER(VLOOKUP($A9,Rezepte,MATCH(Produktionsmenge!AY$5,Rezepte!$5:$5,0),0)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&gt;0),SUM(OFFSET(Bestellungen!$A$5,1,MATCH(IF(ISNUMBER(SEARCH("(",$A9)),LEFT($A9,SEARCH("(",$A9)-2),$A9),Bestellungen!$A$5:$AJ$5,0)-1):OFFSET(Bestellungen!$A$5,COUNTA(Bestellungen!$A$6:$A$1048576),MATCH(IF(ISNUMBER(SEARCH("(",$A9)),LEFT($A9,SEARCH("(",$A9)-2),$A9),Bestellungen!$A$5:$AJ$5,0)-1))*VLOOKUP($A9,Rezepte,MATCH(Produktionsmenge!AY$5,Rezepte!$5:$5,0),0),""),"")</f>
        <v/>
      </c>
    </row>
    <row r="10" spans="1:51" x14ac:dyDescent="0.25">
      <c r="A10" t="str">
        <f t="array" ref="A10">IFERROR(INDEX(Rezepte!$A$6:$A$100,MATCH(1,(COUNTIF(A$6:A9,Rezepte!A$6:A$100)=0)*(Rezepte!A$6:A$100&lt;&gt;""),0)),"")</f>
        <v>Roggen-Vollkornbrot</v>
      </c>
      <c r="B10" s="24">
        <f ca="1">IF(LEN($A10)&gt;0,IF(AND(ISNUMBER(VLOOKUP($A10,Rezepte,MATCH(Produktionsmenge!B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B$5,Rezepte!$5:$5,0),0),""),"")</f>
        <v>4309.411764705882</v>
      </c>
      <c r="C10" s="24">
        <f ca="1">IF(LEN($A10)&gt;0,IF(AND(ISNUMBER(VLOOKUP($A10,Rezepte,MATCH(Produktionsmenge!C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C$5,Rezepte!$5:$5,0),0),""),"")</f>
        <v>3016.5882352941176</v>
      </c>
      <c r="D10" s="24" t="str">
        <f ca="1">IF(LEN($A10)&gt;0,IF(AND(ISNUMBER(VLOOKUP($A10,Rezepte,MATCH(Produktionsmenge!D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D$5,Rezepte!$5:$5,0),0),""),"")</f>
        <v/>
      </c>
      <c r="E10" s="24">
        <f ca="1">IF(LEN($A10)&gt;0,IF(AND(ISNUMBER(VLOOKUP($A10,Rezepte,MATCH(Produktionsmenge!E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E$5,Rezepte!$5:$5,0),0),""),"")</f>
        <v>4309.411764705882</v>
      </c>
      <c r="F10" s="24">
        <f ca="1">IF(LEN($A10)&gt;0,IF(AND(ISNUMBER(VLOOKUP($A10,Rezepte,MATCH(Produktionsmenge!F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F$5,Rezepte!$5:$5,0),0),""),"")</f>
        <v>2585.6470588235288</v>
      </c>
      <c r="G10" s="24">
        <f ca="1">IF(LEN($A10)&gt;0,IF(AND(ISNUMBER(VLOOKUP($A10,Rezepte,MATCH(Produktionsmenge!G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G$5,Rezepte!$5:$5,0),0),""),"")</f>
        <v>1723.7647058823529</v>
      </c>
      <c r="H10" s="24">
        <f ca="1">IF(LEN($A10)&gt;0,IF(AND(ISNUMBER(VLOOKUP($A10,Rezepte,MATCH(Produktionsmenge!H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H$5,Rezepte!$5:$5,0),0),""),"")</f>
        <v>827.4070588235295</v>
      </c>
      <c r="I10" s="24">
        <f ca="1">IF(LEN($A10)&gt;0,IF(AND(ISNUMBER(VLOOKUP($A10,Rezepte,MATCH(Produktionsmenge!I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I$5,Rezepte!$5:$5,0),0),""),"")</f>
        <v>827.4070588235295</v>
      </c>
      <c r="J10" s="24">
        <f ca="1">IF(LEN($A10)&gt;0,IF(AND(ISNUMBER(VLOOKUP($A10,Rezepte,MATCH(Produktionsmenge!J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J$5,Rezepte!$5:$5,0),0),""),"")</f>
        <v>2585.6470588235288</v>
      </c>
      <c r="K10" s="24">
        <f ca="1">IF(LEN($A10)&gt;0,IF(AND(ISNUMBER(VLOOKUP($A10,Rezepte,MATCH(Produktionsmenge!K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K$5,Rezepte!$5:$5,0),0),""),"")</f>
        <v>1034.2588235294118</v>
      </c>
      <c r="L10" s="24" t="str">
        <f ca="1">IF(LEN($A10)&gt;0,IF(AND(ISNUMBER(VLOOKUP($A10,Rezepte,MATCH(Produktionsmenge!L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L$5,Rezepte!$5:$5,0),0),""),"")</f>
        <v/>
      </c>
      <c r="M10" s="24">
        <f ca="1">IF(LEN($A10)&gt;0,IF(AND(ISNUMBER(VLOOKUP($A10,Rezepte,MATCH(Produktionsmenge!M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M$5,Rezepte!$5:$5,0),0),""),"")</f>
        <v>150.82941176470587</v>
      </c>
      <c r="N10" s="24">
        <f ca="1">IF(LEN($A10)&gt;0,IF(AND(ISNUMBER(VLOOKUP($A10,Rezepte,MATCH(Produktionsmenge!N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N$5,Rezepte!$5:$5,0),0),""),"")</f>
        <v>172.37647058823529</v>
      </c>
      <c r="O10" s="24" t="str">
        <f ca="1">IF(LEN($A10)&gt;0,IF(AND(ISNUMBER(VLOOKUP($A10,Rezepte,MATCH(Produktionsmenge!O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O$5,Rezepte!$5:$5,0),0),""),"")</f>
        <v/>
      </c>
      <c r="P10" s="24" t="str">
        <f ca="1">IF(LEN($A10)&gt;0,IF(AND(ISNUMBER(VLOOKUP($A10,Rezepte,MATCH(Produktionsmenge!P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P$5,Rezepte!$5:$5,0),0),""),"")</f>
        <v/>
      </c>
      <c r="Q10" s="24">
        <f ca="1">IF(LEN($A10)&gt;0,IF(AND(ISNUMBER(VLOOKUP($A10,Rezepte,MATCH(Produktionsmenge!Q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Q$5,Rezepte!$5:$5,0),0),""),"")</f>
        <v>1551.3882352941177</v>
      </c>
      <c r="R10" s="24">
        <f ca="1">IF(LEN($A10)&gt;0,IF(AND(ISNUMBER(VLOOKUP($A10,Rezepte,MATCH(Produktionsmenge!R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R$5,Rezepte!$5:$5,0),0),""),"")</f>
        <v>2.7</v>
      </c>
      <c r="S10" s="24">
        <f ca="1">IF(LEN($A10)&gt;0,IF(AND(ISNUMBER(VLOOKUP($A10,Rezepte,MATCH(Produktionsmenge!S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S$5,Rezepte!$5:$5,0),0),""),"")</f>
        <v>2.7</v>
      </c>
      <c r="T10" s="24">
        <f ca="1">IF(LEN($A10)&gt;0,IF(AND(ISNUMBER(VLOOKUP($A10,Rezepte,MATCH(Produktionsmenge!T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T$5,Rezepte!$5:$5,0),0),""),"")</f>
        <v>2.7</v>
      </c>
      <c r="U10" s="24">
        <f ca="1">IF(LEN($A10)&gt;0,IF(AND(ISNUMBER(VLOOKUP($A10,Rezepte,MATCH(Produktionsmenge!U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U$5,Rezepte!$5:$5,0),0),""),"")</f>
        <v>2.7</v>
      </c>
      <c r="V10" s="24">
        <f ca="1">IF(LEN($A10)&gt;0,IF(AND(ISNUMBER(VLOOKUP($A10,Rezepte,MATCH(Produktionsmenge!V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V$5,Rezepte!$5:$5,0),0),""),"")</f>
        <v>2.7</v>
      </c>
      <c r="W10" s="24" t="str">
        <f ca="1">IF(LEN($A10)&gt;0,IF(AND(ISNUMBER(VLOOKUP($A10,Rezepte,MATCH(Produktionsmenge!W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W$5,Rezepte!$5:$5,0),0),""),"")</f>
        <v/>
      </c>
      <c r="X10" s="24" t="str">
        <f ca="1">IF(LEN($A10)&gt;0,IF(AND(ISNUMBER(VLOOKUP($A10,Rezepte,MATCH(Produktionsmenge!X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X$5,Rezepte!$5:$5,0),0),""),"")</f>
        <v/>
      </c>
      <c r="Y10" s="24" t="str">
        <f ca="1">IF(LEN($A10)&gt;0,IF(AND(ISNUMBER(VLOOKUP($A10,Rezepte,MATCH(Produktionsmenge!Y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Y$5,Rezepte!$5:$5,0),0),""),"")</f>
        <v/>
      </c>
      <c r="Z10" s="24" t="str">
        <f ca="1">IF(LEN($A10)&gt;0,IF(AND(ISNUMBER(VLOOKUP($A10,Rezepte,MATCH(Produktionsmenge!Z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Z$5,Rezepte!$5:$5,0),0),""),"")</f>
        <v/>
      </c>
      <c r="AA10" s="24" t="str">
        <f ca="1">IF(LEN($A10)&gt;0,IF(AND(ISNUMBER(VLOOKUP($A10,Rezepte,MATCH(Produktionsmenge!AA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AA$5,Rezepte!$5:$5,0),0),""),"")</f>
        <v/>
      </c>
      <c r="AB10" s="24">
        <f ca="1">IF(LEN($A10)&gt;0,IF(AND(ISNUMBER(VLOOKUP($A10,Rezepte,MATCH(Produktionsmenge!AB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AB$5,Rezepte!$5:$5,0),0),""),"")</f>
        <v>2.7</v>
      </c>
      <c r="AC10" s="24" t="str">
        <f ca="1">IF(LEN($A10)&gt;0,IF(AND(ISNUMBER(VLOOKUP($A10,Rezepte,MATCH(Produktionsmenge!AC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AC$5,Rezepte!$5:$5,0),0),""),"")</f>
        <v/>
      </c>
      <c r="AD10" s="24" t="str">
        <f ca="1">IF(LEN($A10)&gt;0,IF(AND(ISNUMBER(VLOOKUP($A10,Rezepte,MATCH(Produktionsmenge!AD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AD$5,Rezepte!$5:$5,0),0),""),"")</f>
        <v/>
      </c>
      <c r="AE10" s="24" t="str">
        <f ca="1">IF(LEN($A10)&gt;0,IF(AND(ISNUMBER(VLOOKUP($A10,Rezepte,MATCH(Produktionsmenge!AE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AE$5,Rezepte!$5:$5,0),0),""),"")</f>
        <v/>
      </c>
      <c r="AF10" s="24" t="str">
        <f ca="1">IF(LEN($A10)&gt;0,IF(AND(ISNUMBER(VLOOKUP($A10,Rezepte,MATCH(Produktionsmenge!AF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AF$5,Rezepte!$5:$5,0),0),""),"")</f>
        <v/>
      </c>
      <c r="AG10" s="24" t="str">
        <f ca="1">IF(LEN($A10)&gt;0,IF(AND(ISNUMBER(VLOOKUP($A10,Rezepte,MATCH(Produktionsmenge!AG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AG$5,Rezepte!$5:$5,0),0),""),"")</f>
        <v/>
      </c>
      <c r="AH10" s="24" t="str">
        <f ca="1">IF(LEN($A10)&gt;0,IF(AND(ISNUMBER(VLOOKUP($A10,Rezepte,MATCH(Produktionsmenge!AH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AH$5,Rezepte!$5:$5,0),0),""),"")</f>
        <v/>
      </c>
      <c r="AI10" s="24" t="str">
        <f ca="1">IF(LEN($A10)&gt;0,IF(AND(ISNUMBER(VLOOKUP($A10,Rezepte,MATCH(Produktionsmenge!AI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AI$5,Rezepte!$5:$5,0),0),""),"")</f>
        <v/>
      </c>
      <c r="AJ10" s="24">
        <f ca="1">IF(LEN($A10)&gt;0,IF(AND(ISNUMBER(VLOOKUP($A10,Rezepte,MATCH(Produktionsmenge!AJ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AJ$5,Rezepte!$5:$5,0),0),""),"")</f>
        <v>7662.7058823529387</v>
      </c>
      <c r="AK10" s="24">
        <f ca="1">IF(LEN($A10)&gt;0,IF(AND(ISNUMBER(VLOOKUP($A10,Rezepte,MATCH(Produktionsmenge!AK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AK$5,Rezepte!$5:$5,0),0),""),"")</f>
        <v>5477.8341176470594</v>
      </c>
      <c r="AL10" s="24" t="str">
        <f ca="1">IF(LEN($A10)&gt;0,IF(AND(ISNUMBER(VLOOKUP($A10,Rezepte,MATCH(Produktionsmenge!AL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AL$5,Rezepte!$5:$5,0),0),""),"")</f>
        <v/>
      </c>
      <c r="AM10" s="24" t="str">
        <f ca="1">IF(LEN($A10)&gt;0,IF(AND(ISNUMBER(VLOOKUP($A10,Rezepte,MATCH(Produktionsmenge!AM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AM$5,Rezepte!$5:$5,0),0),""),"")</f>
        <v/>
      </c>
      <c r="AN10" s="24" t="str">
        <f ca="1">IF(LEN($A10)&gt;0,IF(AND(ISNUMBER(VLOOKUP($A10,Rezepte,MATCH(Produktionsmenge!AN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AN$5,Rezepte!$5:$5,0),0),""),"")</f>
        <v/>
      </c>
      <c r="AO10" s="24" t="str">
        <f ca="1">IF(LEN($A10)&gt;0,IF(AND(ISNUMBER(VLOOKUP($A10,Rezepte,MATCH(Produktionsmenge!AO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AO$5,Rezepte!$5:$5,0),0),""),"")</f>
        <v/>
      </c>
      <c r="AP10" s="24" t="str">
        <f ca="1">IF(LEN($A10)&gt;0,IF(AND(ISNUMBER(VLOOKUP($A10,Rezepte,MATCH(Produktionsmenge!AP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AP$5,Rezepte!$5:$5,0),0),""),"")</f>
        <v/>
      </c>
      <c r="AQ10" s="24" t="str">
        <f ca="1">IF(LEN($A10)&gt;0,IF(AND(ISNUMBER(VLOOKUP($A10,Rezepte,MATCH(Produktionsmenge!AQ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AQ$5,Rezepte!$5:$5,0),0),""),"")</f>
        <v/>
      </c>
      <c r="AR10" s="24" t="str">
        <f ca="1">IF(LEN($A10)&gt;0,IF(AND(ISNUMBER(VLOOKUP($A10,Rezepte,MATCH(Produktionsmenge!AR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AR$5,Rezepte!$5:$5,0),0),""),"")</f>
        <v/>
      </c>
      <c r="AS10" s="24" t="str">
        <f ca="1">IF(LEN($A10)&gt;0,IF(AND(ISNUMBER(VLOOKUP($A10,Rezepte,MATCH(Produktionsmenge!AS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AS$5,Rezepte!$5:$5,0),0),""),"")</f>
        <v/>
      </c>
      <c r="AT10" s="24" t="str">
        <f ca="1">IF(LEN($A10)&gt;0,IF(AND(ISNUMBER(VLOOKUP($A10,Rezepte,MATCH(Produktionsmenge!AT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AT$5,Rezepte!$5:$5,0),0),""),"")</f>
        <v/>
      </c>
      <c r="AU10" s="24" t="str">
        <f ca="1">IF(LEN($A10)&gt;0,IF(AND(ISNUMBER(VLOOKUP($A10,Rezepte,MATCH(Produktionsmenge!AU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AU$5,Rezepte!$5:$5,0),0),""),"")</f>
        <v/>
      </c>
      <c r="AV10" s="24" t="str">
        <f ca="1">IF(LEN($A10)&gt;0,IF(AND(ISNUMBER(VLOOKUP($A10,Rezepte,MATCH(Produktionsmenge!AV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AV$5,Rezepte!$5:$5,0),0),""),"")</f>
        <v/>
      </c>
      <c r="AW10" s="24" t="str">
        <f ca="1">IF(LEN($A10)&gt;0,IF(AND(ISNUMBER(VLOOKUP($A10,Rezepte,MATCH(Produktionsmenge!AW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AW$5,Rezepte!$5:$5,0),0),""),"")</f>
        <v/>
      </c>
      <c r="AX10" s="24" t="str">
        <f ca="1">IF(LEN($A10)&gt;0,IF(AND(ISNUMBER(VLOOKUP($A10,Rezepte,MATCH(Produktionsmenge!AX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AX$5,Rezepte!$5:$5,0),0),""),"")</f>
        <v/>
      </c>
      <c r="AY10" s="24" t="str">
        <f ca="1">IF(LEN($A10)&gt;0,IF(AND(ISNUMBER(VLOOKUP($A10,Rezepte,MATCH(Produktionsmenge!AY$5,Rezepte!$5:$5,0),0)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&gt;0),SUM(OFFSET(Bestellungen!$A$5,1,MATCH(IF(ISNUMBER(SEARCH("(",$A10)),LEFT($A10,SEARCH("(",$A10)-2),$A10),Bestellungen!$A$5:$AJ$5,0)-1):OFFSET(Bestellungen!$A$5,COUNTA(Bestellungen!$A$6:$A$1048576),MATCH(IF(ISNUMBER(SEARCH("(",$A10)),LEFT($A10,SEARCH("(",$A10)-2),$A10),Bestellungen!$A$5:$AJ$5,0)-1))*VLOOKUP($A10,Rezepte,MATCH(Produktionsmenge!AY$5,Rezepte!$5:$5,0),0),""),"")</f>
        <v/>
      </c>
    </row>
    <row r="11" spans="1:51" x14ac:dyDescent="0.25">
      <c r="A11" t="str">
        <f t="array" ref="A11">IFERROR(INDEX(Rezepte!$A$6:$A$100,MATCH(1,(COUNTIF(A$6:A10,Rezepte!A$6:A$100)=0)*(Rezepte!A$6:A$100&lt;&gt;""),0)),"")</f>
        <v>Dinkelbrötchen</v>
      </c>
      <c r="B11" s="24" t="str">
        <f ca="1">IF(LEN($A11)&gt;0,IF(AND(ISNUMBER(VLOOKUP($A11,Rezepte,MATCH(Produktionsmenge!B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B$5,Rezepte!$5:$5,0),0),""),"")</f>
        <v/>
      </c>
      <c r="C11" s="24" t="str">
        <f ca="1">IF(LEN($A11)&gt;0,IF(AND(ISNUMBER(VLOOKUP($A11,Rezepte,MATCH(Produktionsmenge!C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C$5,Rezepte!$5:$5,0),0),""),"")</f>
        <v/>
      </c>
      <c r="D11" s="24" t="str">
        <f ca="1">IF(LEN($A11)&gt;0,IF(AND(ISNUMBER(VLOOKUP($A11,Rezepte,MATCH(Produktionsmenge!D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D$5,Rezepte!$5:$5,0),0),""),"")</f>
        <v/>
      </c>
      <c r="E11" s="24" t="str">
        <f ca="1">IF(LEN($A11)&gt;0,IF(AND(ISNUMBER(VLOOKUP($A11,Rezepte,MATCH(Produktionsmenge!E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E$5,Rezepte!$5:$5,0),0),""),"")</f>
        <v/>
      </c>
      <c r="F11" s="24" t="str">
        <f ca="1">IF(LEN($A11)&gt;0,IF(AND(ISNUMBER(VLOOKUP($A11,Rezepte,MATCH(Produktionsmenge!F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F$5,Rezepte!$5:$5,0),0),""),"")</f>
        <v/>
      </c>
      <c r="G11" s="24">
        <f ca="1">IF(LEN($A11)&gt;0,IF(AND(ISNUMBER(VLOOKUP($A11,Rezepte,MATCH(Produktionsmenge!G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G$5,Rezepte!$5:$5,0),0),""),"")</f>
        <v>394.0645161290322</v>
      </c>
      <c r="H11" s="24" t="str">
        <f ca="1">IF(LEN($A11)&gt;0,IF(AND(ISNUMBER(VLOOKUP($A11,Rezepte,MATCH(Produktionsmenge!H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H$5,Rezepte!$5:$5,0),0),""),"")</f>
        <v/>
      </c>
      <c r="I11" s="24">
        <f ca="1">IF(LEN($A11)&gt;0,IF(AND(ISNUMBER(VLOOKUP($A11,Rezepte,MATCH(Produktionsmenge!I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I$5,Rezepte!$5:$5,0),0),""),"")</f>
        <v>216.73548387096776</v>
      </c>
      <c r="J11" s="24" t="str">
        <f ca="1">IF(LEN($A11)&gt;0,IF(AND(ISNUMBER(VLOOKUP($A11,Rezepte,MATCH(Produktionsmenge!J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J$5,Rezepte!$5:$5,0),0),""),"")</f>
        <v/>
      </c>
      <c r="K11" s="24" t="str">
        <f ca="1">IF(LEN($A11)&gt;0,IF(AND(ISNUMBER(VLOOKUP($A11,Rezepte,MATCH(Produktionsmenge!K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K$5,Rezepte!$5:$5,0),0),""),"")</f>
        <v/>
      </c>
      <c r="L11" s="24" t="str">
        <f ca="1">IF(LEN($A11)&gt;0,IF(AND(ISNUMBER(VLOOKUP($A11,Rezepte,MATCH(Produktionsmenge!L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L$5,Rezepte!$5:$5,0),0),""),"")</f>
        <v/>
      </c>
      <c r="M11" s="24">
        <f ca="1">IF(LEN($A11)&gt;0,IF(AND(ISNUMBER(VLOOKUP($A11,Rezepte,MATCH(Produktionsmenge!M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M$5,Rezepte!$5:$5,0),0),""),"")</f>
        <v>11.821935483870966</v>
      </c>
      <c r="N11" s="24">
        <f ca="1">IF(LEN($A11)&gt;0,IF(AND(ISNUMBER(VLOOKUP($A11,Rezepte,MATCH(Produktionsmenge!N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N$5,Rezepte!$5:$5,0),0),""),"")</f>
        <v>15.76258064516129</v>
      </c>
      <c r="O11" s="24" t="str">
        <f ca="1">IF(LEN($A11)&gt;0,IF(AND(ISNUMBER(VLOOKUP($A11,Rezepte,MATCH(Produktionsmenge!O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O$5,Rezepte!$5:$5,0),0),""),"")</f>
        <v/>
      </c>
      <c r="P11" s="24" t="str">
        <f ca="1">IF(LEN($A11)&gt;0,IF(AND(ISNUMBER(VLOOKUP($A11,Rezepte,MATCH(Produktionsmenge!P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P$5,Rezepte!$5:$5,0),0),""),"")</f>
        <v/>
      </c>
      <c r="Q11" s="24" t="str">
        <f ca="1">IF(LEN($A11)&gt;0,IF(AND(ISNUMBER(VLOOKUP($A11,Rezepte,MATCH(Produktionsmenge!Q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Q$5,Rezepte!$5:$5,0),0),""),"")</f>
        <v/>
      </c>
      <c r="R11" s="24" t="str">
        <f ca="1">IF(LEN($A11)&gt;0,IF(AND(ISNUMBER(VLOOKUP($A11,Rezepte,MATCH(Produktionsmenge!R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R$5,Rezepte!$5:$5,0),0),""),"")</f>
        <v/>
      </c>
      <c r="S11" s="24" t="str">
        <f ca="1">IF(LEN($A11)&gt;0,IF(AND(ISNUMBER(VLOOKUP($A11,Rezepte,MATCH(Produktionsmenge!S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S$5,Rezepte!$5:$5,0),0),""),"")</f>
        <v/>
      </c>
      <c r="T11" s="24" t="str">
        <f ca="1">IF(LEN($A11)&gt;0,IF(AND(ISNUMBER(VLOOKUP($A11,Rezepte,MATCH(Produktionsmenge!T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T$5,Rezepte!$5:$5,0),0),""),"")</f>
        <v/>
      </c>
      <c r="U11" s="24" t="str">
        <f ca="1">IF(LEN($A11)&gt;0,IF(AND(ISNUMBER(VLOOKUP($A11,Rezepte,MATCH(Produktionsmenge!U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U$5,Rezepte!$5:$5,0),0),""),"")</f>
        <v/>
      </c>
      <c r="V11" s="24" t="str">
        <f ca="1">IF(LEN($A11)&gt;0,IF(AND(ISNUMBER(VLOOKUP($A11,Rezepte,MATCH(Produktionsmenge!V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V$5,Rezepte!$5:$5,0),0),""),"")</f>
        <v/>
      </c>
      <c r="W11" s="24">
        <f ca="1">IF(LEN($A11)&gt;0,IF(AND(ISNUMBER(VLOOKUP($A11,Rezepte,MATCH(Produktionsmenge!W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W$5,Rezepte!$5:$5,0),0),""),"")</f>
        <v>19.703225806451613</v>
      </c>
      <c r="X11" s="24" t="str">
        <f ca="1">IF(LEN($A11)&gt;0,IF(AND(ISNUMBER(VLOOKUP($A11,Rezepte,MATCH(Produktionsmenge!X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X$5,Rezepte!$5:$5,0),0),""),"")</f>
        <v/>
      </c>
      <c r="Y11" s="24" t="str">
        <f ca="1">IF(LEN($A11)&gt;0,IF(AND(ISNUMBER(VLOOKUP($A11,Rezepte,MATCH(Produktionsmenge!Y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Y$5,Rezepte!$5:$5,0),0),""),"")</f>
        <v/>
      </c>
      <c r="Z11" s="24" t="str">
        <f ca="1">IF(LEN($A11)&gt;0,IF(AND(ISNUMBER(VLOOKUP($A11,Rezepte,MATCH(Produktionsmenge!Z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Z$5,Rezepte!$5:$5,0),0),""),"")</f>
        <v/>
      </c>
      <c r="AA11" s="24" t="str">
        <f ca="1">IF(LEN($A11)&gt;0,IF(AND(ISNUMBER(VLOOKUP($A11,Rezepte,MATCH(Produktionsmenge!AA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AA$5,Rezepte!$5:$5,0),0),""),"")</f>
        <v/>
      </c>
      <c r="AB11" s="24" t="str">
        <f ca="1">IF(LEN($A11)&gt;0,IF(AND(ISNUMBER(VLOOKUP($A11,Rezepte,MATCH(Produktionsmenge!AB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AB$5,Rezepte!$5:$5,0),0),""),"")</f>
        <v/>
      </c>
      <c r="AC11" s="24" t="str">
        <f ca="1">IF(LEN($A11)&gt;0,IF(AND(ISNUMBER(VLOOKUP($A11,Rezepte,MATCH(Produktionsmenge!AC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AC$5,Rezepte!$5:$5,0),0),""),"")</f>
        <v/>
      </c>
      <c r="AD11" s="24" t="str">
        <f ca="1">IF(LEN($A11)&gt;0,IF(AND(ISNUMBER(VLOOKUP($A11,Rezepte,MATCH(Produktionsmenge!AD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AD$5,Rezepte!$5:$5,0),0),""),"")</f>
        <v/>
      </c>
      <c r="AE11" s="24" t="str">
        <f ca="1">IF(LEN($A11)&gt;0,IF(AND(ISNUMBER(VLOOKUP($A11,Rezepte,MATCH(Produktionsmenge!AE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AE$5,Rezepte!$5:$5,0),0),""),"")</f>
        <v/>
      </c>
      <c r="AF11" s="24" t="str">
        <f ca="1">IF(LEN($A11)&gt;0,IF(AND(ISNUMBER(VLOOKUP($A11,Rezepte,MATCH(Produktionsmenge!AF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AF$5,Rezepte!$5:$5,0),0),""),"")</f>
        <v/>
      </c>
      <c r="AG11" s="24" t="str">
        <f ca="1">IF(LEN($A11)&gt;0,IF(AND(ISNUMBER(VLOOKUP($A11,Rezepte,MATCH(Produktionsmenge!AG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AG$5,Rezepte!$5:$5,0),0),""),"")</f>
        <v/>
      </c>
      <c r="AH11" s="24" t="str">
        <f ca="1">IF(LEN($A11)&gt;0,IF(AND(ISNUMBER(VLOOKUP($A11,Rezepte,MATCH(Produktionsmenge!AH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AH$5,Rezepte!$5:$5,0),0),""),"")</f>
        <v/>
      </c>
      <c r="AI11" s="24" t="str">
        <f ca="1">IF(LEN($A11)&gt;0,IF(AND(ISNUMBER(VLOOKUP($A11,Rezepte,MATCH(Produktionsmenge!AI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AI$5,Rezepte!$5:$5,0),0),""),"")</f>
        <v/>
      </c>
      <c r="AJ11" s="24">
        <f ca="1">IF(LEN($A11)&gt;0,IF(AND(ISNUMBER(VLOOKUP($A11,Rezepte,MATCH(Produktionsmenge!AJ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AJ$5,Rezepte!$5:$5,0),0),""),"")</f>
        <v>658.08774193548379</v>
      </c>
      <c r="AK11" s="24" t="str">
        <f ca="1">IF(LEN($A11)&gt;0,IF(AND(ISNUMBER(VLOOKUP($A11,Rezepte,MATCH(Produktionsmenge!AK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AK$5,Rezepte!$5:$5,0),0),""),"")</f>
        <v/>
      </c>
      <c r="AL11" s="24" t="str">
        <f ca="1">IF(LEN($A11)&gt;0,IF(AND(ISNUMBER(VLOOKUP($A11,Rezepte,MATCH(Produktionsmenge!AL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AL$5,Rezepte!$5:$5,0),0),""),"")</f>
        <v/>
      </c>
      <c r="AM11" s="24" t="str">
        <f ca="1">IF(LEN($A11)&gt;0,IF(AND(ISNUMBER(VLOOKUP($A11,Rezepte,MATCH(Produktionsmenge!AM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AM$5,Rezepte!$5:$5,0),0),""),"")</f>
        <v/>
      </c>
      <c r="AN11" s="24" t="str">
        <f ca="1">IF(LEN($A11)&gt;0,IF(AND(ISNUMBER(VLOOKUP($A11,Rezepte,MATCH(Produktionsmenge!AN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AN$5,Rezepte!$5:$5,0),0),""),"")</f>
        <v/>
      </c>
      <c r="AO11" s="24" t="str">
        <f ca="1">IF(LEN($A11)&gt;0,IF(AND(ISNUMBER(VLOOKUP($A11,Rezepte,MATCH(Produktionsmenge!AO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AO$5,Rezepte!$5:$5,0),0),""),"")</f>
        <v/>
      </c>
      <c r="AP11" s="24" t="str">
        <f ca="1">IF(LEN($A11)&gt;0,IF(AND(ISNUMBER(VLOOKUP($A11,Rezepte,MATCH(Produktionsmenge!AP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AP$5,Rezepte!$5:$5,0),0),""),"")</f>
        <v/>
      </c>
      <c r="AQ11" s="24" t="str">
        <f ca="1">IF(LEN($A11)&gt;0,IF(AND(ISNUMBER(VLOOKUP($A11,Rezepte,MATCH(Produktionsmenge!AQ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AQ$5,Rezepte!$5:$5,0),0),""),"")</f>
        <v/>
      </c>
      <c r="AR11" s="24" t="str">
        <f ca="1">IF(LEN($A11)&gt;0,IF(AND(ISNUMBER(VLOOKUP($A11,Rezepte,MATCH(Produktionsmenge!AR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AR$5,Rezepte!$5:$5,0),0),""),"")</f>
        <v/>
      </c>
      <c r="AS11" s="24" t="str">
        <f ca="1">IF(LEN($A11)&gt;0,IF(AND(ISNUMBER(VLOOKUP($A11,Rezepte,MATCH(Produktionsmenge!AS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AS$5,Rezepte!$5:$5,0),0),""),"")</f>
        <v/>
      </c>
      <c r="AT11" s="24" t="str">
        <f ca="1">IF(LEN($A11)&gt;0,IF(AND(ISNUMBER(VLOOKUP($A11,Rezepte,MATCH(Produktionsmenge!AT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AT$5,Rezepte!$5:$5,0),0),""),"")</f>
        <v/>
      </c>
      <c r="AU11" s="24" t="str">
        <f ca="1">IF(LEN($A11)&gt;0,IF(AND(ISNUMBER(VLOOKUP($A11,Rezepte,MATCH(Produktionsmenge!AU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AU$5,Rezepte!$5:$5,0),0),""),"")</f>
        <v/>
      </c>
      <c r="AV11" s="24" t="str">
        <f ca="1">IF(LEN($A11)&gt;0,IF(AND(ISNUMBER(VLOOKUP($A11,Rezepte,MATCH(Produktionsmenge!AV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AV$5,Rezepte!$5:$5,0),0),""),"")</f>
        <v/>
      </c>
      <c r="AW11" s="24" t="str">
        <f ca="1">IF(LEN($A11)&gt;0,IF(AND(ISNUMBER(VLOOKUP($A11,Rezepte,MATCH(Produktionsmenge!AW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AW$5,Rezepte!$5:$5,0),0),""),"")</f>
        <v/>
      </c>
      <c r="AX11" s="24" t="str">
        <f ca="1">IF(LEN($A11)&gt;0,IF(AND(ISNUMBER(VLOOKUP($A11,Rezepte,MATCH(Produktionsmenge!AX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AX$5,Rezepte!$5:$5,0),0),""),"")</f>
        <v/>
      </c>
      <c r="AY11" s="24" t="str">
        <f ca="1">IF(LEN($A11)&gt;0,IF(AND(ISNUMBER(VLOOKUP($A11,Rezepte,MATCH(Produktionsmenge!AY$5,Rezepte!$5:$5,0),0)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&gt;0),SUM(OFFSET(Bestellungen!$A$5,1,MATCH(IF(ISNUMBER(SEARCH("(",$A11)),LEFT($A11,SEARCH("(",$A11)-2),$A11),Bestellungen!$A$5:$AJ$5,0)-1):OFFSET(Bestellungen!$A$5,COUNTA(Bestellungen!$A$6:$A$1048576),MATCH(IF(ISNUMBER(SEARCH("(",$A11)),LEFT($A11,SEARCH("(",$A11)-2),$A11),Bestellungen!$A$5:$AJ$5,0)-1))*VLOOKUP($A11,Rezepte,MATCH(Produktionsmenge!AY$5,Rezepte!$5:$5,0),0),""),"")</f>
        <v/>
      </c>
    </row>
    <row r="12" spans="1:51" x14ac:dyDescent="0.25">
      <c r="A12" t="str">
        <f t="array" ref="A12">IFERROR(INDEX(Rezepte!$A$6:$A$100,MATCH(1,(COUNTIF(A$6:A11,Rezepte!A$6:A$100)=0)*(Rezepte!A$6:A$100&lt;&gt;""),0)),"")</f>
        <v>Rosmarinfladen</v>
      </c>
      <c r="B12" s="24" t="str">
        <f ca="1">IF(LEN($A12)&gt;0,IF(AND(ISNUMBER(VLOOKUP($A12,Rezepte,MATCH(Produktionsmenge!B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B$5,Rezepte!$5:$5,0),0),""),"")</f>
        <v/>
      </c>
      <c r="C12" s="24" t="str">
        <f ca="1">IF(LEN($A12)&gt;0,IF(AND(ISNUMBER(VLOOKUP($A12,Rezepte,MATCH(Produktionsmenge!C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C$5,Rezepte!$5:$5,0),0),""),"")</f>
        <v/>
      </c>
      <c r="D12" s="24" t="str">
        <f ca="1">IF(LEN($A12)&gt;0,IF(AND(ISNUMBER(VLOOKUP($A12,Rezepte,MATCH(Produktionsmenge!D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D$5,Rezepte!$5:$5,0),0),""),"")</f>
        <v/>
      </c>
      <c r="E12" s="24" t="str">
        <f ca="1">IF(LEN($A12)&gt;0,IF(AND(ISNUMBER(VLOOKUP($A12,Rezepte,MATCH(Produktionsmenge!E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E$5,Rezepte!$5:$5,0),0),""),"")</f>
        <v/>
      </c>
      <c r="F12" s="24" t="str">
        <f ca="1">IF(LEN($A12)&gt;0,IF(AND(ISNUMBER(VLOOKUP($A12,Rezepte,MATCH(Produktionsmenge!F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F$5,Rezepte!$5:$5,0),0),""),"")</f>
        <v/>
      </c>
      <c r="G12" s="24">
        <f ca="1">IF(LEN($A12)&gt;0,IF(AND(ISNUMBER(VLOOKUP($A12,Rezepte,MATCH(Produktionsmenge!G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G$5,Rezepte!$5:$5,0),0),""),"")</f>
        <v>564.57142857142856</v>
      </c>
      <c r="H12" s="24" t="str">
        <f ca="1">IF(LEN($A12)&gt;0,IF(AND(ISNUMBER(VLOOKUP($A12,Rezepte,MATCH(Produktionsmenge!H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H$5,Rezepte!$5:$5,0),0),""),"")</f>
        <v/>
      </c>
      <c r="I12" s="24">
        <f ca="1">IF(LEN($A12)&gt;0,IF(AND(ISNUMBER(VLOOKUP($A12,Rezepte,MATCH(Produktionsmenge!I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I$5,Rezepte!$5:$5,0),0),""),"")</f>
        <v>423.42857142857139</v>
      </c>
      <c r="J12" s="24" t="str">
        <f ca="1">IF(LEN($A12)&gt;0,IF(AND(ISNUMBER(VLOOKUP($A12,Rezepte,MATCH(Produktionsmenge!J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J$5,Rezepte!$5:$5,0),0),""),"")</f>
        <v/>
      </c>
      <c r="K12" s="24" t="str">
        <f ca="1">IF(LEN($A12)&gt;0,IF(AND(ISNUMBER(VLOOKUP($A12,Rezepte,MATCH(Produktionsmenge!K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K$5,Rezepte!$5:$5,0),0),""),"")</f>
        <v/>
      </c>
      <c r="L12" s="24" t="str">
        <f ca="1">IF(LEN($A12)&gt;0,IF(AND(ISNUMBER(VLOOKUP($A12,Rezepte,MATCH(Produktionsmenge!L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L$5,Rezepte!$5:$5,0),0),""),"")</f>
        <v/>
      </c>
      <c r="M12" s="24">
        <f ca="1">IF(LEN($A12)&gt;0,IF(AND(ISNUMBER(VLOOKUP($A12,Rezepte,MATCH(Produktionsmenge!M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M$5,Rezepte!$5:$5,0),0),""),"")</f>
        <v>16.937142857142856</v>
      </c>
      <c r="N12" s="24">
        <f ca="1">IF(LEN($A12)&gt;0,IF(AND(ISNUMBER(VLOOKUP($A12,Rezepte,MATCH(Produktionsmenge!N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N$5,Rezepte!$5:$5,0),0),""),"")</f>
        <v>2.822857142857143</v>
      </c>
      <c r="O12" s="24" t="str">
        <f ca="1">IF(LEN($A12)&gt;0,IF(AND(ISNUMBER(VLOOKUP($A12,Rezepte,MATCH(Produktionsmenge!O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O$5,Rezepte!$5:$5,0),0),""),"")</f>
        <v/>
      </c>
      <c r="P12" s="24" t="str">
        <f ca="1">IF(LEN($A12)&gt;0,IF(AND(ISNUMBER(VLOOKUP($A12,Rezepte,MATCH(Produktionsmenge!P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P$5,Rezepte!$5:$5,0),0),""),"")</f>
        <v/>
      </c>
      <c r="Q12" s="24" t="str">
        <f ca="1">IF(LEN($A12)&gt;0,IF(AND(ISNUMBER(VLOOKUP($A12,Rezepte,MATCH(Produktionsmenge!Q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Q$5,Rezepte!$5:$5,0),0),""),"")</f>
        <v/>
      </c>
      <c r="R12" s="24" t="str">
        <f ca="1">IF(LEN($A12)&gt;0,IF(AND(ISNUMBER(VLOOKUP($A12,Rezepte,MATCH(Produktionsmenge!R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R$5,Rezepte!$5:$5,0),0),""),"")</f>
        <v/>
      </c>
      <c r="S12" s="24" t="str">
        <f ca="1">IF(LEN($A12)&gt;0,IF(AND(ISNUMBER(VLOOKUP($A12,Rezepte,MATCH(Produktionsmenge!S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S$5,Rezepte!$5:$5,0),0),""),"")</f>
        <v/>
      </c>
      <c r="T12" s="24" t="str">
        <f ca="1">IF(LEN($A12)&gt;0,IF(AND(ISNUMBER(VLOOKUP($A12,Rezepte,MATCH(Produktionsmenge!T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T$5,Rezepte!$5:$5,0),0),""),"")</f>
        <v/>
      </c>
      <c r="U12" s="24" t="str">
        <f ca="1">IF(LEN($A12)&gt;0,IF(AND(ISNUMBER(VLOOKUP($A12,Rezepte,MATCH(Produktionsmenge!U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U$5,Rezepte!$5:$5,0),0),""),"")</f>
        <v/>
      </c>
      <c r="V12" s="24" t="str">
        <f ca="1">IF(LEN($A12)&gt;0,IF(AND(ISNUMBER(VLOOKUP($A12,Rezepte,MATCH(Produktionsmenge!V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V$5,Rezepte!$5:$5,0),0),""),"")</f>
        <v/>
      </c>
      <c r="W12" s="24">
        <f ca="1">IF(LEN($A12)&gt;0,IF(AND(ISNUMBER(VLOOKUP($A12,Rezepte,MATCH(Produktionsmenge!W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W$5,Rezepte!$5:$5,0),0),""),"")</f>
        <v>28.228571428571431</v>
      </c>
      <c r="X12" s="24">
        <f ca="1">IF(LEN($A12)&gt;0,IF(AND(ISNUMBER(VLOOKUP($A12,Rezepte,MATCH(Produktionsmenge!X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X$5,Rezepte!$5:$5,0),0),""),"")</f>
        <v>5.6457142857142859</v>
      </c>
      <c r="Y12" s="24" t="str">
        <f ca="1">IF(LEN($A12)&gt;0,IF(AND(ISNUMBER(VLOOKUP($A12,Rezepte,MATCH(Produktionsmenge!Y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Y$5,Rezepte!$5:$5,0),0),""),"")</f>
        <v/>
      </c>
      <c r="Z12" s="24" t="str">
        <f ca="1">IF(LEN($A12)&gt;0,IF(AND(ISNUMBER(VLOOKUP($A12,Rezepte,MATCH(Produktionsmenge!Z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Z$5,Rezepte!$5:$5,0),0),""),"")</f>
        <v/>
      </c>
      <c r="AA12" s="24" t="str">
        <f ca="1">IF(LEN($A12)&gt;0,IF(AND(ISNUMBER(VLOOKUP($A12,Rezepte,MATCH(Produktionsmenge!AA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AA$5,Rezepte!$5:$5,0),0),""),"")</f>
        <v/>
      </c>
      <c r="AB12" s="24" t="str">
        <f ca="1">IF(LEN($A12)&gt;0,IF(AND(ISNUMBER(VLOOKUP($A12,Rezepte,MATCH(Produktionsmenge!AB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AB$5,Rezepte!$5:$5,0),0),""),"")</f>
        <v/>
      </c>
      <c r="AC12" s="24" t="str">
        <f ca="1">IF(LEN($A12)&gt;0,IF(AND(ISNUMBER(VLOOKUP($A12,Rezepte,MATCH(Produktionsmenge!AC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AC$5,Rezepte!$5:$5,0),0),""),"")</f>
        <v/>
      </c>
      <c r="AD12" s="24" t="str">
        <f ca="1">IF(LEN($A12)&gt;0,IF(AND(ISNUMBER(VLOOKUP($A12,Rezepte,MATCH(Produktionsmenge!AD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AD$5,Rezepte!$5:$5,0),0),""),"")</f>
        <v/>
      </c>
      <c r="AE12" s="24" t="str">
        <f ca="1">IF(LEN($A12)&gt;0,IF(AND(ISNUMBER(VLOOKUP($A12,Rezepte,MATCH(Produktionsmenge!AE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AE$5,Rezepte!$5:$5,0),0),""),"")</f>
        <v/>
      </c>
      <c r="AF12" s="24" t="str">
        <f ca="1">IF(LEN($A12)&gt;0,IF(AND(ISNUMBER(VLOOKUP($A12,Rezepte,MATCH(Produktionsmenge!AF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AF$5,Rezepte!$5:$5,0),0),""),"")</f>
        <v/>
      </c>
      <c r="AG12" s="24" t="str">
        <f ca="1">IF(LEN($A12)&gt;0,IF(AND(ISNUMBER(VLOOKUP($A12,Rezepte,MATCH(Produktionsmenge!AG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AG$5,Rezepte!$5:$5,0),0),""),"")</f>
        <v/>
      </c>
      <c r="AH12" s="24" t="str">
        <f ca="1">IF(LEN($A12)&gt;0,IF(AND(ISNUMBER(VLOOKUP($A12,Rezepte,MATCH(Produktionsmenge!AH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AH$5,Rezepte!$5:$5,0),0),""),"")</f>
        <v/>
      </c>
      <c r="AI12" s="24" t="str">
        <f ca="1">IF(LEN($A12)&gt;0,IF(AND(ISNUMBER(VLOOKUP($A12,Rezepte,MATCH(Produktionsmenge!AI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AI$5,Rezepte!$5:$5,0),0),""),"")</f>
        <v/>
      </c>
      <c r="AJ12" s="24">
        <f ca="1">IF(LEN($A12)&gt;0,IF(AND(ISNUMBER(VLOOKUP($A12,Rezepte,MATCH(Produktionsmenge!AJ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AJ$5,Rezepte!$5:$5,0),0),""),"")</f>
        <v>1041.6342857142861</v>
      </c>
      <c r="AK12" s="24" t="str">
        <f ca="1">IF(LEN($A12)&gt;0,IF(AND(ISNUMBER(VLOOKUP($A12,Rezepte,MATCH(Produktionsmenge!AK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AK$5,Rezepte!$5:$5,0),0),""),"")</f>
        <v/>
      </c>
      <c r="AL12" s="24" t="str">
        <f ca="1">IF(LEN($A12)&gt;0,IF(AND(ISNUMBER(VLOOKUP($A12,Rezepte,MATCH(Produktionsmenge!AL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AL$5,Rezepte!$5:$5,0),0),""),"")</f>
        <v/>
      </c>
      <c r="AM12" s="24" t="str">
        <f ca="1">IF(LEN($A12)&gt;0,IF(AND(ISNUMBER(VLOOKUP($A12,Rezepte,MATCH(Produktionsmenge!AM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AM$5,Rezepte!$5:$5,0),0),""),"")</f>
        <v/>
      </c>
      <c r="AN12" s="24" t="str">
        <f ca="1">IF(LEN($A12)&gt;0,IF(AND(ISNUMBER(VLOOKUP($A12,Rezepte,MATCH(Produktionsmenge!AN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AN$5,Rezepte!$5:$5,0),0),""),"")</f>
        <v/>
      </c>
      <c r="AO12" s="24" t="str">
        <f ca="1">IF(LEN($A12)&gt;0,IF(AND(ISNUMBER(VLOOKUP($A12,Rezepte,MATCH(Produktionsmenge!AO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AO$5,Rezepte!$5:$5,0),0),""),"")</f>
        <v/>
      </c>
      <c r="AP12" s="24" t="str">
        <f ca="1">IF(LEN($A12)&gt;0,IF(AND(ISNUMBER(VLOOKUP($A12,Rezepte,MATCH(Produktionsmenge!AP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AP$5,Rezepte!$5:$5,0),0),""),"")</f>
        <v/>
      </c>
      <c r="AQ12" s="24" t="str">
        <f ca="1">IF(LEN($A12)&gt;0,IF(AND(ISNUMBER(VLOOKUP($A12,Rezepte,MATCH(Produktionsmenge!AQ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AQ$5,Rezepte!$5:$5,0),0),""),"")</f>
        <v/>
      </c>
      <c r="AR12" s="24" t="str">
        <f ca="1">IF(LEN($A12)&gt;0,IF(AND(ISNUMBER(VLOOKUP($A12,Rezepte,MATCH(Produktionsmenge!AR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AR$5,Rezepte!$5:$5,0),0),""),"")</f>
        <v/>
      </c>
      <c r="AS12" s="24" t="str">
        <f ca="1">IF(LEN($A12)&gt;0,IF(AND(ISNUMBER(VLOOKUP($A12,Rezepte,MATCH(Produktionsmenge!AS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AS$5,Rezepte!$5:$5,0),0),""),"")</f>
        <v/>
      </c>
      <c r="AT12" s="24" t="str">
        <f ca="1">IF(LEN($A12)&gt;0,IF(AND(ISNUMBER(VLOOKUP($A12,Rezepte,MATCH(Produktionsmenge!AT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AT$5,Rezepte!$5:$5,0),0),""),"")</f>
        <v/>
      </c>
      <c r="AU12" s="24" t="str">
        <f ca="1">IF(LEN($A12)&gt;0,IF(AND(ISNUMBER(VLOOKUP($A12,Rezepte,MATCH(Produktionsmenge!AU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AU$5,Rezepte!$5:$5,0),0),""),"")</f>
        <v/>
      </c>
      <c r="AV12" s="24" t="str">
        <f ca="1">IF(LEN($A12)&gt;0,IF(AND(ISNUMBER(VLOOKUP($A12,Rezepte,MATCH(Produktionsmenge!AV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AV$5,Rezepte!$5:$5,0),0),""),"")</f>
        <v/>
      </c>
      <c r="AW12" s="24" t="str">
        <f ca="1">IF(LEN($A12)&gt;0,IF(AND(ISNUMBER(VLOOKUP($A12,Rezepte,MATCH(Produktionsmenge!AW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AW$5,Rezepte!$5:$5,0),0),""),"")</f>
        <v/>
      </c>
      <c r="AX12" s="24" t="str">
        <f ca="1">IF(LEN($A12)&gt;0,IF(AND(ISNUMBER(VLOOKUP($A12,Rezepte,MATCH(Produktionsmenge!AX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AX$5,Rezepte!$5:$5,0),0),""),"")</f>
        <v/>
      </c>
      <c r="AY12" s="24" t="str">
        <f ca="1">IF(LEN($A12)&gt;0,IF(AND(ISNUMBER(VLOOKUP($A12,Rezepte,MATCH(Produktionsmenge!AY$5,Rezepte!$5:$5,0),0)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&gt;0),SUM(OFFSET(Bestellungen!$A$5,1,MATCH(IF(ISNUMBER(SEARCH("(",$A12)),LEFT($A12,SEARCH("(",$A12)-2),$A12),Bestellungen!$A$5:$AJ$5,0)-1):OFFSET(Bestellungen!$A$5,COUNTA(Bestellungen!$A$6:$A$1048576),MATCH(IF(ISNUMBER(SEARCH("(",$A12)),LEFT($A12,SEARCH("(",$A12)-2),$A12),Bestellungen!$A$5:$AJ$5,0)-1))*VLOOKUP($A12,Rezepte,MATCH(Produktionsmenge!AY$5,Rezepte!$5:$5,0),0),""),"")</f>
        <v/>
      </c>
    </row>
    <row r="13" spans="1:51" x14ac:dyDescent="0.25">
      <c r="A13" t="str">
        <f t="array" ref="A13">IFERROR(INDEX(Rezepte!$A$6:$A$100,MATCH(1,(COUNTIF(A$6:A12,Rezepte!A$6:A$100)=0)*(Rezepte!A$6:A$100&lt;&gt;""),0)),"")</f>
        <v>Milchbrötchen</v>
      </c>
      <c r="B13" s="24" t="str">
        <f ca="1">IF(LEN($A13)&gt;0,IF(AND(ISNUMBER(VLOOKUP($A13,Rezepte,MATCH(Produktionsmenge!B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B$5,Rezepte!$5:$5,0),0),""),"")</f>
        <v/>
      </c>
      <c r="C13" s="24" t="str">
        <f ca="1">IF(LEN($A13)&gt;0,IF(AND(ISNUMBER(VLOOKUP($A13,Rezepte,MATCH(Produktionsmenge!C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C$5,Rezepte!$5:$5,0),0),""),"")</f>
        <v/>
      </c>
      <c r="D13" s="24" t="str">
        <f ca="1">IF(LEN($A13)&gt;0,IF(AND(ISNUMBER(VLOOKUP($A13,Rezepte,MATCH(Produktionsmenge!D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D$5,Rezepte!$5:$5,0),0),""),"")</f>
        <v/>
      </c>
      <c r="E13" s="24" t="str">
        <f ca="1">IF(LEN($A13)&gt;0,IF(AND(ISNUMBER(VLOOKUP($A13,Rezepte,MATCH(Produktionsmenge!E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E$5,Rezepte!$5:$5,0),0),""),"")</f>
        <v/>
      </c>
      <c r="F13" s="24" t="str">
        <f ca="1">IF(LEN($A13)&gt;0,IF(AND(ISNUMBER(VLOOKUP($A13,Rezepte,MATCH(Produktionsmenge!F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F$5,Rezepte!$5:$5,0),0),""),"")</f>
        <v/>
      </c>
      <c r="G13" s="24">
        <f ca="1">IF(LEN($A13)&gt;0,IF(AND(ISNUMBER(VLOOKUP($A13,Rezepte,MATCH(Produktionsmenge!G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G$5,Rezepte!$5:$5,0),0),""),"")</f>
        <v>195</v>
      </c>
      <c r="H13" s="24" t="str">
        <f ca="1">IF(LEN($A13)&gt;0,IF(AND(ISNUMBER(VLOOKUP($A13,Rezepte,MATCH(Produktionsmenge!H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H$5,Rezepte!$5:$5,0),0),""),"")</f>
        <v/>
      </c>
      <c r="I13" s="24" t="str">
        <f ca="1">IF(LEN($A13)&gt;0,IF(AND(ISNUMBER(VLOOKUP($A13,Rezepte,MATCH(Produktionsmenge!I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I$5,Rezepte!$5:$5,0),0),""),"")</f>
        <v/>
      </c>
      <c r="J13" s="24" t="str">
        <f ca="1">IF(LEN($A13)&gt;0,IF(AND(ISNUMBER(VLOOKUP($A13,Rezepte,MATCH(Produktionsmenge!J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J$5,Rezepte!$5:$5,0),0),""),"")</f>
        <v/>
      </c>
      <c r="K13" s="24" t="str">
        <f ca="1">IF(LEN($A13)&gt;0,IF(AND(ISNUMBER(VLOOKUP($A13,Rezepte,MATCH(Produktionsmenge!K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K$5,Rezepte!$5:$5,0),0),""),"")</f>
        <v/>
      </c>
      <c r="L13" s="24" t="str">
        <f ca="1">IF(LEN($A13)&gt;0,IF(AND(ISNUMBER(VLOOKUP($A13,Rezepte,MATCH(Produktionsmenge!L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L$5,Rezepte!$5:$5,0),0),""),"")</f>
        <v/>
      </c>
      <c r="M13" s="24" t="str">
        <f ca="1">IF(LEN($A13)&gt;0,IF(AND(ISNUMBER(VLOOKUP($A13,Rezepte,MATCH(Produktionsmenge!M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M$5,Rezepte!$5:$5,0),0),""),"")</f>
        <v/>
      </c>
      <c r="N13" s="24">
        <f ca="1">IF(LEN($A13)&gt;0,IF(AND(ISNUMBER(VLOOKUP($A13,Rezepte,MATCH(Produktionsmenge!N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N$5,Rezepte!$5:$5,0),0),""),"")</f>
        <v>5</v>
      </c>
      <c r="O13" s="24" t="str">
        <f ca="1">IF(LEN($A13)&gt;0,IF(AND(ISNUMBER(VLOOKUP($A13,Rezepte,MATCH(Produktionsmenge!O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O$5,Rezepte!$5:$5,0),0),""),"")</f>
        <v/>
      </c>
      <c r="P13" s="24" t="str">
        <f ca="1">IF(LEN($A13)&gt;0,IF(AND(ISNUMBER(VLOOKUP($A13,Rezepte,MATCH(Produktionsmenge!P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P$5,Rezepte!$5:$5,0),0),""),"")</f>
        <v/>
      </c>
      <c r="Q13" s="24" t="str">
        <f ca="1">IF(LEN($A13)&gt;0,IF(AND(ISNUMBER(VLOOKUP($A13,Rezepte,MATCH(Produktionsmenge!Q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Q$5,Rezepte!$5:$5,0),0),""),"")</f>
        <v/>
      </c>
      <c r="R13" s="24" t="str">
        <f ca="1">IF(LEN($A13)&gt;0,IF(AND(ISNUMBER(VLOOKUP($A13,Rezepte,MATCH(Produktionsmenge!R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R$5,Rezepte!$5:$5,0),0),""),"")</f>
        <v/>
      </c>
      <c r="S13" s="24" t="str">
        <f ca="1">IF(LEN($A13)&gt;0,IF(AND(ISNUMBER(VLOOKUP($A13,Rezepte,MATCH(Produktionsmenge!S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S$5,Rezepte!$5:$5,0),0),""),"")</f>
        <v/>
      </c>
      <c r="T13" s="24" t="str">
        <f ca="1">IF(LEN($A13)&gt;0,IF(AND(ISNUMBER(VLOOKUP($A13,Rezepte,MATCH(Produktionsmenge!T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T$5,Rezepte!$5:$5,0),0),""),"")</f>
        <v/>
      </c>
      <c r="U13" s="24" t="str">
        <f ca="1">IF(LEN($A13)&gt;0,IF(AND(ISNUMBER(VLOOKUP($A13,Rezepte,MATCH(Produktionsmenge!U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U$5,Rezepte!$5:$5,0),0),""),"")</f>
        <v/>
      </c>
      <c r="V13" s="24" t="str">
        <f ca="1">IF(LEN($A13)&gt;0,IF(AND(ISNUMBER(VLOOKUP($A13,Rezepte,MATCH(Produktionsmenge!V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V$5,Rezepte!$5:$5,0),0),""),"")</f>
        <v/>
      </c>
      <c r="W13" s="24" t="str">
        <f ca="1">IF(LEN($A13)&gt;0,IF(AND(ISNUMBER(VLOOKUP($A13,Rezepte,MATCH(Produktionsmenge!W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W$5,Rezepte!$5:$5,0),0),""),"")</f>
        <v/>
      </c>
      <c r="X13" s="24" t="str">
        <f ca="1">IF(LEN($A13)&gt;0,IF(AND(ISNUMBER(VLOOKUP($A13,Rezepte,MATCH(Produktionsmenge!X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X$5,Rezepte!$5:$5,0),0),""),"")</f>
        <v/>
      </c>
      <c r="Y13" s="24">
        <f ca="1">IF(LEN($A13)&gt;0,IF(AND(ISNUMBER(VLOOKUP($A13,Rezepte,MATCH(Produktionsmenge!Y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Y$5,Rezepte!$5:$5,0),0),""),"")</f>
        <v>30</v>
      </c>
      <c r="Z13" s="24">
        <f ca="1">IF(LEN($A13)&gt;0,IF(AND(ISNUMBER(VLOOKUP($A13,Rezepte,MATCH(Produktionsmenge!Z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Z$5,Rezepte!$5:$5,0),0),""),"")</f>
        <v>70</v>
      </c>
      <c r="AA13" s="24">
        <f ca="1">IF(LEN($A13)&gt;0,IF(AND(ISNUMBER(VLOOKUP($A13,Rezepte,MATCH(Produktionsmenge!AA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AA$5,Rezepte!$5:$5,0),0),""),"")</f>
        <v>15</v>
      </c>
      <c r="AB13" s="24" t="str">
        <f ca="1">IF(LEN($A13)&gt;0,IF(AND(ISNUMBER(VLOOKUP($A13,Rezepte,MATCH(Produktionsmenge!AB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AB$5,Rezepte!$5:$5,0),0),""),"")</f>
        <v/>
      </c>
      <c r="AC13" s="24">
        <f ca="1">IF(LEN($A13)&gt;0,IF(AND(ISNUMBER(VLOOKUP($A13,Rezepte,MATCH(Produktionsmenge!AC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AC$5,Rezepte!$5:$5,0),0),""),"")</f>
        <v>1</v>
      </c>
      <c r="AD13" s="24">
        <f ca="1">IF(LEN($A13)&gt;0,IF(AND(ISNUMBER(VLOOKUP($A13,Rezepte,MATCH(Produktionsmenge!AD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AD$5,Rezepte!$5:$5,0),0),""),"")</f>
        <v>14</v>
      </c>
      <c r="AE13" s="24" t="str">
        <f ca="1">IF(LEN($A13)&gt;0,IF(AND(ISNUMBER(VLOOKUP($A13,Rezepte,MATCH(Produktionsmenge!AE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AE$5,Rezepte!$5:$5,0),0),""),"")</f>
        <v/>
      </c>
      <c r="AF13" s="24" t="str">
        <f ca="1">IF(LEN($A13)&gt;0,IF(AND(ISNUMBER(VLOOKUP($A13,Rezepte,MATCH(Produktionsmenge!AF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AF$5,Rezepte!$5:$5,0),0),""),"")</f>
        <v/>
      </c>
      <c r="AG13" s="24" t="str">
        <f ca="1">IF(LEN($A13)&gt;0,IF(AND(ISNUMBER(VLOOKUP($A13,Rezepte,MATCH(Produktionsmenge!AG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AG$5,Rezepte!$5:$5,0),0),""),"")</f>
        <v/>
      </c>
      <c r="AH13" s="24" t="str">
        <f ca="1">IF(LEN($A13)&gt;0,IF(AND(ISNUMBER(VLOOKUP($A13,Rezepte,MATCH(Produktionsmenge!AH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AH$5,Rezepte!$5:$5,0),0),""),"")</f>
        <v/>
      </c>
      <c r="AI13" s="24" t="str">
        <f ca="1">IF(LEN($A13)&gt;0,IF(AND(ISNUMBER(VLOOKUP($A13,Rezepte,MATCH(Produktionsmenge!AI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AI$5,Rezepte!$5:$5,0),0),""),"")</f>
        <v/>
      </c>
      <c r="AJ13" s="24">
        <f ca="1">IF(LEN($A13)&gt;0,IF(AND(ISNUMBER(VLOOKUP($A13,Rezepte,MATCH(Produktionsmenge!AJ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AJ$5,Rezepte!$5:$5,0),0),""),"")</f>
        <v>330</v>
      </c>
      <c r="AK13" s="24" t="str">
        <f ca="1">IF(LEN($A13)&gt;0,IF(AND(ISNUMBER(VLOOKUP($A13,Rezepte,MATCH(Produktionsmenge!AK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AK$5,Rezepte!$5:$5,0),0),""),"")</f>
        <v/>
      </c>
      <c r="AL13" s="24" t="str">
        <f ca="1">IF(LEN($A13)&gt;0,IF(AND(ISNUMBER(VLOOKUP($A13,Rezepte,MATCH(Produktionsmenge!AL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AL$5,Rezepte!$5:$5,0),0),""),"")</f>
        <v/>
      </c>
      <c r="AM13" s="24" t="str">
        <f ca="1">IF(LEN($A13)&gt;0,IF(AND(ISNUMBER(VLOOKUP($A13,Rezepte,MATCH(Produktionsmenge!AM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AM$5,Rezepte!$5:$5,0),0),""),"")</f>
        <v/>
      </c>
      <c r="AN13" s="24" t="str">
        <f ca="1">IF(LEN($A13)&gt;0,IF(AND(ISNUMBER(VLOOKUP($A13,Rezepte,MATCH(Produktionsmenge!AN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AN$5,Rezepte!$5:$5,0),0),""),"")</f>
        <v/>
      </c>
      <c r="AO13" s="24" t="str">
        <f ca="1">IF(LEN($A13)&gt;0,IF(AND(ISNUMBER(VLOOKUP($A13,Rezepte,MATCH(Produktionsmenge!AO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AO$5,Rezepte!$5:$5,0),0),""),"")</f>
        <v/>
      </c>
      <c r="AP13" s="24" t="str">
        <f ca="1">IF(LEN($A13)&gt;0,IF(AND(ISNUMBER(VLOOKUP($A13,Rezepte,MATCH(Produktionsmenge!AP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AP$5,Rezepte!$5:$5,0),0),""),"")</f>
        <v/>
      </c>
      <c r="AQ13" s="24" t="str">
        <f ca="1">IF(LEN($A13)&gt;0,IF(AND(ISNUMBER(VLOOKUP($A13,Rezepte,MATCH(Produktionsmenge!AQ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AQ$5,Rezepte!$5:$5,0),0),""),"")</f>
        <v/>
      </c>
      <c r="AR13" s="24" t="str">
        <f ca="1">IF(LEN($A13)&gt;0,IF(AND(ISNUMBER(VLOOKUP($A13,Rezepte,MATCH(Produktionsmenge!AR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AR$5,Rezepte!$5:$5,0),0),""),"")</f>
        <v/>
      </c>
      <c r="AS13" s="24" t="str">
        <f ca="1">IF(LEN($A13)&gt;0,IF(AND(ISNUMBER(VLOOKUP($A13,Rezepte,MATCH(Produktionsmenge!AS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AS$5,Rezepte!$5:$5,0),0),""),"")</f>
        <v/>
      </c>
      <c r="AT13" s="24" t="str">
        <f ca="1">IF(LEN($A13)&gt;0,IF(AND(ISNUMBER(VLOOKUP($A13,Rezepte,MATCH(Produktionsmenge!AT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AT$5,Rezepte!$5:$5,0),0),""),"")</f>
        <v/>
      </c>
      <c r="AU13" s="24" t="str">
        <f ca="1">IF(LEN($A13)&gt;0,IF(AND(ISNUMBER(VLOOKUP($A13,Rezepte,MATCH(Produktionsmenge!AU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AU$5,Rezepte!$5:$5,0),0),""),"")</f>
        <v/>
      </c>
      <c r="AV13" s="24" t="str">
        <f ca="1">IF(LEN($A13)&gt;0,IF(AND(ISNUMBER(VLOOKUP($A13,Rezepte,MATCH(Produktionsmenge!AV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AV$5,Rezepte!$5:$5,0),0),""),"")</f>
        <v/>
      </c>
      <c r="AW13" s="24" t="str">
        <f ca="1">IF(LEN($A13)&gt;0,IF(AND(ISNUMBER(VLOOKUP($A13,Rezepte,MATCH(Produktionsmenge!AW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AW$5,Rezepte!$5:$5,0),0),""),"")</f>
        <v/>
      </c>
      <c r="AX13" s="24" t="str">
        <f ca="1">IF(LEN($A13)&gt;0,IF(AND(ISNUMBER(VLOOKUP($A13,Rezepte,MATCH(Produktionsmenge!AX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AX$5,Rezepte!$5:$5,0),0),""),"")</f>
        <v/>
      </c>
      <c r="AY13" s="24" t="str">
        <f ca="1">IF(LEN($A13)&gt;0,IF(AND(ISNUMBER(VLOOKUP($A13,Rezepte,MATCH(Produktionsmenge!AY$5,Rezepte!$5:$5,0),0)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&gt;0),SUM(OFFSET(Bestellungen!$A$5,1,MATCH(IF(ISNUMBER(SEARCH("(",$A13)),LEFT($A13,SEARCH("(",$A13)-2),$A13),Bestellungen!$A$5:$AJ$5,0)-1):OFFSET(Bestellungen!$A$5,COUNTA(Bestellungen!$A$6:$A$1048576),MATCH(IF(ISNUMBER(SEARCH("(",$A13)),LEFT($A13,SEARCH("(",$A13)-2),$A13),Bestellungen!$A$5:$AJ$5,0)-1))*VLOOKUP($A13,Rezepte,MATCH(Produktionsmenge!AY$5,Rezepte!$5:$5,0),0),""),"")</f>
        <v/>
      </c>
    </row>
    <row r="14" spans="1:51" x14ac:dyDescent="0.25">
      <c r="A14" t="str">
        <f t="array" ref="A14">IFERROR(INDEX(Rezepte!$A$6:$A$100,MATCH(1,(COUNTIF(A$6:A13,Rezepte!A$6:A$100)=0)*(Rezepte!A$6:A$100&lt;&gt;""),0)),"")</f>
        <v>Quarktasche (Teig)</v>
      </c>
      <c r="B14" s="24" t="str">
        <f ca="1">IF(LEN($A14)&gt;0,IF(AND(ISNUMBER(VLOOKUP($A14,Rezepte,MATCH(Produktionsmenge!B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B$5,Rezepte!$5:$5,0),0),""),"")</f>
        <v/>
      </c>
      <c r="C14" s="24" t="str">
        <f ca="1">IF(LEN($A14)&gt;0,IF(AND(ISNUMBER(VLOOKUP($A14,Rezepte,MATCH(Produktionsmenge!C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C$5,Rezepte!$5:$5,0),0),""),"")</f>
        <v/>
      </c>
      <c r="D14" s="24" t="str">
        <f ca="1">IF(LEN($A14)&gt;0,IF(AND(ISNUMBER(VLOOKUP($A14,Rezepte,MATCH(Produktionsmenge!D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D$5,Rezepte!$5:$5,0),0),""),"")</f>
        <v/>
      </c>
      <c r="E14" s="24" t="str">
        <f ca="1">IF(LEN($A14)&gt;0,IF(AND(ISNUMBER(VLOOKUP($A14,Rezepte,MATCH(Produktionsmenge!E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E$5,Rezepte!$5:$5,0),0),""),"")</f>
        <v/>
      </c>
      <c r="F14" s="24" t="str">
        <f ca="1">IF(LEN($A14)&gt;0,IF(AND(ISNUMBER(VLOOKUP($A14,Rezepte,MATCH(Produktionsmenge!F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F$5,Rezepte!$5:$5,0),0),""),"")</f>
        <v/>
      </c>
      <c r="G14" s="24">
        <f ca="1">IF(LEN($A14)&gt;0,IF(AND(ISNUMBER(VLOOKUP($A14,Rezepte,MATCH(Produktionsmenge!G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G$5,Rezepte!$5:$5,0),0),""),"")</f>
        <v>69.599999999999994</v>
      </c>
      <c r="H14" s="24" t="str">
        <f ca="1">IF(LEN($A14)&gt;0,IF(AND(ISNUMBER(VLOOKUP($A14,Rezepte,MATCH(Produktionsmenge!H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H$5,Rezepte!$5:$5,0),0),""),"")</f>
        <v/>
      </c>
      <c r="I14" s="24" t="str">
        <f ca="1">IF(LEN($A14)&gt;0,IF(AND(ISNUMBER(VLOOKUP($A14,Rezepte,MATCH(Produktionsmenge!I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I$5,Rezepte!$5:$5,0),0),""),"")</f>
        <v/>
      </c>
      <c r="J14" s="24" t="str">
        <f ca="1">IF(LEN($A14)&gt;0,IF(AND(ISNUMBER(VLOOKUP($A14,Rezepte,MATCH(Produktionsmenge!J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J$5,Rezepte!$5:$5,0),0),""),"")</f>
        <v/>
      </c>
      <c r="K14" s="24" t="str">
        <f ca="1">IF(LEN($A14)&gt;0,IF(AND(ISNUMBER(VLOOKUP($A14,Rezepte,MATCH(Produktionsmenge!K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K$5,Rezepte!$5:$5,0),0),""),"")</f>
        <v/>
      </c>
      <c r="L14" s="24" t="str">
        <f ca="1">IF(LEN($A14)&gt;0,IF(AND(ISNUMBER(VLOOKUP($A14,Rezepte,MATCH(Produktionsmenge!L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L$5,Rezepte!$5:$5,0),0),""),"")</f>
        <v/>
      </c>
      <c r="M14" s="24" t="str">
        <f ca="1">IF(LEN($A14)&gt;0,IF(AND(ISNUMBER(VLOOKUP($A14,Rezepte,MATCH(Produktionsmenge!M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M$5,Rezepte!$5:$5,0),0),""),"")</f>
        <v/>
      </c>
      <c r="N14" s="24">
        <f ca="1">IF(LEN($A14)&gt;0,IF(AND(ISNUMBER(VLOOKUP($A14,Rezepte,MATCH(Produktionsmenge!N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N$5,Rezepte!$5:$5,0),0),""),"")</f>
        <v>2.4000000000000004</v>
      </c>
      <c r="O14" s="24" t="str">
        <f ca="1">IF(LEN($A14)&gt;0,IF(AND(ISNUMBER(VLOOKUP($A14,Rezepte,MATCH(Produktionsmenge!O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O$5,Rezepte!$5:$5,0),0),""),"")</f>
        <v/>
      </c>
      <c r="P14" s="24" t="str">
        <f ca="1">IF(LEN($A14)&gt;0,IF(AND(ISNUMBER(VLOOKUP($A14,Rezepte,MATCH(Produktionsmenge!P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P$5,Rezepte!$5:$5,0),0),""),"")</f>
        <v/>
      </c>
      <c r="Q14" s="24" t="str">
        <f ca="1">IF(LEN($A14)&gt;0,IF(AND(ISNUMBER(VLOOKUP($A14,Rezepte,MATCH(Produktionsmenge!Q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Q$5,Rezepte!$5:$5,0),0),""),"")</f>
        <v/>
      </c>
      <c r="R14" s="24" t="str">
        <f ca="1">IF(LEN($A14)&gt;0,IF(AND(ISNUMBER(VLOOKUP($A14,Rezepte,MATCH(Produktionsmenge!R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R$5,Rezepte!$5:$5,0),0),""),"")</f>
        <v/>
      </c>
      <c r="S14" s="24" t="str">
        <f ca="1">IF(LEN($A14)&gt;0,IF(AND(ISNUMBER(VLOOKUP($A14,Rezepte,MATCH(Produktionsmenge!S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S$5,Rezepte!$5:$5,0),0),""),"")</f>
        <v/>
      </c>
      <c r="T14" s="24" t="str">
        <f ca="1">IF(LEN($A14)&gt;0,IF(AND(ISNUMBER(VLOOKUP($A14,Rezepte,MATCH(Produktionsmenge!T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T$5,Rezepte!$5:$5,0),0),""),"")</f>
        <v/>
      </c>
      <c r="U14" s="24" t="str">
        <f ca="1">IF(LEN($A14)&gt;0,IF(AND(ISNUMBER(VLOOKUP($A14,Rezepte,MATCH(Produktionsmenge!U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U$5,Rezepte!$5:$5,0),0),""),"")</f>
        <v/>
      </c>
      <c r="V14" s="24" t="str">
        <f ca="1">IF(LEN($A14)&gt;0,IF(AND(ISNUMBER(VLOOKUP($A14,Rezepte,MATCH(Produktionsmenge!V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V$5,Rezepte!$5:$5,0),0),""),"")</f>
        <v/>
      </c>
      <c r="W14" s="24" t="str">
        <f ca="1">IF(LEN($A14)&gt;0,IF(AND(ISNUMBER(VLOOKUP($A14,Rezepte,MATCH(Produktionsmenge!W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W$5,Rezepte!$5:$5,0),0),""),"")</f>
        <v/>
      </c>
      <c r="X14" s="24" t="str">
        <f ca="1">IF(LEN($A14)&gt;0,IF(AND(ISNUMBER(VLOOKUP($A14,Rezepte,MATCH(Produktionsmenge!X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X$5,Rezepte!$5:$5,0),0),""),"")</f>
        <v/>
      </c>
      <c r="Y14" s="24">
        <f ca="1">IF(LEN($A14)&gt;0,IF(AND(ISNUMBER(VLOOKUP($A14,Rezepte,MATCH(Produktionsmenge!Y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Y$5,Rezepte!$5:$5,0),0),""),"")</f>
        <v>12</v>
      </c>
      <c r="Z14" s="24">
        <f ca="1">IF(LEN($A14)&gt;0,IF(AND(ISNUMBER(VLOOKUP($A14,Rezepte,MATCH(Produktionsmenge!Z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Z$5,Rezepte!$5:$5,0),0),""),"")</f>
        <v>27</v>
      </c>
      <c r="AA14" s="24">
        <f ca="1">IF(LEN($A14)&gt;0,IF(AND(ISNUMBER(VLOOKUP($A14,Rezepte,MATCH(Produktionsmenge!AA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AA$5,Rezepte!$5:$5,0),0),""),"")</f>
        <v>5.4</v>
      </c>
      <c r="AB14" s="24" t="str">
        <f ca="1">IF(LEN($A14)&gt;0,IF(AND(ISNUMBER(VLOOKUP($A14,Rezepte,MATCH(Produktionsmenge!AB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AB$5,Rezepte!$5:$5,0),0),""),"")</f>
        <v/>
      </c>
      <c r="AC14" s="24">
        <f ca="1">IF(LEN($A14)&gt;0,IF(AND(ISNUMBER(VLOOKUP($A14,Rezepte,MATCH(Produktionsmenge!AC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AC$5,Rezepte!$5:$5,0),0),""),"")</f>
        <v>0.33</v>
      </c>
      <c r="AD14" s="24">
        <f ca="1">IF(LEN($A14)&gt;0,IF(AND(ISNUMBER(VLOOKUP($A14,Rezepte,MATCH(Produktionsmenge!AD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AD$5,Rezepte!$5:$5,0),0),""),"")</f>
        <v>4.8000000000000007</v>
      </c>
      <c r="AE14" s="24" t="str">
        <f ca="1">IF(LEN($A14)&gt;0,IF(AND(ISNUMBER(VLOOKUP($A14,Rezepte,MATCH(Produktionsmenge!AE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AE$5,Rezepte!$5:$5,0),0),""),"")</f>
        <v/>
      </c>
      <c r="AF14" s="24" t="str">
        <f ca="1">IF(LEN($A14)&gt;0,IF(AND(ISNUMBER(VLOOKUP($A14,Rezepte,MATCH(Produktionsmenge!AF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AF$5,Rezepte!$5:$5,0),0),""),"")</f>
        <v/>
      </c>
      <c r="AG14" s="24" t="str">
        <f ca="1">IF(LEN($A14)&gt;0,IF(AND(ISNUMBER(VLOOKUP($A14,Rezepte,MATCH(Produktionsmenge!AG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AG$5,Rezepte!$5:$5,0),0),""),"")</f>
        <v/>
      </c>
      <c r="AH14" s="24" t="str">
        <f ca="1">IF(LEN($A14)&gt;0,IF(AND(ISNUMBER(VLOOKUP($A14,Rezepte,MATCH(Produktionsmenge!AH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AH$5,Rezepte!$5:$5,0),0),""),"")</f>
        <v/>
      </c>
      <c r="AI14" s="24" t="str">
        <f ca="1">IF(LEN($A14)&gt;0,IF(AND(ISNUMBER(VLOOKUP($A14,Rezepte,MATCH(Produktionsmenge!AI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AI$5,Rezepte!$5:$5,0),0),""),"")</f>
        <v/>
      </c>
      <c r="AJ14" s="24" t="str">
        <f ca="1">IF(LEN($A14)&gt;0,IF(AND(ISNUMBER(VLOOKUP($A14,Rezepte,MATCH(Produktionsmenge!AJ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AJ$5,Rezepte!$5:$5,0),0),""),"")</f>
        <v/>
      </c>
      <c r="AK14" s="24" t="str">
        <f ca="1">IF(LEN($A14)&gt;0,IF(AND(ISNUMBER(VLOOKUP($A14,Rezepte,MATCH(Produktionsmenge!AK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AK$5,Rezepte!$5:$5,0),0),""),"")</f>
        <v/>
      </c>
      <c r="AL14" s="24" t="str">
        <f ca="1">IF(LEN($A14)&gt;0,IF(AND(ISNUMBER(VLOOKUP($A14,Rezepte,MATCH(Produktionsmenge!AL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AL$5,Rezepte!$5:$5,0),0),""),"")</f>
        <v/>
      </c>
      <c r="AM14" s="24" t="str">
        <f ca="1">IF(LEN($A14)&gt;0,IF(AND(ISNUMBER(VLOOKUP($A14,Rezepte,MATCH(Produktionsmenge!AM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AM$5,Rezepte!$5:$5,0),0),""),"")</f>
        <v/>
      </c>
      <c r="AN14" s="24" t="str">
        <f ca="1">IF(LEN($A14)&gt;0,IF(AND(ISNUMBER(VLOOKUP($A14,Rezepte,MATCH(Produktionsmenge!AN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AN$5,Rezepte!$5:$5,0),0),""),"")</f>
        <v/>
      </c>
      <c r="AO14" s="24" t="str">
        <f ca="1">IF(LEN($A14)&gt;0,IF(AND(ISNUMBER(VLOOKUP($A14,Rezepte,MATCH(Produktionsmenge!AO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AO$5,Rezepte!$5:$5,0),0),""),"")</f>
        <v/>
      </c>
      <c r="AP14" s="24" t="str">
        <f ca="1">IF(LEN($A14)&gt;0,IF(AND(ISNUMBER(VLOOKUP($A14,Rezepte,MATCH(Produktionsmenge!AP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AP$5,Rezepte!$5:$5,0),0),""),"")</f>
        <v/>
      </c>
      <c r="AQ14" s="24" t="str">
        <f ca="1">IF(LEN($A14)&gt;0,IF(AND(ISNUMBER(VLOOKUP($A14,Rezepte,MATCH(Produktionsmenge!AQ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AQ$5,Rezepte!$5:$5,0),0),""),"")</f>
        <v/>
      </c>
      <c r="AR14" s="24" t="str">
        <f ca="1">IF(LEN($A14)&gt;0,IF(AND(ISNUMBER(VLOOKUP($A14,Rezepte,MATCH(Produktionsmenge!AR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AR$5,Rezepte!$5:$5,0),0),""),"")</f>
        <v/>
      </c>
      <c r="AS14" s="24" t="str">
        <f ca="1">IF(LEN($A14)&gt;0,IF(AND(ISNUMBER(VLOOKUP($A14,Rezepte,MATCH(Produktionsmenge!AS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AS$5,Rezepte!$5:$5,0),0),""),"")</f>
        <v/>
      </c>
      <c r="AT14" s="24" t="str">
        <f ca="1">IF(LEN($A14)&gt;0,IF(AND(ISNUMBER(VLOOKUP($A14,Rezepte,MATCH(Produktionsmenge!AT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AT$5,Rezepte!$5:$5,0),0),""),"")</f>
        <v/>
      </c>
      <c r="AU14" s="24" t="str">
        <f ca="1">IF(LEN($A14)&gt;0,IF(AND(ISNUMBER(VLOOKUP($A14,Rezepte,MATCH(Produktionsmenge!AU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AU$5,Rezepte!$5:$5,0),0),""),"")</f>
        <v/>
      </c>
      <c r="AV14" s="24" t="str">
        <f ca="1">IF(LEN($A14)&gt;0,IF(AND(ISNUMBER(VLOOKUP($A14,Rezepte,MATCH(Produktionsmenge!AV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AV$5,Rezepte!$5:$5,0),0),""),"")</f>
        <v/>
      </c>
      <c r="AW14" s="24" t="str">
        <f ca="1">IF(LEN($A14)&gt;0,IF(AND(ISNUMBER(VLOOKUP($A14,Rezepte,MATCH(Produktionsmenge!AW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AW$5,Rezepte!$5:$5,0),0),""),"")</f>
        <v/>
      </c>
      <c r="AX14" s="24" t="str">
        <f ca="1">IF(LEN($A14)&gt;0,IF(AND(ISNUMBER(VLOOKUP($A14,Rezepte,MATCH(Produktionsmenge!AX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AX$5,Rezepte!$5:$5,0),0),""),"")</f>
        <v/>
      </c>
      <c r="AY14" s="24" t="str">
        <f ca="1">IF(LEN($A14)&gt;0,IF(AND(ISNUMBER(VLOOKUP($A14,Rezepte,MATCH(Produktionsmenge!AY$5,Rezepte!$5:$5,0),0)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&gt;0),SUM(OFFSET(Bestellungen!$A$5,1,MATCH(IF(ISNUMBER(SEARCH("(",$A14)),LEFT($A14,SEARCH("(",$A14)-2),$A14),Bestellungen!$A$5:$AJ$5,0)-1):OFFSET(Bestellungen!$A$5,COUNTA(Bestellungen!$A$6:$A$1048576),MATCH(IF(ISNUMBER(SEARCH("(",$A14)),LEFT($A14,SEARCH("(",$A14)-2),$A14),Bestellungen!$A$5:$AJ$5,0)-1))*VLOOKUP($A14,Rezepte,MATCH(Produktionsmenge!AY$5,Rezepte!$5:$5,0),0),""),"")</f>
        <v/>
      </c>
    </row>
    <row r="15" spans="1:51" x14ac:dyDescent="0.25">
      <c r="A15" t="str">
        <f t="array" ref="A15">IFERROR(INDEX(Rezepte!$A$6:$A$100,MATCH(1,(COUNTIF(A$6:A14,Rezepte!A$6:A$100)=0)*(Rezepte!A$6:A$100&lt;&gt;""),0)),"")</f>
        <v>Quarktasche (Quarkmasse)</v>
      </c>
      <c r="B15" s="24" t="str">
        <f ca="1">IF(LEN($A15)&gt;0,IF(AND(ISNUMBER(VLOOKUP($A15,Rezepte,MATCH(Produktionsmenge!B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B$5,Rezepte!$5:$5,0),0),""),"")</f>
        <v/>
      </c>
      <c r="C15" s="24" t="str">
        <f ca="1">IF(LEN($A15)&gt;0,IF(AND(ISNUMBER(VLOOKUP($A15,Rezepte,MATCH(Produktionsmenge!C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C$5,Rezepte!$5:$5,0),0),""),"")</f>
        <v/>
      </c>
      <c r="D15" s="24" t="str">
        <f ca="1">IF(LEN($A15)&gt;0,IF(AND(ISNUMBER(VLOOKUP($A15,Rezepte,MATCH(Produktionsmenge!D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D$5,Rezepte!$5:$5,0),0),""),"")</f>
        <v/>
      </c>
      <c r="E15" s="24" t="str">
        <f ca="1">IF(LEN($A15)&gt;0,IF(AND(ISNUMBER(VLOOKUP($A15,Rezepte,MATCH(Produktionsmenge!E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E$5,Rezepte!$5:$5,0),0),""),"")</f>
        <v/>
      </c>
      <c r="F15" s="24" t="str">
        <f ca="1">IF(LEN($A15)&gt;0,IF(AND(ISNUMBER(VLOOKUP($A15,Rezepte,MATCH(Produktionsmenge!F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F$5,Rezepte!$5:$5,0),0),""),"")</f>
        <v/>
      </c>
      <c r="G15" s="24" t="str">
        <f ca="1">IF(LEN($A15)&gt;0,IF(AND(ISNUMBER(VLOOKUP($A15,Rezepte,MATCH(Produktionsmenge!G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G$5,Rezepte!$5:$5,0),0),""),"")</f>
        <v/>
      </c>
      <c r="H15" s="24" t="str">
        <f ca="1">IF(LEN($A15)&gt;0,IF(AND(ISNUMBER(VLOOKUP($A15,Rezepte,MATCH(Produktionsmenge!H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H$5,Rezepte!$5:$5,0),0),""),"")</f>
        <v/>
      </c>
      <c r="I15" s="24" t="str">
        <f ca="1">IF(LEN($A15)&gt;0,IF(AND(ISNUMBER(VLOOKUP($A15,Rezepte,MATCH(Produktionsmenge!I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I$5,Rezepte!$5:$5,0),0),""),"")</f>
        <v/>
      </c>
      <c r="J15" s="24" t="str">
        <f ca="1">IF(LEN($A15)&gt;0,IF(AND(ISNUMBER(VLOOKUP($A15,Rezepte,MATCH(Produktionsmenge!J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J$5,Rezepte!$5:$5,0),0),""),"")</f>
        <v/>
      </c>
      <c r="K15" s="24" t="str">
        <f ca="1">IF(LEN($A15)&gt;0,IF(AND(ISNUMBER(VLOOKUP($A15,Rezepte,MATCH(Produktionsmenge!K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K$5,Rezepte!$5:$5,0),0),""),"")</f>
        <v/>
      </c>
      <c r="L15" s="24" t="str">
        <f ca="1">IF(LEN($A15)&gt;0,IF(AND(ISNUMBER(VLOOKUP($A15,Rezepte,MATCH(Produktionsmenge!L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L$5,Rezepte!$5:$5,0),0),""),"")</f>
        <v/>
      </c>
      <c r="M15" s="24" t="str">
        <f ca="1">IF(LEN($A15)&gt;0,IF(AND(ISNUMBER(VLOOKUP($A15,Rezepte,MATCH(Produktionsmenge!M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M$5,Rezepte!$5:$5,0),0),""),"")</f>
        <v/>
      </c>
      <c r="N15" s="24" t="str">
        <f ca="1">IF(LEN($A15)&gt;0,IF(AND(ISNUMBER(VLOOKUP($A15,Rezepte,MATCH(Produktionsmenge!N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N$5,Rezepte!$5:$5,0),0),""),"")</f>
        <v/>
      </c>
      <c r="O15" s="24" t="str">
        <f ca="1">IF(LEN($A15)&gt;0,IF(AND(ISNUMBER(VLOOKUP($A15,Rezepte,MATCH(Produktionsmenge!O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O$5,Rezepte!$5:$5,0),0),""),"")</f>
        <v/>
      </c>
      <c r="P15" s="24" t="str">
        <f ca="1">IF(LEN($A15)&gt;0,IF(AND(ISNUMBER(VLOOKUP($A15,Rezepte,MATCH(Produktionsmenge!P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P$5,Rezepte!$5:$5,0),0),""),"")</f>
        <v/>
      </c>
      <c r="Q15" s="24" t="str">
        <f ca="1">IF(LEN($A15)&gt;0,IF(AND(ISNUMBER(VLOOKUP($A15,Rezepte,MATCH(Produktionsmenge!Q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Q$5,Rezepte!$5:$5,0),0),""),"")</f>
        <v/>
      </c>
      <c r="R15" s="24" t="str">
        <f ca="1">IF(LEN($A15)&gt;0,IF(AND(ISNUMBER(VLOOKUP($A15,Rezepte,MATCH(Produktionsmenge!R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R$5,Rezepte!$5:$5,0),0),""),"")</f>
        <v/>
      </c>
      <c r="S15" s="24" t="str">
        <f ca="1">IF(LEN($A15)&gt;0,IF(AND(ISNUMBER(VLOOKUP($A15,Rezepte,MATCH(Produktionsmenge!S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S$5,Rezepte!$5:$5,0),0),""),"")</f>
        <v/>
      </c>
      <c r="T15" s="24" t="str">
        <f ca="1">IF(LEN($A15)&gt;0,IF(AND(ISNUMBER(VLOOKUP($A15,Rezepte,MATCH(Produktionsmenge!T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T$5,Rezepte!$5:$5,0),0),""),"")</f>
        <v/>
      </c>
      <c r="U15" s="24" t="str">
        <f ca="1">IF(LEN($A15)&gt;0,IF(AND(ISNUMBER(VLOOKUP($A15,Rezepte,MATCH(Produktionsmenge!U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U$5,Rezepte!$5:$5,0),0),""),"")</f>
        <v/>
      </c>
      <c r="V15" s="24" t="str">
        <f ca="1">IF(LEN($A15)&gt;0,IF(AND(ISNUMBER(VLOOKUP($A15,Rezepte,MATCH(Produktionsmenge!V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V$5,Rezepte!$5:$5,0),0),""),"")</f>
        <v/>
      </c>
      <c r="W15" s="24" t="str">
        <f ca="1">IF(LEN($A15)&gt;0,IF(AND(ISNUMBER(VLOOKUP($A15,Rezepte,MATCH(Produktionsmenge!W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W$5,Rezepte!$5:$5,0),0),""),"")</f>
        <v/>
      </c>
      <c r="X15" s="24" t="str">
        <f ca="1">IF(LEN($A15)&gt;0,IF(AND(ISNUMBER(VLOOKUP($A15,Rezepte,MATCH(Produktionsmenge!X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X$5,Rezepte!$5:$5,0),0),""),"")</f>
        <v/>
      </c>
      <c r="Y15" s="24">
        <f ca="1">IF(LEN($A15)&gt;0,IF(AND(ISNUMBER(VLOOKUP($A15,Rezepte,MATCH(Produktionsmenge!Y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Y$5,Rezepte!$5:$5,0),0),""),"")</f>
        <v>15</v>
      </c>
      <c r="Z15" s="24" t="str">
        <f ca="1">IF(LEN($A15)&gt;0,IF(AND(ISNUMBER(VLOOKUP($A15,Rezepte,MATCH(Produktionsmenge!Z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Z$5,Rezepte!$5:$5,0),0),""),"")</f>
        <v/>
      </c>
      <c r="AA15" s="24">
        <f ca="1">IF(LEN($A15)&gt;0,IF(AND(ISNUMBER(VLOOKUP($A15,Rezepte,MATCH(Produktionsmenge!AA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AA$5,Rezepte!$5:$5,0),0),""),"")</f>
        <v>15</v>
      </c>
      <c r="AB15" s="24" t="str">
        <f ca="1">IF(LEN($A15)&gt;0,IF(AND(ISNUMBER(VLOOKUP($A15,Rezepte,MATCH(Produktionsmenge!AB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AB$5,Rezepte!$5:$5,0),0),""),"")</f>
        <v/>
      </c>
      <c r="AC15" s="24">
        <f ca="1">IF(LEN($A15)&gt;0,IF(AND(ISNUMBER(VLOOKUP($A15,Rezepte,MATCH(Produktionsmenge!AC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AC$5,Rezepte!$5:$5,0),0),""),"")</f>
        <v>1.2000000000000002</v>
      </c>
      <c r="AD15" s="24">
        <f ca="1">IF(LEN($A15)&gt;0,IF(AND(ISNUMBER(VLOOKUP($A15,Rezepte,MATCH(Produktionsmenge!AD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AD$5,Rezepte!$5:$5,0),0),""),"")</f>
        <v>9</v>
      </c>
      <c r="AE15" s="24">
        <f ca="1">IF(LEN($A15)&gt;0,IF(AND(ISNUMBER(VLOOKUP($A15,Rezepte,MATCH(Produktionsmenge!AE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AE$5,Rezepte!$5:$5,0),0),""),"")</f>
        <v>37.5</v>
      </c>
      <c r="AF15" s="24">
        <f ca="1">IF(LEN($A15)&gt;0,IF(AND(ISNUMBER(VLOOKUP($A15,Rezepte,MATCH(Produktionsmenge!AF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AF$5,Rezepte!$5:$5,0),0),""),"")</f>
        <v>6</v>
      </c>
      <c r="AG15" s="24" t="str">
        <f ca="1">IF(LEN($A15)&gt;0,IF(AND(ISNUMBER(VLOOKUP($A15,Rezepte,MATCH(Produktionsmenge!AG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AG$5,Rezepte!$5:$5,0),0),""),"")</f>
        <v/>
      </c>
      <c r="AH15" s="24" t="str">
        <f ca="1">IF(LEN($A15)&gt;0,IF(AND(ISNUMBER(VLOOKUP($A15,Rezepte,MATCH(Produktionsmenge!AH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AH$5,Rezepte!$5:$5,0),0),""),"")</f>
        <v/>
      </c>
      <c r="AI15" s="24" t="str">
        <f ca="1">IF(LEN($A15)&gt;0,IF(AND(ISNUMBER(VLOOKUP($A15,Rezepte,MATCH(Produktionsmenge!AI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AI$5,Rezepte!$5:$5,0),0),""),"")</f>
        <v/>
      </c>
      <c r="AJ15" s="24" t="str">
        <f ca="1">IF(LEN($A15)&gt;0,IF(AND(ISNUMBER(VLOOKUP($A15,Rezepte,MATCH(Produktionsmenge!AJ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AJ$5,Rezepte!$5:$5,0),0),""),"")</f>
        <v/>
      </c>
      <c r="AK15" s="24" t="str">
        <f ca="1">IF(LEN($A15)&gt;0,IF(AND(ISNUMBER(VLOOKUP($A15,Rezepte,MATCH(Produktionsmenge!AK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AK$5,Rezepte!$5:$5,0),0),""),"")</f>
        <v/>
      </c>
      <c r="AL15" s="24" t="str">
        <f ca="1">IF(LEN($A15)&gt;0,IF(AND(ISNUMBER(VLOOKUP($A15,Rezepte,MATCH(Produktionsmenge!AL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AL$5,Rezepte!$5:$5,0),0),""),"")</f>
        <v/>
      </c>
      <c r="AM15" s="24" t="str">
        <f ca="1">IF(LEN($A15)&gt;0,IF(AND(ISNUMBER(VLOOKUP($A15,Rezepte,MATCH(Produktionsmenge!AM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AM$5,Rezepte!$5:$5,0),0),""),"")</f>
        <v/>
      </c>
      <c r="AN15" s="24" t="str">
        <f ca="1">IF(LEN($A15)&gt;0,IF(AND(ISNUMBER(VLOOKUP($A15,Rezepte,MATCH(Produktionsmenge!AN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AN$5,Rezepte!$5:$5,0),0),""),"")</f>
        <v/>
      </c>
      <c r="AO15" s="24" t="str">
        <f ca="1">IF(LEN($A15)&gt;0,IF(AND(ISNUMBER(VLOOKUP($A15,Rezepte,MATCH(Produktionsmenge!AO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AO$5,Rezepte!$5:$5,0),0),""),"")</f>
        <v/>
      </c>
      <c r="AP15" s="24" t="str">
        <f ca="1">IF(LEN($A15)&gt;0,IF(AND(ISNUMBER(VLOOKUP($A15,Rezepte,MATCH(Produktionsmenge!AP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AP$5,Rezepte!$5:$5,0),0),""),"")</f>
        <v/>
      </c>
      <c r="AQ15" s="24" t="str">
        <f ca="1">IF(LEN($A15)&gt;0,IF(AND(ISNUMBER(VLOOKUP($A15,Rezepte,MATCH(Produktionsmenge!AQ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AQ$5,Rezepte!$5:$5,0),0),""),"")</f>
        <v/>
      </c>
      <c r="AR15" s="24" t="str">
        <f ca="1">IF(LEN($A15)&gt;0,IF(AND(ISNUMBER(VLOOKUP($A15,Rezepte,MATCH(Produktionsmenge!AR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AR$5,Rezepte!$5:$5,0),0),""),"")</f>
        <v/>
      </c>
      <c r="AS15" s="24" t="str">
        <f ca="1">IF(LEN($A15)&gt;0,IF(AND(ISNUMBER(VLOOKUP($A15,Rezepte,MATCH(Produktionsmenge!AS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AS$5,Rezepte!$5:$5,0),0),""),"")</f>
        <v/>
      </c>
      <c r="AT15" s="24" t="str">
        <f ca="1">IF(LEN($A15)&gt;0,IF(AND(ISNUMBER(VLOOKUP($A15,Rezepte,MATCH(Produktionsmenge!AT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AT$5,Rezepte!$5:$5,0),0),""),"")</f>
        <v/>
      </c>
      <c r="AU15" s="24" t="str">
        <f ca="1">IF(LEN($A15)&gt;0,IF(AND(ISNUMBER(VLOOKUP($A15,Rezepte,MATCH(Produktionsmenge!AU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AU$5,Rezepte!$5:$5,0),0),""),"")</f>
        <v/>
      </c>
      <c r="AV15" s="24" t="str">
        <f ca="1">IF(LEN($A15)&gt;0,IF(AND(ISNUMBER(VLOOKUP($A15,Rezepte,MATCH(Produktionsmenge!AV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AV$5,Rezepte!$5:$5,0),0),""),"")</f>
        <v/>
      </c>
      <c r="AW15" s="24" t="str">
        <f ca="1">IF(LEN($A15)&gt;0,IF(AND(ISNUMBER(VLOOKUP($A15,Rezepte,MATCH(Produktionsmenge!AW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AW$5,Rezepte!$5:$5,0),0),""),"")</f>
        <v/>
      </c>
      <c r="AX15" s="24" t="str">
        <f ca="1">IF(LEN($A15)&gt;0,IF(AND(ISNUMBER(VLOOKUP($A15,Rezepte,MATCH(Produktionsmenge!AX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AX$5,Rezepte!$5:$5,0),0),""),"")</f>
        <v/>
      </c>
      <c r="AY15" s="24" t="str">
        <f ca="1">IF(LEN($A15)&gt;0,IF(AND(ISNUMBER(VLOOKUP($A15,Rezepte,MATCH(Produktionsmenge!AY$5,Rezepte!$5:$5,0),0)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&gt;0),SUM(OFFSET(Bestellungen!$A$5,1,MATCH(IF(ISNUMBER(SEARCH("(",$A15)),LEFT($A15,SEARCH("(",$A15)-2),$A15),Bestellungen!$A$5:$AJ$5,0)-1):OFFSET(Bestellungen!$A$5,COUNTA(Bestellungen!$A$6:$A$1048576),MATCH(IF(ISNUMBER(SEARCH("(",$A15)),LEFT($A15,SEARCH("(",$A15)-2),$A15),Bestellungen!$A$5:$AJ$5,0)-1))*VLOOKUP($A15,Rezepte,MATCH(Produktionsmenge!AY$5,Rezepte!$5:$5,0),0),""),"")</f>
        <v/>
      </c>
    </row>
    <row r="16" spans="1:51" x14ac:dyDescent="0.25">
      <c r="A16" t="str">
        <f t="array" ref="A16">IFERROR(INDEX(Rezepte!$A$6:$A$100,MATCH(1,(COUNTIF(A$6:A15,Rezepte!A$6:A$100)=0)*(Rezepte!A$6:A$100&lt;&gt;""),0)),"")</f>
        <v>Roggenbrötchen</v>
      </c>
      <c r="B16" s="24">
        <f ca="1">IF(LEN($A16)&gt;0,IF(AND(ISNUMBER(VLOOKUP($A16,Rezepte,MATCH(Produktionsmenge!B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B$5,Rezepte!$5:$5,0),0),""),"")</f>
        <v>628.4848484848485</v>
      </c>
      <c r="C16" s="24">
        <f ca="1">IF(LEN($A16)&gt;0,IF(AND(ISNUMBER(VLOOKUP($A16,Rezepte,MATCH(Produktionsmenge!C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C$5,Rezepte!$5:$5,0),0),""),"")</f>
        <v>408.5151515151515</v>
      </c>
      <c r="D16" s="24" t="str">
        <f ca="1">IF(LEN($A16)&gt;0,IF(AND(ISNUMBER(VLOOKUP($A16,Rezepte,MATCH(Produktionsmenge!D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D$5,Rezepte!$5:$5,0),0),""),"")</f>
        <v/>
      </c>
      <c r="E16" s="24">
        <f ca="1">IF(LEN($A16)&gt;0,IF(AND(ISNUMBER(VLOOKUP($A16,Rezepte,MATCH(Produktionsmenge!E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E$5,Rezepte!$5:$5,0),0),""),"")</f>
        <v>628.4848484848485</v>
      </c>
      <c r="F16" s="24" t="str">
        <f ca="1">IF(LEN($A16)&gt;0,IF(AND(ISNUMBER(VLOOKUP($A16,Rezepte,MATCH(Produktionsmenge!F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F$5,Rezepte!$5:$5,0),0),""),"")</f>
        <v/>
      </c>
      <c r="G16" s="24">
        <f ca="1">IF(LEN($A16)&gt;0,IF(AND(ISNUMBER(VLOOKUP($A16,Rezepte,MATCH(Produktionsmenge!G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G$5,Rezepte!$5:$5,0),0),""),"")</f>
        <v>62.900000000000006</v>
      </c>
      <c r="H16" s="24">
        <f ca="1">IF(LEN($A16)&gt;0,IF(AND(ISNUMBER(VLOOKUP($A16,Rezepte,MATCH(Produktionsmenge!H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H$5,Rezepte!$5:$5,0),0),""),"")</f>
        <v>326.81212121212127</v>
      </c>
      <c r="I16" s="24">
        <f ca="1">IF(LEN($A16)&gt;0,IF(AND(ISNUMBER(VLOOKUP($A16,Rezepte,MATCH(Produktionsmenge!I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I$5,Rezepte!$5:$5,0),0),""),"")</f>
        <v>326.81212121212127</v>
      </c>
      <c r="J16" s="24" t="str">
        <f ca="1">IF(LEN($A16)&gt;0,IF(AND(ISNUMBER(VLOOKUP($A16,Rezepte,MATCH(Produktionsmenge!J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J$5,Rezepte!$5:$5,0),0),""),"")</f>
        <v/>
      </c>
      <c r="K16" s="24">
        <f ca="1">IF(LEN($A16)&gt;0,IF(AND(ISNUMBER(VLOOKUP($A16,Rezepte,MATCH(Produktionsmenge!K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K$5,Rezepte!$5:$5,0),0),""),"")</f>
        <v>289</v>
      </c>
      <c r="L16" s="24">
        <f ca="1">IF(LEN($A16)&gt;0,IF(AND(ISNUMBER(VLOOKUP($A16,Rezepte,MATCH(Produktionsmenge!L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L$5,Rezepte!$5:$5,0),0),""),"")</f>
        <v>221</v>
      </c>
      <c r="M16" s="24">
        <f ca="1">IF(LEN($A16)&gt;0,IF(AND(ISNUMBER(VLOOKUP($A16,Rezepte,MATCH(Produktionsmenge!M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M$5,Rezepte!$5:$5,0),0),""),"")</f>
        <v>18.854545454545455</v>
      </c>
      <c r="N16" s="24">
        <f ca="1">IF(LEN($A16)&gt;0,IF(AND(ISNUMBER(VLOOKUP($A16,Rezepte,MATCH(Produktionsmenge!N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N$5,Rezepte!$5:$5,0),0),""),"")</f>
        <v>25.139393939393941</v>
      </c>
      <c r="O16" s="24" t="str">
        <f ca="1">IF(LEN($A16)&gt;0,IF(AND(ISNUMBER(VLOOKUP($A16,Rezepte,MATCH(Produktionsmenge!O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O$5,Rezepte!$5:$5,0),0),""),"")</f>
        <v/>
      </c>
      <c r="P16" s="24" t="str">
        <f ca="1">IF(LEN($A16)&gt;0,IF(AND(ISNUMBER(VLOOKUP($A16,Rezepte,MATCH(Produktionsmenge!P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P$5,Rezepte!$5:$5,0),0),""),"")</f>
        <v/>
      </c>
      <c r="Q16" s="24">
        <f ca="1">IF(LEN($A16)&gt;0,IF(AND(ISNUMBER(VLOOKUP($A16,Rezepte,MATCH(Produktionsmenge!Q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Q$5,Rezepte!$5:$5,0),0),""),"")</f>
        <v>51</v>
      </c>
      <c r="R16" s="24" t="str">
        <f ca="1">IF(LEN($A16)&gt;0,IF(AND(ISNUMBER(VLOOKUP($A16,Rezepte,MATCH(Produktionsmenge!R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R$5,Rezepte!$5:$5,0),0),""),"")</f>
        <v/>
      </c>
      <c r="S16" s="24" t="str">
        <f ca="1">IF(LEN($A16)&gt;0,IF(AND(ISNUMBER(VLOOKUP($A16,Rezepte,MATCH(Produktionsmenge!S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S$5,Rezepte!$5:$5,0),0),""),"")</f>
        <v/>
      </c>
      <c r="T16" s="24" t="str">
        <f ca="1">IF(LEN($A16)&gt;0,IF(AND(ISNUMBER(VLOOKUP($A16,Rezepte,MATCH(Produktionsmenge!T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T$5,Rezepte!$5:$5,0),0),""),"")</f>
        <v/>
      </c>
      <c r="U16" s="24" t="str">
        <f ca="1">IF(LEN($A16)&gt;0,IF(AND(ISNUMBER(VLOOKUP($A16,Rezepte,MATCH(Produktionsmenge!U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U$5,Rezepte!$5:$5,0),0),""),"")</f>
        <v/>
      </c>
      <c r="V16" s="24" t="str">
        <f ca="1">IF(LEN($A16)&gt;0,IF(AND(ISNUMBER(VLOOKUP($A16,Rezepte,MATCH(Produktionsmenge!V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V$5,Rezepte!$5:$5,0),0),""),"")</f>
        <v/>
      </c>
      <c r="W16" s="24">
        <f ca="1">IF(LEN($A16)&gt;0,IF(AND(ISNUMBER(VLOOKUP($A16,Rezepte,MATCH(Produktionsmenge!W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W$5,Rezepte!$5:$5,0),0),""),"")</f>
        <v>31.424242424242422</v>
      </c>
      <c r="X16" s="24" t="str">
        <f ca="1">IF(LEN($A16)&gt;0,IF(AND(ISNUMBER(VLOOKUP($A16,Rezepte,MATCH(Produktionsmenge!X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X$5,Rezepte!$5:$5,0),0),""),"")</f>
        <v/>
      </c>
      <c r="Y16" s="24" t="str">
        <f ca="1">IF(LEN($A16)&gt;0,IF(AND(ISNUMBER(VLOOKUP($A16,Rezepte,MATCH(Produktionsmenge!Y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Y$5,Rezepte!$5:$5,0),0),""),"")</f>
        <v/>
      </c>
      <c r="Z16" s="24" t="str">
        <f ca="1">IF(LEN($A16)&gt;0,IF(AND(ISNUMBER(VLOOKUP($A16,Rezepte,MATCH(Produktionsmenge!Z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Z$5,Rezepte!$5:$5,0),0),""),"")</f>
        <v/>
      </c>
      <c r="AA16" s="24" t="str">
        <f ca="1">IF(LEN($A16)&gt;0,IF(AND(ISNUMBER(VLOOKUP($A16,Rezepte,MATCH(Produktionsmenge!AA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AA$5,Rezepte!$5:$5,0),0),""),"")</f>
        <v/>
      </c>
      <c r="AB16" s="24" t="str">
        <f ca="1">IF(LEN($A16)&gt;0,IF(AND(ISNUMBER(VLOOKUP($A16,Rezepte,MATCH(Produktionsmenge!AB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AB$5,Rezepte!$5:$5,0),0),""),"")</f>
        <v/>
      </c>
      <c r="AC16" s="24" t="str">
        <f ca="1">IF(LEN($A16)&gt;0,IF(AND(ISNUMBER(VLOOKUP($A16,Rezepte,MATCH(Produktionsmenge!AC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AC$5,Rezepte!$5:$5,0),0),""),"")</f>
        <v/>
      </c>
      <c r="AD16" s="24" t="str">
        <f ca="1">IF(LEN($A16)&gt;0,IF(AND(ISNUMBER(VLOOKUP($A16,Rezepte,MATCH(Produktionsmenge!AD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AD$5,Rezepte!$5:$5,0),0),""),"")</f>
        <v/>
      </c>
      <c r="AE16" s="24" t="str">
        <f ca="1">IF(LEN($A16)&gt;0,IF(AND(ISNUMBER(VLOOKUP($A16,Rezepte,MATCH(Produktionsmenge!AE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AE$5,Rezepte!$5:$5,0),0),""),"")</f>
        <v/>
      </c>
      <c r="AF16" s="24" t="str">
        <f ca="1">IF(LEN($A16)&gt;0,IF(AND(ISNUMBER(VLOOKUP($A16,Rezepte,MATCH(Produktionsmenge!AF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AF$5,Rezepte!$5:$5,0),0),""),"")</f>
        <v/>
      </c>
      <c r="AG16" s="24" t="str">
        <f ca="1">IF(LEN($A16)&gt;0,IF(AND(ISNUMBER(VLOOKUP($A16,Rezepte,MATCH(Produktionsmenge!AG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AG$5,Rezepte!$5:$5,0),0),""),"")</f>
        <v/>
      </c>
      <c r="AH16" s="24" t="str">
        <f ca="1">IF(LEN($A16)&gt;0,IF(AND(ISNUMBER(VLOOKUP($A16,Rezepte,MATCH(Produktionsmenge!AH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AH$5,Rezepte!$5:$5,0),0),""),"")</f>
        <v/>
      </c>
      <c r="AI16" s="24" t="str">
        <f ca="1">IF(LEN($A16)&gt;0,IF(AND(ISNUMBER(VLOOKUP($A16,Rezepte,MATCH(Produktionsmenge!AI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AI$5,Rezepte!$5:$5,0),0),""),"")</f>
        <v/>
      </c>
      <c r="AJ16" s="24" t="str">
        <f ca="1">IF(LEN($A16)&gt;0,IF(AND(ISNUMBER(VLOOKUP($A16,Rezepte,MATCH(Produktionsmenge!AJ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AJ$5,Rezepte!$5:$5,0),0),""),"")</f>
        <v/>
      </c>
      <c r="AK16" s="24" t="str">
        <f ca="1">IF(LEN($A16)&gt;0,IF(AND(ISNUMBER(VLOOKUP($A16,Rezepte,MATCH(Produktionsmenge!AK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AK$5,Rezepte!$5:$5,0),0),""),"")</f>
        <v/>
      </c>
      <c r="AL16" s="24" t="str">
        <f ca="1">IF(LEN($A16)&gt;0,IF(AND(ISNUMBER(VLOOKUP($A16,Rezepte,MATCH(Produktionsmenge!AL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AL$5,Rezepte!$5:$5,0),0),""),"")</f>
        <v/>
      </c>
      <c r="AM16" s="24" t="str">
        <f ca="1">IF(LEN($A16)&gt;0,IF(AND(ISNUMBER(VLOOKUP($A16,Rezepte,MATCH(Produktionsmenge!AM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AM$5,Rezepte!$5:$5,0),0),""),"")</f>
        <v/>
      </c>
      <c r="AN16" s="24" t="str">
        <f ca="1">IF(LEN($A16)&gt;0,IF(AND(ISNUMBER(VLOOKUP($A16,Rezepte,MATCH(Produktionsmenge!AN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AN$5,Rezepte!$5:$5,0),0),""),"")</f>
        <v/>
      </c>
      <c r="AO16" s="24" t="str">
        <f ca="1">IF(LEN($A16)&gt;0,IF(AND(ISNUMBER(VLOOKUP($A16,Rezepte,MATCH(Produktionsmenge!AO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AO$5,Rezepte!$5:$5,0),0),""),"")</f>
        <v/>
      </c>
      <c r="AP16" s="24" t="str">
        <f ca="1">IF(LEN($A16)&gt;0,IF(AND(ISNUMBER(VLOOKUP($A16,Rezepte,MATCH(Produktionsmenge!AP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AP$5,Rezepte!$5:$5,0),0),""),"")</f>
        <v/>
      </c>
      <c r="AQ16" s="24" t="str">
        <f ca="1">IF(LEN($A16)&gt;0,IF(AND(ISNUMBER(VLOOKUP($A16,Rezepte,MATCH(Produktionsmenge!AQ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AQ$5,Rezepte!$5:$5,0),0),""),"")</f>
        <v/>
      </c>
      <c r="AR16" s="24" t="str">
        <f ca="1">IF(LEN($A16)&gt;0,IF(AND(ISNUMBER(VLOOKUP($A16,Rezepte,MATCH(Produktionsmenge!AR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AR$5,Rezepte!$5:$5,0),0),""),"")</f>
        <v/>
      </c>
      <c r="AS16" s="24" t="str">
        <f ca="1">IF(LEN($A16)&gt;0,IF(AND(ISNUMBER(VLOOKUP($A16,Rezepte,MATCH(Produktionsmenge!AS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AS$5,Rezepte!$5:$5,0),0),""),"")</f>
        <v/>
      </c>
      <c r="AT16" s="24" t="str">
        <f ca="1">IF(LEN($A16)&gt;0,IF(AND(ISNUMBER(VLOOKUP($A16,Rezepte,MATCH(Produktionsmenge!AT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AT$5,Rezepte!$5:$5,0),0),""),"")</f>
        <v/>
      </c>
      <c r="AU16" s="24" t="str">
        <f ca="1">IF(LEN($A16)&gt;0,IF(AND(ISNUMBER(VLOOKUP($A16,Rezepte,MATCH(Produktionsmenge!AU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AU$5,Rezepte!$5:$5,0),0),""),"")</f>
        <v/>
      </c>
      <c r="AV16" s="24" t="str">
        <f ca="1">IF(LEN($A16)&gt;0,IF(AND(ISNUMBER(VLOOKUP($A16,Rezepte,MATCH(Produktionsmenge!AV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AV$5,Rezepte!$5:$5,0),0),""),"")</f>
        <v/>
      </c>
      <c r="AW16" s="24" t="str">
        <f ca="1">IF(LEN($A16)&gt;0,IF(AND(ISNUMBER(VLOOKUP($A16,Rezepte,MATCH(Produktionsmenge!AW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AW$5,Rezepte!$5:$5,0),0),""),"")</f>
        <v/>
      </c>
      <c r="AX16" s="24" t="str">
        <f ca="1">IF(LEN($A16)&gt;0,IF(AND(ISNUMBER(VLOOKUP($A16,Rezepte,MATCH(Produktionsmenge!AX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AX$5,Rezepte!$5:$5,0),0),""),"")</f>
        <v/>
      </c>
      <c r="AY16" s="24" t="str">
        <f ca="1">IF(LEN($A16)&gt;0,IF(AND(ISNUMBER(VLOOKUP($A16,Rezepte,MATCH(Produktionsmenge!AY$5,Rezepte!$5:$5,0),0)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&gt;0),SUM(OFFSET(Bestellungen!$A$5,1,MATCH(IF(ISNUMBER(SEARCH("(",$A16)),LEFT($A16,SEARCH("(",$A16)-2),$A16),Bestellungen!$A$5:$AJ$5,0)-1):OFFSET(Bestellungen!$A$5,COUNTA(Bestellungen!$A$6:$A$1048576),MATCH(IF(ISNUMBER(SEARCH("(",$A16)),LEFT($A16,SEARCH("(",$A16)-2),$A16),Bestellungen!$A$5:$AJ$5,0)-1))*VLOOKUP($A16,Rezepte,MATCH(Produktionsmenge!AY$5,Rezepte!$5:$5,0),0),""),"")</f>
        <v/>
      </c>
    </row>
    <row r="17" spans="1:51" x14ac:dyDescent="0.25">
      <c r="A17" t="str">
        <f t="array" ref="A17">IFERROR(INDEX(Rezepte!$A$6:$A$100,MATCH(1,(COUNTIF(A$6:A16,Rezepte!A$6:A$100)=0)*(Rezepte!A$6:A$100&lt;&gt;""),0)),"")</f>
        <v>Amerikaner</v>
      </c>
      <c r="B17" s="24" t="str">
        <f ca="1">IF(LEN($A17)&gt;0,IF(AND(ISNUMBER(VLOOKUP($A17,Rezepte,MATCH(Produktionsmenge!B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B$5,Rezepte!$5:$5,0),0),""),"")</f>
        <v/>
      </c>
      <c r="C17" s="24" t="str">
        <f ca="1">IF(LEN($A17)&gt;0,IF(AND(ISNUMBER(VLOOKUP($A17,Rezepte,MATCH(Produktionsmenge!C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C$5,Rezepte!$5:$5,0),0),""),"")</f>
        <v/>
      </c>
      <c r="D17" s="24" t="str">
        <f ca="1">IF(LEN($A17)&gt;0,IF(AND(ISNUMBER(VLOOKUP($A17,Rezepte,MATCH(Produktionsmenge!D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D$5,Rezepte!$5:$5,0),0),""),"")</f>
        <v/>
      </c>
      <c r="E17" s="24" t="str">
        <f ca="1">IF(LEN($A17)&gt;0,IF(AND(ISNUMBER(VLOOKUP($A17,Rezepte,MATCH(Produktionsmenge!E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E$5,Rezepte!$5:$5,0),0),""),"")</f>
        <v/>
      </c>
      <c r="F17" s="24" t="str">
        <f ca="1">IF(LEN($A17)&gt;0,IF(AND(ISNUMBER(VLOOKUP($A17,Rezepte,MATCH(Produktionsmenge!F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F$5,Rezepte!$5:$5,0),0),""),"")</f>
        <v/>
      </c>
      <c r="G17" s="24" t="str">
        <f ca="1">IF(LEN($A17)&gt;0,IF(AND(ISNUMBER(VLOOKUP($A17,Rezepte,MATCH(Produktionsmenge!G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G$5,Rezepte!$5:$5,0),0),""),"")</f>
        <v/>
      </c>
      <c r="H17" s="24" t="str">
        <f ca="1">IF(LEN($A17)&gt;0,IF(AND(ISNUMBER(VLOOKUP($A17,Rezepte,MATCH(Produktionsmenge!H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H$5,Rezepte!$5:$5,0),0),""),"")</f>
        <v/>
      </c>
      <c r="I17" s="24" t="str">
        <f ca="1">IF(LEN($A17)&gt;0,IF(AND(ISNUMBER(VLOOKUP($A17,Rezepte,MATCH(Produktionsmenge!I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I$5,Rezepte!$5:$5,0),0),""),"")</f>
        <v/>
      </c>
      <c r="J17" s="24" t="str">
        <f ca="1">IF(LEN($A17)&gt;0,IF(AND(ISNUMBER(VLOOKUP($A17,Rezepte,MATCH(Produktionsmenge!J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J$5,Rezepte!$5:$5,0),0),""),"")</f>
        <v/>
      </c>
      <c r="K17" s="24" t="str">
        <f ca="1">IF(LEN($A17)&gt;0,IF(AND(ISNUMBER(VLOOKUP($A17,Rezepte,MATCH(Produktionsmenge!K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K$5,Rezepte!$5:$5,0),0),""),"")</f>
        <v/>
      </c>
      <c r="L17" s="24" t="str">
        <f ca="1">IF(LEN($A17)&gt;0,IF(AND(ISNUMBER(VLOOKUP($A17,Rezepte,MATCH(Produktionsmenge!L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L$5,Rezepte!$5:$5,0),0),""),"")</f>
        <v/>
      </c>
      <c r="M17" s="24" t="str">
        <f ca="1">IF(LEN($A17)&gt;0,IF(AND(ISNUMBER(VLOOKUP($A17,Rezepte,MATCH(Produktionsmenge!M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M$5,Rezepte!$5:$5,0),0),""),"")</f>
        <v/>
      </c>
      <c r="N17" s="24" t="str">
        <f ca="1">IF(LEN($A17)&gt;0,IF(AND(ISNUMBER(VLOOKUP($A17,Rezepte,MATCH(Produktionsmenge!N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N$5,Rezepte!$5:$5,0),0),""),"")</f>
        <v/>
      </c>
      <c r="O17" s="24" t="str">
        <f ca="1">IF(LEN($A17)&gt;0,IF(AND(ISNUMBER(VLOOKUP($A17,Rezepte,MATCH(Produktionsmenge!O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O$5,Rezepte!$5:$5,0),0),""),"")</f>
        <v/>
      </c>
      <c r="P17" s="24" t="str">
        <f ca="1">IF(LEN($A17)&gt;0,IF(AND(ISNUMBER(VLOOKUP($A17,Rezepte,MATCH(Produktionsmenge!P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P$5,Rezepte!$5:$5,0),0),""),"")</f>
        <v/>
      </c>
      <c r="Q17" s="24" t="str">
        <f ca="1">IF(LEN($A17)&gt;0,IF(AND(ISNUMBER(VLOOKUP($A17,Rezepte,MATCH(Produktionsmenge!Q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Q$5,Rezepte!$5:$5,0),0),""),"")</f>
        <v/>
      </c>
      <c r="R17" s="24" t="str">
        <f ca="1">IF(LEN($A17)&gt;0,IF(AND(ISNUMBER(VLOOKUP($A17,Rezepte,MATCH(Produktionsmenge!R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R$5,Rezepte!$5:$5,0),0),""),"")</f>
        <v/>
      </c>
      <c r="S17" s="24" t="str">
        <f ca="1">IF(LEN($A17)&gt;0,IF(AND(ISNUMBER(VLOOKUP($A17,Rezepte,MATCH(Produktionsmenge!S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S$5,Rezepte!$5:$5,0),0),""),"")</f>
        <v/>
      </c>
      <c r="T17" s="24" t="str">
        <f ca="1">IF(LEN($A17)&gt;0,IF(AND(ISNUMBER(VLOOKUP($A17,Rezepte,MATCH(Produktionsmenge!T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T$5,Rezepte!$5:$5,0),0),""),"")</f>
        <v/>
      </c>
      <c r="U17" s="24" t="str">
        <f ca="1">IF(LEN($A17)&gt;0,IF(AND(ISNUMBER(VLOOKUP($A17,Rezepte,MATCH(Produktionsmenge!U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U$5,Rezepte!$5:$5,0),0),""),"")</f>
        <v/>
      </c>
      <c r="V17" s="24" t="str">
        <f ca="1">IF(LEN($A17)&gt;0,IF(AND(ISNUMBER(VLOOKUP($A17,Rezepte,MATCH(Produktionsmenge!V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V$5,Rezepte!$5:$5,0),0),""),"")</f>
        <v/>
      </c>
      <c r="W17" s="24" t="str">
        <f ca="1">IF(LEN($A17)&gt;0,IF(AND(ISNUMBER(VLOOKUP($A17,Rezepte,MATCH(Produktionsmenge!W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W$5,Rezepte!$5:$5,0),0),""),"")</f>
        <v/>
      </c>
      <c r="X17" s="24" t="str">
        <f ca="1">IF(LEN($A17)&gt;0,IF(AND(ISNUMBER(VLOOKUP($A17,Rezepte,MATCH(Produktionsmenge!X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X$5,Rezepte!$5:$5,0),0),""),"")</f>
        <v/>
      </c>
      <c r="Y17" s="24" t="str">
        <f ca="1">IF(LEN($A17)&gt;0,IF(AND(ISNUMBER(VLOOKUP($A17,Rezepte,MATCH(Produktionsmenge!Y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Y$5,Rezepte!$5:$5,0),0),""),"")</f>
        <v/>
      </c>
      <c r="Z17" s="24" t="str">
        <f ca="1">IF(LEN($A17)&gt;0,IF(AND(ISNUMBER(VLOOKUP($A17,Rezepte,MATCH(Produktionsmenge!Z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Z$5,Rezepte!$5:$5,0),0),""),"")</f>
        <v/>
      </c>
      <c r="AA17" s="24" t="str">
        <f ca="1">IF(LEN($A17)&gt;0,IF(AND(ISNUMBER(VLOOKUP($A17,Rezepte,MATCH(Produktionsmenge!AA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AA$5,Rezepte!$5:$5,0),0),""),"")</f>
        <v/>
      </c>
      <c r="AB17" s="24" t="str">
        <f ca="1">IF(LEN($A17)&gt;0,IF(AND(ISNUMBER(VLOOKUP($A17,Rezepte,MATCH(Produktionsmenge!AB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AB$5,Rezepte!$5:$5,0),0),""),"")</f>
        <v/>
      </c>
      <c r="AC17" s="24" t="str">
        <f ca="1">IF(LEN($A17)&gt;0,IF(AND(ISNUMBER(VLOOKUP($A17,Rezepte,MATCH(Produktionsmenge!AC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AC$5,Rezepte!$5:$5,0),0),""),"")</f>
        <v/>
      </c>
      <c r="AD17" s="24" t="str">
        <f ca="1">IF(LEN($A17)&gt;0,IF(AND(ISNUMBER(VLOOKUP($A17,Rezepte,MATCH(Produktionsmenge!AD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AD$5,Rezepte!$5:$5,0),0),""),"")</f>
        <v/>
      </c>
      <c r="AE17" s="24" t="str">
        <f ca="1">IF(LEN($A17)&gt;0,IF(AND(ISNUMBER(VLOOKUP($A17,Rezepte,MATCH(Produktionsmenge!AE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AE$5,Rezepte!$5:$5,0),0),""),"")</f>
        <v/>
      </c>
      <c r="AF17" s="24" t="str">
        <f ca="1">IF(LEN($A17)&gt;0,IF(AND(ISNUMBER(VLOOKUP($A17,Rezepte,MATCH(Produktionsmenge!AF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AF$5,Rezepte!$5:$5,0),0),""),"")</f>
        <v/>
      </c>
      <c r="AG17" s="24" t="str">
        <f ca="1">IF(LEN($A17)&gt;0,IF(AND(ISNUMBER(VLOOKUP($A17,Rezepte,MATCH(Produktionsmenge!AG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AG$5,Rezepte!$5:$5,0),0),""),"")</f>
        <v/>
      </c>
      <c r="AH17" s="24" t="str">
        <f ca="1">IF(LEN($A17)&gt;0,IF(AND(ISNUMBER(VLOOKUP($A17,Rezepte,MATCH(Produktionsmenge!AH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AH$5,Rezepte!$5:$5,0),0),""),"")</f>
        <v/>
      </c>
      <c r="AI17" s="24" t="str">
        <f ca="1">IF(LEN($A17)&gt;0,IF(AND(ISNUMBER(VLOOKUP($A17,Rezepte,MATCH(Produktionsmenge!AI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AI$5,Rezepte!$5:$5,0),0),""),"")</f>
        <v/>
      </c>
      <c r="AJ17" s="24" t="str">
        <f ca="1">IF(LEN($A17)&gt;0,IF(AND(ISNUMBER(VLOOKUP($A17,Rezepte,MATCH(Produktionsmenge!AJ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AJ$5,Rezepte!$5:$5,0),0),""),"")</f>
        <v/>
      </c>
      <c r="AK17" s="24" t="str">
        <f ca="1">IF(LEN($A17)&gt;0,IF(AND(ISNUMBER(VLOOKUP($A17,Rezepte,MATCH(Produktionsmenge!AK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AK$5,Rezepte!$5:$5,0),0),""),"")</f>
        <v/>
      </c>
      <c r="AL17" s="24" t="str">
        <f ca="1">IF(LEN($A17)&gt;0,IF(AND(ISNUMBER(VLOOKUP($A17,Rezepte,MATCH(Produktionsmenge!AL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AL$5,Rezepte!$5:$5,0),0),""),"")</f>
        <v/>
      </c>
      <c r="AM17" s="24" t="str">
        <f ca="1">IF(LEN($A17)&gt;0,IF(AND(ISNUMBER(VLOOKUP($A17,Rezepte,MATCH(Produktionsmenge!AM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AM$5,Rezepte!$5:$5,0),0),""),"")</f>
        <v/>
      </c>
      <c r="AN17" s="24" t="str">
        <f ca="1">IF(LEN($A17)&gt;0,IF(AND(ISNUMBER(VLOOKUP($A17,Rezepte,MATCH(Produktionsmenge!AN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AN$5,Rezepte!$5:$5,0),0),""),"")</f>
        <v/>
      </c>
      <c r="AO17" s="24" t="str">
        <f ca="1">IF(LEN($A17)&gt;0,IF(AND(ISNUMBER(VLOOKUP($A17,Rezepte,MATCH(Produktionsmenge!AO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AO$5,Rezepte!$5:$5,0),0),""),"")</f>
        <v/>
      </c>
      <c r="AP17" s="24" t="str">
        <f ca="1">IF(LEN($A17)&gt;0,IF(AND(ISNUMBER(VLOOKUP($A17,Rezepte,MATCH(Produktionsmenge!AP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AP$5,Rezepte!$5:$5,0),0),""),"")</f>
        <v/>
      </c>
      <c r="AQ17" s="24" t="str">
        <f ca="1">IF(LEN($A17)&gt;0,IF(AND(ISNUMBER(VLOOKUP($A17,Rezepte,MATCH(Produktionsmenge!AQ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AQ$5,Rezepte!$5:$5,0),0),""),"")</f>
        <v/>
      </c>
      <c r="AR17" s="24" t="str">
        <f ca="1">IF(LEN($A17)&gt;0,IF(AND(ISNUMBER(VLOOKUP($A17,Rezepte,MATCH(Produktionsmenge!AR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AR$5,Rezepte!$5:$5,0),0),""),"")</f>
        <v/>
      </c>
      <c r="AS17" s="24" t="str">
        <f ca="1">IF(LEN($A17)&gt;0,IF(AND(ISNUMBER(VLOOKUP($A17,Rezepte,MATCH(Produktionsmenge!AS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AS$5,Rezepte!$5:$5,0),0),""),"")</f>
        <v/>
      </c>
      <c r="AT17" s="24" t="str">
        <f ca="1">IF(LEN($A17)&gt;0,IF(AND(ISNUMBER(VLOOKUP($A17,Rezepte,MATCH(Produktionsmenge!AT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AT$5,Rezepte!$5:$5,0),0),""),"")</f>
        <v/>
      </c>
      <c r="AU17" s="24" t="str">
        <f ca="1">IF(LEN($A17)&gt;0,IF(AND(ISNUMBER(VLOOKUP($A17,Rezepte,MATCH(Produktionsmenge!AU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AU$5,Rezepte!$5:$5,0),0),""),"")</f>
        <v/>
      </c>
      <c r="AV17" s="24" t="str">
        <f ca="1">IF(LEN($A17)&gt;0,IF(AND(ISNUMBER(VLOOKUP($A17,Rezepte,MATCH(Produktionsmenge!AV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AV$5,Rezepte!$5:$5,0),0),""),"")</f>
        <v/>
      </c>
      <c r="AW17" s="24" t="str">
        <f ca="1">IF(LEN($A17)&gt;0,IF(AND(ISNUMBER(VLOOKUP($A17,Rezepte,MATCH(Produktionsmenge!AW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AW$5,Rezepte!$5:$5,0),0),""),"")</f>
        <v/>
      </c>
      <c r="AX17" s="24" t="str">
        <f ca="1">IF(LEN($A17)&gt;0,IF(AND(ISNUMBER(VLOOKUP($A17,Rezepte,MATCH(Produktionsmenge!AX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AX$5,Rezepte!$5:$5,0),0),""),"")</f>
        <v/>
      </c>
      <c r="AY17" s="24" t="str">
        <f ca="1">IF(LEN($A17)&gt;0,IF(AND(ISNUMBER(VLOOKUP($A17,Rezepte,MATCH(Produktionsmenge!AY$5,Rezepte!$5:$5,0),0)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&gt;0),SUM(OFFSET(Bestellungen!$A$5,1,MATCH(IF(ISNUMBER(SEARCH("(",$A17)),LEFT($A17,SEARCH("(",$A17)-2),$A17),Bestellungen!$A$5:$AJ$5,0)-1):OFFSET(Bestellungen!$A$5,COUNTA(Bestellungen!$A$6:$A$1048576),MATCH(IF(ISNUMBER(SEARCH("(",$A17)),LEFT($A17,SEARCH("(",$A17)-2),$A17),Bestellungen!$A$5:$AJ$5,0)-1))*VLOOKUP($A17,Rezepte,MATCH(Produktionsmenge!AY$5,Rezepte!$5:$5,0),0),""),"")</f>
        <v/>
      </c>
    </row>
    <row r="18" spans="1:51" x14ac:dyDescent="0.25">
      <c r="A18" t="str">
        <f t="array" ref="A18">IFERROR(INDEX(Rezepte!$A$6:$A$100,MATCH(1,(COUNTIF(A$6:A17,Rezepte!A$6:A$100)=0)*(Rezepte!A$6:A$100&lt;&gt;""),0)),"")</f>
        <v>Kümmelstange</v>
      </c>
      <c r="B18" s="24" t="str">
        <f ca="1">IF(LEN($A18)&gt;0,IF(AND(ISNUMBER(VLOOKUP($A18,Rezepte,MATCH(Produktionsmenge!B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B$5,Rezepte!$5:$5,0),0),""),"")</f>
        <v/>
      </c>
      <c r="C18" s="24" t="str">
        <f ca="1">IF(LEN($A18)&gt;0,IF(AND(ISNUMBER(VLOOKUP($A18,Rezepte,MATCH(Produktionsmenge!C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C$5,Rezepte!$5:$5,0),0),""),"")</f>
        <v/>
      </c>
      <c r="D18" s="24" t="str">
        <f ca="1">IF(LEN($A18)&gt;0,IF(AND(ISNUMBER(VLOOKUP($A18,Rezepte,MATCH(Produktionsmenge!D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D$5,Rezepte!$5:$5,0),0),""),"")</f>
        <v/>
      </c>
      <c r="E18" s="24" t="str">
        <f ca="1">IF(LEN($A18)&gt;0,IF(AND(ISNUMBER(VLOOKUP($A18,Rezepte,MATCH(Produktionsmenge!E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E$5,Rezepte!$5:$5,0),0),""),"")</f>
        <v/>
      </c>
      <c r="F18" s="24" t="str">
        <f ca="1">IF(LEN($A18)&gt;0,IF(AND(ISNUMBER(VLOOKUP($A18,Rezepte,MATCH(Produktionsmenge!F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F$5,Rezepte!$5:$5,0),0),""),"")</f>
        <v/>
      </c>
      <c r="G18" s="24">
        <f ca="1">IF(LEN($A18)&gt;0,IF(AND(ISNUMBER(VLOOKUP($A18,Rezepte,MATCH(Produktionsmenge!G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G$5,Rezepte!$5:$5,0),0),""),"")</f>
        <v>694.85714285714289</v>
      </c>
      <c r="H18" s="24" t="str">
        <f ca="1">IF(LEN($A18)&gt;0,IF(AND(ISNUMBER(VLOOKUP($A18,Rezepte,MATCH(Produktionsmenge!H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H$5,Rezepte!$5:$5,0),0),""),"")</f>
        <v/>
      </c>
      <c r="I18" s="24">
        <f ca="1">IF(LEN($A18)&gt;0,IF(AND(ISNUMBER(VLOOKUP($A18,Rezepte,MATCH(Produktionsmenge!I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I$5,Rezepte!$5:$5,0),0),""),"")</f>
        <v>521.14285714285711</v>
      </c>
      <c r="J18" s="24" t="str">
        <f ca="1">IF(LEN($A18)&gt;0,IF(AND(ISNUMBER(VLOOKUP($A18,Rezepte,MATCH(Produktionsmenge!J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J$5,Rezepte!$5:$5,0),0),""),"")</f>
        <v/>
      </c>
      <c r="K18" s="24" t="str">
        <f ca="1">IF(LEN($A18)&gt;0,IF(AND(ISNUMBER(VLOOKUP($A18,Rezepte,MATCH(Produktionsmenge!K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K$5,Rezepte!$5:$5,0),0),""),"")</f>
        <v/>
      </c>
      <c r="L18" s="24" t="str">
        <f ca="1">IF(LEN($A18)&gt;0,IF(AND(ISNUMBER(VLOOKUP($A18,Rezepte,MATCH(Produktionsmenge!L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L$5,Rezepte!$5:$5,0),0),""),"")</f>
        <v/>
      </c>
      <c r="M18" s="24">
        <f ca="1">IF(LEN($A18)&gt;0,IF(AND(ISNUMBER(VLOOKUP($A18,Rezepte,MATCH(Produktionsmenge!M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M$5,Rezepte!$5:$5,0),0),""),"")</f>
        <v>20.845714285714283</v>
      </c>
      <c r="N18" s="24">
        <f ca="1">IF(LEN($A18)&gt;0,IF(AND(ISNUMBER(VLOOKUP($A18,Rezepte,MATCH(Produktionsmenge!N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N$5,Rezepte!$5:$5,0),0),""),"")</f>
        <v>3.4742857142857146</v>
      </c>
      <c r="O18" s="24" t="str">
        <f ca="1">IF(LEN($A18)&gt;0,IF(AND(ISNUMBER(VLOOKUP($A18,Rezepte,MATCH(Produktionsmenge!O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O$5,Rezepte!$5:$5,0),0),""),"")</f>
        <v/>
      </c>
      <c r="P18" s="24" t="str">
        <f ca="1">IF(LEN($A18)&gt;0,IF(AND(ISNUMBER(VLOOKUP($A18,Rezepte,MATCH(Produktionsmenge!P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P$5,Rezepte!$5:$5,0),0),""),"")</f>
        <v/>
      </c>
      <c r="Q18" s="24" t="str">
        <f ca="1">IF(LEN($A18)&gt;0,IF(AND(ISNUMBER(VLOOKUP($A18,Rezepte,MATCH(Produktionsmenge!Q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Q$5,Rezepte!$5:$5,0),0),""),"")</f>
        <v/>
      </c>
      <c r="R18" s="24" t="str">
        <f ca="1">IF(LEN($A18)&gt;0,IF(AND(ISNUMBER(VLOOKUP($A18,Rezepte,MATCH(Produktionsmenge!R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R$5,Rezepte!$5:$5,0),0),""),"")</f>
        <v/>
      </c>
      <c r="S18" s="24" t="str">
        <f ca="1">IF(LEN($A18)&gt;0,IF(AND(ISNUMBER(VLOOKUP($A18,Rezepte,MATCH(Produktionsmenge!S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S$5,Rezepte!$5:$5,0),0),""),"")</f>
        <v/>
      </c>
      <c r="T18" s="24" t="str">
        <f ca="1">IF(LEN($A18)&gt;0,IF(AND(ISNUMBER(VLOOKUP($A18,Rezepte,MATCH(Produktionsmenge!T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T$5,Rezepte!$5:$5,0),0),""),"")</f>
        <v/>
      </c>
      <c r="U18" s="24" t="str">
        <f ca="1">IF(LEN($A18)&gt;0,IF(AND(ISNUMBER(VLOOKUP($A18,Rezepte,MATCH(Produktionsmenge!U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U$5,Rezepte!$5:$5,0),0),""),"")</f>
        <v/>
      </c>
      <c r="V18" s="24" t="str">
        <f ca="1">IF(LEN($A18)&gt;0,IF(AND(ISNUMBER(VLOOKUP($A18,Rezepte,MATCH(Produktionsmenge!V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V$5,Rezepte!$5:$5,0),0),""),"")</f>
        <v/>
      </c>
      <c r="W18" s="24">
        <f ca="1">IF(LEN($A18)&gt;0,IF(AND(ISNUMBER(VLOOKUP($A18,Rezepte,MATCH(Produktionsmenge!W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W$5,Rezepte!$5:$5,0),0),""),"")</f>
        <v>34.742857142857147</v>
      </c>
      <c r="X18" s="24">
        <f ca="1">IF(LEN($A18)&gt;0,IF(AND(ISNUMBER(VLOOKUP($A18,Rezepte,MATCH(Produktionsmenge!X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X$5,Rezepte!$5:$5,0),0),""),"")</f>
        <v>6.9485714285714293</v>
      </c>
      <c r="Y18" s="24" t="str">
        <f ca="1">IF(LEN($A18)&gt;0,IF(AND(ISNUMBER(VLOOKUP($A18,Rezepte,MATCH(Produktionsmenge!Y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Y$5,Rezepte!$5:$5,0),0),""),"")</f>
        <v/>
      </c>
      <c r="Z18" s="24" t="str">
        <f ca="1">IF(LEN($A18)&gt;0,IF(AND(ISNUMBER(VLOOKUP($A18,Rezepte,MATCH(Produktionsmenge!Z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Z$5,Rezepte!$5:$5,0),0),""),"")</f>
        <v/>
      </c>
      <c r="AA18" s="24" t="str">
        <f ca="1">IF(LEN($A18)&gt;0,IF(AND(ISNUMBER(VLOOKUP($A18,Rezepte,MATCH(Produktionsmenge!AA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AA$5,Rezepte!$5:$5,0),0),""),"")</f>
        <v/>
      </c>
      <c r="AB18" s="24" t="str">
        <f ca="1">IF(LEN($A18)&gt;0,IF(AND(ISNUMBER(VLOOKUP($A18,Rezepte,MATCH(Produktionsmenge!AB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AB$5,Rezepte!$5:$5,0),0),""),"")</f>
        <v/>
      </c>
      <c r="AC18" s="24" t="str">
        <f ca="1">IF(LEN($A18)&gt;0,IF(AND(ISNUMBER(VLOOKUP($A18,Rezepte,MATCH(Produktionsmenge!AC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AC$5,Rezepte!$5:$5,0),0),""),"")</f>
        <v/>
      </c>
      <c r="AD18" s="24" t="str">
        <f ca="1">IF(LEN($A18)&gt;0,IF(AND(ISNUMBER(VLOOKUP($A18,Rezepte,MATCH(Produktionsmenge!AD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AD$5,Rezepte!$5:$5,0),0),""),"")</f>
        <v/>
      </c>
      <c r="AE18" s="24" t="str">
        <f ca="1">IF(LEN($A18)&gt;0,IF(AND(ISNUMBER(VLOOKUP($A18,Rezepte,MATCH(Produktionsmenge!AE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AE$5,Rezepte!$5:$5,0),0),""),"")</f>
        <v/>
      </c>
      <c r="AF18" s="24" t="str">
        <f ca="1">IF(LEN($A18)&gt;0,IF(AND(ISNUMBER(VLOOKUP($A18,Rezepte,MATCH(Produktionsmenge!AF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AF$5,Rezepte!$5:$5,0),0),""),"")</f>
        <v/>
      </c>
      <c r="AG18" s="24" t="str">
        <f ca="1">IF(LEN($A18)&gt;0,IF(AND(ISNUMBER(VLOOKUP($A18,Rezepte,MATCH(Produktionsmenge!AG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AG$5,Rezepte!$5:$5,0),0),""),"")</f>
        <v/>
      </c>
      <c r="AH18" s="24" t="str">
        <f ca="1">IF(LEN($A18)&gt;0,IF(AND(ISNUMBER(VLOOKUP($A18,Rezepte,MATCH(Produktionsmenge!AH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AH$5,Rezepte!$5:$5,0),0),""),"")</f>
        <v/>
      </c>
      <c r="AI18" s="24" t="str">
        <f ca="1">IF(LEN($A18)&gt;0,IF(AND(ISNUMBER(VLOOKUP($A18,Rezepte,MATCH(Produktionsmenge!AI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AI$5,Rezepte!$5:$5,0),0),""),"")</f>
        <v/>
      </c>
      <c r="AJ18" s="24">
        <f ca="1">IF(LEN($A18)&gt;0,IF(AND(ISNUMBER(VLOOKUP($A18,Rezepte,MATCH(Produktionsmenge!AJ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AJ$5,Rezepte!$5:$5,0),0),""),"")</f>
        <v>1282.011428571429</v>
      </c>
      <c r="AK18" s="24" t="str">
        <f ca="1">IF(LEN($A18)&gt;0,IF(AND(ISNUMBER(VLOOKUP($A18,Rezepte,MATCH(Produktionsmenge!AK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AK$5,Rezepte!$5:$5,0),0),""),"")</f>
        <v/>
      </c>
      <c r="AL18" s="24" t="str">
        <f ca="1">IF(LEN($A18)&gt;0,IF(AND(ISNUMBER(VLOOKUP($A18,Rezepte,MATCH(Produktionsmenge!AL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AL$5,Rezepte!$5:$5,0),0),""),"")</f>
        <v/>
      </c>
      <c r="AM18" s="24" t="str">
        <f ca="1">IF(LEN($A18)&gt;0,IF(AND(ISNUMBER(VLOOKUP($A18,Rezepte,MATCH(Produktionsmenge!AM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AM$5,Rezepte!$5:$5,0),0),""),"")</f>
        <v/>
      </c>
      <c r="AN18" s="24" t="str">
        <f ca="1">IF(LEN($A18)&gt;0,IF(AND(ISNUMBER(VLOOKUP($A18,Rezepte,MATCH(Produktionsmenge!AN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AN$5,Rezepte!$5:$5,0),0),""),"")</f>
        <v/>
      </c>
      <c r="AO18" s="24" t="str">
        <f ca="1">IF(LEN($A18)&gt;0,IF(AND(ISNUMBER(VLOOKUP($A18,Rezepte,MATCH(Produktionsmenge!AO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AO$5,Rezepte!$5:$5,0),0),""),"")</f>
        <v/>
      </c>
      <c r="AP18" s="24" t="str">
        <f ca="1">IF(LEN($A18)&gt;0,IF(AND(ISNUMBER(VLOOKUP($A18,Rezepte,MATCH(Produktionsmenge!AP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AP$5,Rezepte!$5:$5,0),0),""),"")</f>
        <v/>
      </c>
      <c r="AQ18" s="24" t="str">
        <f ca="1">IF(LEN($A18)&gt;0,IF(AND(ISNUMBER(VLOOKUP($A18,Rezepte,MATCH(Produktionsmenge!AQ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AQ$5,Rezepte!$5:$5,0),0),""),"")</f>
        <v/>
      </c>
      <c r="AR18" s="24" t="str">
        <f ca="1">IF(LEN($A18)&gt;0,IF(AND(ISNUMBER(VLOOKUP($A18,Rezepte,MATCH(Produktionsmenge!AR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AR$5,Rezepte!$5:$5,0),0),""),"")</f>
        <v/>
      </c>
      <c r="AS18" s="24" t="str">
        <f ca="1">IF(LEN($A18)&gt;0,IF(AND(ISNUMBER(VLOOKUP($A18,Rezepte,MATCH(Produktionsmenge!AS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AS$5,Rezepte!$5:$5,0),0),""),"")</f>
        <v/>
      </c>
      <c r="AT18" s="24" t="str">
        <f ca="1">IF(LEN($A18)&gt;0,IF(AND(ISNUMBER(VLOOKUP($A18,Rezepte,MATCH(Produktionsmenge!AT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AT$5,Rezepte!$5:$5,0),0),""),"")</f>
        <v/>
      </c>
      <c r="AU18" s="24" t="str">
        <f ca="1">IF(LEN($A18)&gt;0,IF(AND(ISNUMBER(VLOOKUP($A18,Rezepte,MATCH(Produktionsmenge!AU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AU$5,Rezepte!$5:$5,0),0),""),"")</f>
        <v/>
      </c>
      <c r="AV18" s="24" t="str">
        <f ca="1">IF(LEN($A18)&gt;0,IF(AND(ISNUMBER(VLOOKUP($A18,Rezepte,MATCH(Produktionsmenge!AV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AV$5,Rezepte!$5:$5,0),0),""),"")</f>
        <v/>
      </c>
      <c r="AW18" s="24" t="str">
        <f ca="1">IF(LEN($A18)&gt;0,IF(AND(ISNUMBER(VLOOKUP($A18,Rezepte,MATCH(Produktionsmenge!AW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AW$5,Rezepte!$5:$5,0),0),""),"")</f>
        <v/>
      </c>
      <c r="AX18" s="24" t="str">
        <f ca="1">IF(LEN($A18)&gt;0,IF(AND(ISNUMBER(VLOOKUP($A18,Rezepte,MATCH(Produktionsmenge!AX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AX$5,Rezepte!$5:$5,0),0),""),"")</f>
        <v/>
      </c>
      <c r="AY18" s="24" t="str">
        <f ca="1">IF(LEN($A18)&gt;0,IF(AND(ISNUMBER(VLOOKUP($A18,Rezepte,MATCH(Produktionsmenge!AY$5,Rezepte!$5:$5,0),0)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&gt;0),SUM(OFFSET(Bestellungen!$A$5,1,MATCH(IF(ISNUMBER(SEARCH("(",$A18)),LEFT($A18,SEARCH("(",$A18)-2),$A18),Bestellungen!$A$5:$AJ$5,0)-1):OFFSET(Bestellungen!$A$5,COUNTA(Bestellungen!$A$6:$A$1048576),MATCH(IF(ISNUMBER(SEARCH("(",$A18)),LEFT($A18,SEARCH("(",$A18)-2),$A18),Bestellungen!$A$5:$AJ$5,0)-1))*VLOOKUP($A18,Rezepte,MATCH(Produktionsmenge!AY$5,Rezepte!$5:$5,0),0),""),"")</f>
        <v/>
      </c>
    </row>
    <row r="19" spans="1:51" x14ac:dyDescent="0.25">
      <c r="A19" t="str">
        <f t="array" ref="A19">IFERROR(INDEX(Rezepte!$A$6:$A$100,MATCH(1,(COUNTIF(A$6:A18,Rezepte!A$6:A$100)=0)*(Rezepte!A$6:A$100&lt;&gt;""),0)),"")</f>
        <v/>
      </c>
      <c r="B19" s="24" t="str">
        <f ca="1">IF(LEN($A19)&gt;0,IF(AND(ISNUMBER(VLOOKUP($A19,Rezepte,MATCH(Produktionsmenge!B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B$5,Rezepte!$5:$5,0),0),""),"")</f>
        <v/>
      </c>
      <c r="C19" s="24" t="str">
        <f ca="1">IF(LEN($A19)&gt;0,IF(AND(ISNUMBER(VLOOKUP($A19,Rezepte,MATCH(Produktionsmenge!C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C$5,Rezepte!$5:$5,0),0),""),"")</f>
        <v/>
      </c>
      <c r="D19" s="24" t="str">
        <f ca="1">IF(LEN($A19)&gt;0,IF(AND(ISNUMBER(VLOOKUP($A19,Rezepte,MATCH(Produktionsmenge!D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D$5,Rezepte!$5:$5,0),0),""),"")</f>
        <v/>
      </c>
      <c r="E19" s="24" t="str">
        <f ca="1">IF(LEN($A19)&gt;0,IF(AND(ISNUMBER(VLOOKUP($A19,Rezepte,MATCH(Produktionsmenge!E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E$5,Rezepte!$5:$5,0),0),""),"")</f>
        <v/>
      </c>
      <c r="F19" s="24" t="str">
        <f ca="1">IF(LEN($A19)&gt;0,IF(AND(ISNUMBER(VLOOKUP($A19,Rezepte,MATCH(Produktionsmenge!F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F$5,Rezepte!$5:$5,0),0),""),"")</f>
        <v/>
      </c>
      <c r="G19" s="24" t="str">
        <f ca="1">IF(LEN($A19)&gt;0,IF(AND(ISNUMBER(VLOOKUP($A19,Rezepte,MATCH(Produktionsmenge!G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G$5,Rezepte!$5:$5,0),0),""),"")</f>
        <v/>
      </c>
      <c r="H19" s="24" t="str">
        <f ca="1">IF(LEN($A19)&gt;0,IF(AND(ISNUMBER(VLOOKUP($A19,Rezepte,MATCH(Produktionsmenge!H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H$5,Rezepte!$5:$5,0),0),""),"")</f>
        <v/>
      </c>
      <c r="I19" s="24" t="str">
        <f ca="1">IF(LEN($A19)&gt;0,IF(AND(ISNUMBER(VLOOKUP($A19,Rezepte,MATCH(Produktionsmenge!I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I$5,Rezepte!$5:$5,0),0),""),"")</f>
        <v/>
      </c>
      <c r="J19" s="24" t="str">
        <f ca="1">IF(LEN($A19)&gt;0,IF(AND(ISNUMBER(VLOOKUP($A19,Rezepte,MATCH(Produktionsmenge!J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J$5,Rezepte!$5:$5,0),0),""),"")</f>
        <v/>
      </c>
      <c r="K19" s="24" t="str">
        <f ca="1">IF(LEN($A19)&gt;0,IF(AND(ISNUMBER(VLOOKUP($A19,Rezepte,MATCH(Produktionsmenge!K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K$5,Rezepte!$5:$5,0),0),""),"")</f>
        <v/>
      </c>
      <c r="L19" s="24" t="str">
        <f ca="1">IF(LEN($A19)&gt;0,IF(AND(ISNUMBER(VLOOKUP($A19,Rezepte,MATCH(Produktionsmenge!L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L$5,Rezepte!$5:$5,0),0),""),"")</f>
        <v/>
      </c>
      <c r="M19" s="24" t="str">
        <f ca="1">IF(LEN($A19)&gt;0,IF(AND(ISNUMBER(VLOOKUP($A19,Rezepte,MATCH(Produktionsmenge!M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M$5,Rezepte!$5:$5,0),0),""),"")</f>
        <v/>
      </c>
      <c r="N19" s="24" t="str">
        <f ca="1">IF(LEN($A19)&gt;0,IF(AND(ISNUMBER(VLOOKUP($A19,Rezepte,MATCH(Produktionsmenge!N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N$5,Rezepte!$5:$5,0),0),""),"")</f>
        <v/>
      </c>
      <c r="O19" s="24" t="str">
        <f ca="1">IF(LEN($A19)&gt;0,IF(AND(ISNUMBER(VLOOKUP($A19,Rezepte,MATCH(Produktionsmenge!O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O$5,Rezepte!$5:$5,0),0),""),"")</f>
        <v/>
      </c>
      <c r="P19" s="24" t="str">
        <f ca="1">IF(LEN($A19)&gt;0,IF(AND(ISNUMBER(VLOOKUP($A19,Rezepte,MATCH(Produktionsmenge!P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P$5,Rezepte!$5:$5,0),0),""),"")</f>
        <v/>
      </c>
      <c r="Q19" s="24" t="str">
        <f ca="1">IF(LEN($A19)&gt;0,IF(AND(ISNUMBER(VLOOKUP($A19,Rezepte,MATCH(Produktionsmenge!Q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Q$5,Rezepte!$5:$5,0),0),""),"")</f>
        <v/>
      </c>
      <c r="R19" s="24" t="str">
        <f ca="1">IF(LEN($A19)&gt;0,IF(AND(ISNUMBER(VLOOKUP($A19,Rezepte,MATCH(Produktionsmenge!R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R$5,Rezepte!$5:$5,0),0),""),"")</f>
        <v/>
      </c>
      <c r="S19" s="24" t="str">
        <f ca="1">IF(LEN($A19)&gt;0,IF(AND(ISNUMBER(VLOOKUP($A19,Rezepte,MATCH(Produktionsmenge!S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S$5,Rezepte!$5:$5,0),0),""),"")</f>
        <v/>
      </c>
      <c r="T19" s="24" t="str">
        <f ca="1">IF(LEN($A19)&gt;0,IF(AND(ISNUMBER(VLOOKUP($A19,Rezepte,MATCH(Produktionsmenge!T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T$5,Rezepte!$5:$5,0),0),""),"")</f>
        <v/>
      </c>
      <c r="U19" s="24" t="str">
        <f ca="1">IF(LEN($A19)&gt;0,IF(AND(ISNUMBER(VLOOKUP($A19,Rezepte,MATCH(Produktionsmenge!U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U$5,Rezepte!$5:$5,0),0),""),"")</f>
        <v/>
      </c>
      <c r="V19" s="24" t="str">
        <f ca="1">IF(LEN($A19)&gt;0,IF(AND(ISNUMBER(VLOOKUP($A19,Rezepte,MATCH(Produktionsmenge!V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V$5,Rezepte!$5:$5,0),0),""),"")</f>
        <v/>
      </c>
      <c r="W19" s="24" t="str">
        <f ca="1">IF(LEN($A19)&gt;0,IF(AND(ISNUMBER(VLOOKUP($A19,Rezepte,MATCH(Produktionsmenge!W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W$5,Rezepte!$5:$5,0),0),""),"")</f>
        <v/>
      </c>
      <c r="X19" s="24" t="str">
        <f ca="1">IF(LEN($A19)&gt;0,IF(AND(ISNUMBER(VLOOKUP($A19,Rezepte,MATCH(Produktionsmenge!X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X$5,Rezepte!$5:$5,0),0),""),"")</f>
        <v/>
      </c>
      <c r="Y19" s="24" t="str">
        <f ca="1">IF(LEN($A19)&gt;0,IF(AND(ISNUMBER(VLOOKUP($A19,Rezepte,MATCH(Produktionsmenge!Y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Y$5,Rezepte!$5:$5,0),0),""),"")</f>
        <v/>
      </c>
      <c r="Z19" s="24" t="str">
        <f ca="1">IF(LEN($A19)&gt;0,IF(AND(ISNUMBER(VLOOKUP($A19,Rezepte,MATCH(Produktionsmenge!Z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Z$5,Rezepte!$5:$5,0),0),""),"")</f>
        <v/>
      </c>
      <c r="AA19" s="24" t="str">
        <f ca="1">IF(LEN($A19)&gt;0,IF(AND(ISNUMBER(VLOOKUP($A19,Rezepte,MATCH(Produktionsmenge!AA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AA$5,Rezepte!$5:$5,0),0),""),"")</f>
        <v/>
      </c>
      <c r="AB19" s="24" t="str">
        <f ca="1">IF(LEN($A19)&gt;0,IF(AND(ISNUMBER(VLOOKUP($A19,Rezepte,MATCH(Produktionsmenge!AB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AB$5,Rezepte!$5:$5,0),0),""),"")</f>
        <v/>
      </c>
      <c r="AC19" s="24" t="str">
        <f ca="1">IF(LEN($A19)&gt;0,IF(AND(ISNUMBER(VLOOKUP($A19,Rezepte,MATCH(Produktionsmenge!AC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AC$5,Rezepte!$5:$5,0),0),""),"")</f>
        <v/>
      </c>
      <c r="AD19" s="24" t="str">
        <f ca="1">IF(LEN($A19)&gt;0,IF(AND(ISNUMBER(VLOOKUP($A19,Rezepte,MATCH(Produktionsmenge!AD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AD$5,Rezepte!$5:$5,0),0),""),"")</f>
        <v/>
      </c>
      <c r="AE19" s="24" t="str">
        <f ca="1">IF(LEN($A19)&gt;0,IF(AND(ISNUMBER(VLOOKUP($A19,Rezepte,MATCH(Produktionsmenge!AE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AE$5,Rezepte!$5:$5,0),0),""),"")</f>
        <v/>
      </c>
      <c r="AF19" s="24" t="str">
        <f ca="1">IF(LEN($A19)&gt;0,IF(AND(ISNUMBER(VLOOKUP($A19,Rezepte,MATCH(Produktionsmenge!AF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AF$5,Rezepte!$5:$5,0),0),""),"")</f>
        <v/>
      </c>
      <c r="AG19" s="24" t="str">
        <f ca="1">IF(LEN($A19)&gt;0,IF(AND(ISNUMBER(VLOOKUP($A19,Rezepte,MATCH(Produktionsmenge!AG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AG$5,Rezepte!$5:$5,0),0),""),"")</f>
        <v/>
      </c>
      <c r="AH19" s="24" t="str">
        <f ca="1">IF(LEN($A19)&gt;0,IF(AND(ISNUMBER(VLOOKUP($A19,Rezepte,MATCH(Produktionsmenge!AH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AH$5,Rezepte!$5:$5,0),0),""),"")</f>
        <v/>
      </c>
      <c r="AI19" s="24" t="str">
        <f ca="1">IF(LEN($A19)&gt;0,IF(AND(ISNUMBER(VLOOKUP($A19,Rezepte,MATCH(Produktionsmenge!AI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AI$5,Rezepte!$5:$5,0),0),""),"")</f>
        <v/>
      </c>
      <c r="AJ19" s="24" t="str">
        <f ca="1">IF(LEN($A19)&gt;0,IF(AND(ISNUMBER(VLOOKUP($A19,Rezepte,MATCH(Produktionsmenge!AJ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AJ$5,Rezepte!$5:$5,0),0),""),"")</f>
        <v/>
      </c>
      <c r="AK19" s="24" t="str">
        <f ca="1">IF(LEN($A19)&gt;0,IF(AND(ISNUMBER(VLOOKUP($A19,Rezepte,MATCH(Produktionsmenge!AK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AK$5,Rezepte!$5:$5,0),0),""),"")</f>
        <v/>
      </c>
      <c r="AL19" s="24" t="str">
        <f ca="1">IF(LEN($A19)&gt;0,IF(AND(ISNUMBER(VLOOKUP($A19,Rezepte,MATCH(Produktionsmenge!AL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AL$5,Rezepte!$5:$5,0),0),""),"")</f>
        <v/>
      </c>
      <c r="AM19" s="24" t="str">
        <f ca="1">IF(LEN($A19)&gt;0,IF(AND(ISNUMBER(VLOOKUP($A19,Rezepte,MATCH(Produktionsmenge!AM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AM$5,Rezepte!$5:$5,0),0),""),"")</f>
        <v/>
      </c>
      <c r="AN19" s="24" t="str">
        <f ca="1">IF(LEN($A19)&gt;0,IF(AND(ISNUMBER(VLOOKUP($A19,Rezepte,MATCH(Produktionsmenge!AN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AN$5,Rezepte!$5:$5,0),0),""),"")</f>
        <v/>
      </c>
      <c r="AO19" s="24" t="str">
        <f ca="1">IF(LEN($A19)&gt;0,IF(AND(ISNUMBER(VLOOKUP($A19,Rezepte,MATCH(Produktionsmenge!AO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AO$5,Rezepte!$5:$5,0),0),""),"")</f>
        <v/>
      </c>
      <c r="AP19" s="24" t="str">
        <f ca="1">IF(LEN($A19)&gt;0,IF(AND(ISNUMBER(VLOOKUP($A19,Rezepte,MATCH(Produktionsmenge!AP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AP$5,Rezepte!$5:$5,0),0),""),"")</f>
        <v/>
      </c>
      <c r="AQ19" s="24" t="str">
        <f ca="1">IF(LEN($A19)&gt;0,IF(AND(ISNUMBER(VLOOKUP($A19,Rezepte,MATCH(Produktionsmenge!AQ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AQ$5,Rezepte!$5:$5,0),0),""),"")</f>
        <v/>
      </c>
      <c r="AR19" s="24" t="str">
        <f ca="1">IF(LEN($A19)&gt;0,IF(AND(ISNUMBER(VLOOKUP($A19,Rezepte,MATCH(Produktionsmenge!AR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AR$5,Rezepte!$5:$5,0),0),""),"")</f>
        <v/>
      </c>
      <c r="AS19" s="24" t="str">
        <f ca="1">IF(LEN($A19)&gt;0,IF(AND(ISNUMBER(VLOOKUP($A19,Rezepte,MATCH(Produktionsmenge!AS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AS$5,Rezepte!$5:$5,0),0),""),"")</f>
        <v/>
      </c>
      <c r="AT19" s="24" t="str">
        <f ca="1">IF(LEN($A19)&gt;0,IF(AND(ISNUMBER(VLOOKUP($A19,Rezepte,MATCH(Produktionsmenge!AT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AT$5,Rezepte!$5:$5,0),0),""),"")</f>
        <v/>
      </c>
      <c r="AU19" s="24" t="str">
        <f ca="1">IF(LEN($A19)&gt;0,IF(AND(ISNUMBER(VLOOKUP($A19,Rezepte,MATCH(Produktionsmenge!AU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AU$5,Rezepte!$5:$5,0),0),""),"")</f>
        <v/>
      </c>
      <c r="AV19" s="24" t="str">
        <f ca="1">IF(LEN($A19)&gt;0,IF(AND(ISNUMBER(VLOOKUP($A19,Rezepte,MATCH(Produktionsmenge!AV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AV$5,Rezepte!$5:$5,0),0),""),"")</f>
        <v/>
      </c>
      <c r="AW19" s="24" t="str">
        <f ca="1">IF(LEN($A19)&gt;0,IF(AND(ISNUMBER(VLOOKUP($A19,Rezepte,MATCH(Produktionsmenge!AW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AW$5,Rezepte!$5:$5,0),0),""),"")</f>
        <v/>
      </c>
      <c r="AX19" s="24" t="str">
        <f ca="1">IF(LEN($A19)&gt;0,IF(AND(ISNUMBER(VLOOKUP($A19,Rezepte,MATCH(Produktionsmenge!AX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AX$5,Rezepte!$5:$5,0),0),""),"")</f>
        <v/>
      </c>
      <c r="AY19" s="24" t="str">
        <f ca="1">IF(LEN($A19)&gt;0,IF(AND(ISNUMBER(VLOOKUP($A19,Rezepte,MATCH(Produktionsmenge!AY$5,Rezepte!$5:$5,0),0)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&gt;0),SUM(OFFSET(Bestellungen!$A$5,1,MATCH(IF(ISNUMBER(SEARCH("(",$A19)),LEFT($A19,SEARCH("(",$A19)-2),$A19),Bestellungen!$A$5:$AJ$5,0)-1):OFFSET(Bestellungen!$A$5,COUNTA(Bestellungen!$A$6:$A$1048576),MATCH(IF(ISNUMBER(SEARCH("(",$A19)),LEFT($A19,SEARCH("(",$A19)-2),$A19),Bestellungen!$A$5:$AJ$5,0)-1))*VLOOKUP($A19,Rezepte,MATCH(Produktionsmenge!AY$5,Rezepte!$5:$5,0),0),""),"")</f>
        <v/>
      </c>
    </row>
    <row r="20" spans="1:51" x14ac:dyDescent="0.25">
      <c r="A20" t="str">
        <f t="array" ref="A20">IFERROR(INDEX(Rezepte!$A$6:$A$100,MATCH(1,(COUNTIF(A$6:A19,Rezepte!A$6:A$100)=0)*(Rezepte!A$6:A$100&lt;&gt;""),0)),"")</f>
        <v/>
      </c>
      <c r="B20" s="24" t="str">
        <f ca="1">IF(LEN($A20)&gt;0,IF(AND(ISNUMBER(VLOOKUP($A20,Rezepte,MATCH(Produktionsmenge!B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B$5,Rezepte!$5:$5,0),0),""),"")</f>
        <v/>
      </c>
      <c r="C20" s="24" t="str">
        <f ca="1">IF(LEN($A20)&gt;0,IF(AND(ISNUMBER(VLOOKUP($A20,Rezepte,MATCH(Produktionsmenge!C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C$5,Rezepte!$5:$5,0),0),""),"")</f>
        <v/>
      </c>
      <c r="D20" s="24" t="str">
        <f ca="1">IF(LEN($A20)&gt;0,IF(AND(ISNUMBER(VLOOKUP($A20,Rezepte,MATCH(Produktionsmenge!D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D$5,Rezepte!$5:$5,0),0),""),"")</f>
        <v/>
      </c>
      <c r="E20" s="24" t="str">
        <f ca="1">IF(LEN($A20)&gt;0,IF(AND(ISNUMBER(VLOOKUP($A20,Rezepte,MATCH(Produktionsmenge!E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E$5,Rezepte!$5:$5,0),0),""),"")</f>
        <v/>
      </c>
      <c r="F20" s="24" t="str">
        <f ca="1">IF(LEN($A20)&gt;0,IF(AND(ISNUMBER(VLOOKUP($A20,Rezepte,MATCH(Produktionsmenge!F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F$5,Rezepte!$5:$5,0),0),""),"")</f>
        <v/>
      </c>
      <c r="G20" s="24" t="str">
        <f ca="1">IF(LEN($A20)&gt;0,IF(AND(ISNUMBER(VLOOKUP($A20,Rezepte,MATCH(Produktionsmenge!G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G$5,Rezepte!$5:$5,0),0),""),"")</f>
        <v/>
      </c>
      <c r="H20" s="24" t="str">
        <f ca="1">IF(LEN($A20)&gt;0,IF(AND(ISNUMBER(VLOOKUP($A20,Rezepte,MATCH(Produktionsmenge!H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H$5,Rezepte!$5:$5,0),0),""),"")</f>
        <v/>
      </c>
      <c r="I20" s="24" t="str">
        <f ca="1">IF(LEN($A20)&gt;0,IF(AND(ISNUMBER(VLOOKUP($A20,Rezepte,MATCH(Produktionsmenge!I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I$5,Rezepte!$5:$5,0),0),""),"")</f>
        <v/>
      </c>
      <c r="J20" s="24" t="str">
        <f ca="1">IF(LEN($A20)&gt;0,IF(AND(ISNUMBER(VLOOKUP($A20,Rezepte,MATCH(Produktionsmenge!J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J$5,Rezepte!$5:$5,0),0),""),"")</f>
        <v/>
      </c>
      <c r="K20" s="24" t="str">
        <f ca="1">IF(LEN($A20)&gt;0,IF(AND(ISNUMBER(VLOOKUP($A20,Rezepte,MATCH(Produktionsmenge!K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K$5,Rezepte!$5:$5,0),0),""),"")</f>
        <v/>
      </c>
      <c r="L20" s="24" t="str">
        <f ca="1">IF(LEN($A20)&gt;0,IF(AND(ISNUMBER(VLOOKUP($A20,Rezepte,MATCH(Produktionsmenge!L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L$5,Rezepte!$5:$5,0),0),""),"")</f>
        <v/>
      </c>
      <c r="M20" s="24" t="str">
        <f ca="1">IF(LEN($A20)&gt;0,IF(AND(ISNUMBER(VLOOKUP($A20,Rezepte,MATCH(Produktionsmenge!M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M$5,Rezepte!$5:$5,0),0),""),"")</f>
        <v/>
      </c>
      <c r="N20" s="24" t="str">
        <f ca="1">IF(LEN($A20)&gt;0,IF(AND(ISNUMBER(VLOOKUP($A20,Rezepte,MATCH(Produktionsmenge!N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N$5,Rezepte!$5:$5,0),0),""),"")</f>
        <v/>
      </c>
      <c r="O20" s="24" t="str">
        <f ca="1">IF(LEN($A20)&gt;0,IF(AND(ISNUMBER(VLOOKUP($A20,Rezepte,MATCH(Produktionsmenge!O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O$5,Rezepte!$5:$5,0),0),""),"")</f>
        <v/>
      </c>
      <c r="P20" s="24" t="str">
        <f ca="1">IF(LEN($A20)&gt;0,IF(AND(ISNUMBER(VLOOKUP($A20,Rezepte,MATCH(Produktionsmenge!P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P$5,Rezepte!$5:$5,0),0),""),"")</f>
        <v/>
      </c>
      <c r="Q20" s="24" t="str">
        <f ca="1">IF(LEN($A20)&gt;0,IF(AND(ISNUMBER(VLOOKUP($A20,Rezepte,MATCH(Produktionsmenge!Q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Q$5,Rezepte!$5:$5,0),0),""),"")</f>
        <v/>
      </c>
      <c r="R20" s="24" t="str">
        <f ca="1">IF(LEN($A20)&gt;0,IF(AND(ISNUMBER(VLOOKUP($A20,Rezepte,MATCH(Produktionsmenge!R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R$5,Rezepte!$5:$5,0),0),""),"")</f>
        <v/>
      </c>
      <c r="S20" s="24" t="str">
        <f ca="1">IF(LEN($A20)&gt;0,IF(AND(ISNUMBER(VLOOKUP($A20,Rezepte,MATCH(Produktionsmenge!S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S$5,Rezepte!$5:$5,0),0),""),"")</f>
        <v/>
      </c>
      <c r="T20" s="24" t="str">
        <f ca="1">IF(LEN($A20)&gt;0,IF(AND(ISNUMBER(VLOOKUP($A20,Rezepte,MATCH(Produktionsmenge!T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T$5,Rezepte!$5:$5,0),0),""),"")</f>
        <v/>
      </c>
      <c r="U20" s="24" t="str">
        <f ca="1">IF(LEN($A20)&gt;0,IF(AND(ISNUMBER(VLOOKUP($A20,Rezepte,MATCH(Produktionsmenge!U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U$5,Rezepte!$5:$5,0),0),""),"")</f>
        <v/>
      </c>
      <c r="V20" s="24" t="str">
        <f ca="1">IF(LEN($A20)&gt;0,IF(AND(ISNUMBER(VLOOKUP($A20,Rezepte,MATCH(Produktionsmenge!V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V$5,Rezepte!$5:$5,0),0),""),"")</f>
        <v/>
      </c>
      <c r="W20" s="24" t="str">
        <f ca="1">IF(LEN($A20)&gt;0,IF(AND(ISNUMBER(VLOOKUP($A20,Rezepte,MATCH(Produktionsmenge!W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W$5,Rezepte!$5:$5,0),0),""),"")</f>
        <v/>
      </c>
      <c r="X20" s="24" t="str">
        <f ca="1">IF(LEN($A20)&gt;0,IF(AND(ISNUMBER(VLOOKUP($A20,Rezepte,MATCH(Produktionsmenge!X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X$5,Rezepte!$5:$5,0),0),""),"")</f>
        <v/>
      </c>
      <c r="Y20" s="24" t="str">
        <f ca="1">IF(LEN($A20)&gt;0,IF(AND(ISNUMBER(VLOOKUP($A20,Rezepte,MATCH(Produktionsmenge!Y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Y$5,Rezepte!$5:$5,0),0),""),"")</f>
        <v/>
      </c>
      <c r="Z20" s="24" t="str">
        <f ca="1">IF(LEN($A20)&gt;0,IF(AND(ISNUMBER(VLOOKUP($A20,Rezepte,MATCH(Produktionsmenge!Z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Z$5,Rezepte!$5:$5,0),0),""),"")</f>
        <v/>
      </c>
      <c r="AA20" s="24" t="str">
        <f ca="1">IF(LEN($A20)&gt;0,IF(AND(ISNUMBER(VLOOKUP($A20,Rezepte,MATCH(Produktionsmenge!AA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AA$5,Rezepte!$5:$5,0),0),""),"")</f>
        <v/>
      </c>
      <c r="AB20" s="24" t="str">
        <f ca="1">IF(LEN($A20)&gt;0,IF(AND(ISNUMBER(VLOOKUP($A20,Rezepte,MATCH(Produktionsmenge!AB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AB$5,Rezepte!$5:$5,0),0),""),"")</f>
        <v/>
      </c>
      <c r="AC20" s="24" t="str">
        <f ca="1">IF(LEN($A20)&gt;0,IF(AND(ISNUMBER(VLOOKUP($A20,Rezepte,MATCH(Produktionsmenge!AC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AC$5,Rezepte!$5:$5,0),0),""),"")</f>
        <v/>
      </c>
      <c r="AD20" s="24" t="str">
        <f ca="1">IF(LEN($A20)&gt;0,IF(AND(ISNUMBER(VLOOKUP($A20,Rezepte,MATCH(Produktionsmenge!AD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AD$5,Rezepte!$5:$5,0),0),""),"")</f>
        <v/>
      </c>
      <c r="AE20" s="24" t="str">
        <f ca="1">IF(LEN($A20)&gt;0,IF(AND(ISNUMBER(VLOOKUP($A20,Rezepte,MATCH(Produktionsmenge!AE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AE$5,Rezepte!$5:$5,0),0),""),"")</f>
        <v/>
      </c>
      <c r="AF20" s="24" t="str">
        <f ca="1">IF(LEN($A20)&gt;0,IF(AND(ISNUMBER(VLOOKUP($A20,Rezepte,MATCH(Produktionsmenge!AF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AF$5,Rezepte!$5:$5,0),0),""),"")</f>
        <v/>
      </c>
      <c r="AG20" s="24" t="str">
        <f ca="1">IF(LEN($A20)&gt;0,IF(AND(ISNUMBER(VLOOKUP($A20,Rezepte,MATCH(Produktionsmenge!AG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AG$5,Rezepte!$5:$5,0),0),""),"")</f>
        <v/>
      </c>
      <c r="AH20" s="24" t="str">
        <f ca="1">IF(LEN($A20)&gt;0,IF(AND(ISNUMBER(VLOOKUP($A20,Rezepte,MATCH(Produktionsmenge!AH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AH$5,Rezepte!$5:$5,0),0),""),"")</f>
        <v/>
      </c>
      <c r="AI20" s="24" t="str">
        <f ca="1">IF(LEN($A20)&gt;0,IF(AND(ISNUMBER(VLOOKUP($A20,Rezepte,MATCH(Produktionsmenge!AI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AI$5,Rezepte!$5:$5,0),0),""),"")</f>
        <v/>
      </c>
      <c r="AJ20" s="24" t="str">
        <f ca="1">IF(LEN($A20)&gt;0,IF(AND(ISNUMBER(VLOOKUP($A20,Rezepte,MATCH(Produktionsmenge!AJ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AJ$5,Rezepte!$5:$5,0),0),""),"")</f>
        <v/>
      </c>
      <c r="AK20" s="24" t="str">
        <f ca="1">IF(LEN($A20)&gt;0,IF(AND(ISNUMBER(VLOOKUP($A20,Rezepte,MATCH(Produktionsmenge!AK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AK$5,Rezepte!$5:$5,0),0),""),"")</f>
        <v/>
      </c>
      <c r="AL20" s="24" t="str">
        <f ca="1">IF(LEN($A20)&gt;0,IF(AND(ISNUMBER(VLOOKUP($A20,Rezepte,MATCH(Produktionsmenge!AL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AL$5,Rezepte!$5:$5,0),0),""),"")</f>
        <v/>
      </c>
      <c r="AM20" s="24" t="str">
        <f ca="1">IF(LEN($A20)&gt;0,IF(AND(ISNUMBER(VLOOKUP($A20,Rezepte,MATCH(Produktionsmenge!AM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AM$5,Rezepte!$5:$5,0),0),""),"")</f>
        <v/>
      </c>
      <c r="AN20" s="24" t="str">
        <f ca="1">IF(LEN($A20)&gt;0,IF(AND(ISNUMBER(VLOOKUP($A20,Rezepte,MATCH(Produktionsmenge!AN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AN$5,Rezepte!$5:$5,0),0),""),"")</f>
        <v/>
      </c>
      <c r="AO20" s="24" t="str">
        <f ca="1">IF(LEN($A20)&gt;0,IF(AND(ISNUMBER(VLOOKUP($A20,Rezepte,MATCH(Produktionsmenge!AO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AO$5,Rezepte!$5:$5,0),0),""),"")</f>
        <v/>
      </c>
      <c r="AP20" s="24" t="str">
        <f ca="1">IF(LEN($A20)&gt;0,IF(AND(ISNUMBER(VLOOKUP($A20,Rezepte,MATCH(Produktionsmenge!AP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AP$5,Rezepte!$5:$5,0),0),""),"")</f>
        <v/>
      </c>
      <c r="AQ20" s="24" t="str">
        <f ca="1">IF(LEN($A20)&gt;0,IF(AND(ISNUMBER(VLOOKUP($A20,Rezepte,MATCH(Produktionsmenge!AQ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AQ$5,Rezepte!$5:$5,0),0),""),"")</f>
        <v/>
      </c>
      <c r="AR20" s="24" t="str">
        <f ca="1">IF(LEN($A20)&gt;0,IF(AND(ISNUMBER(VLOOKUP($A20,Rezepte,MATCH(Produktionsmenge!AR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AR$5,Rezepte!$5:$5,0),0),""),"")</f>
        <v/>
      </c>
      <c r="AS20" s="24" t="str">
        <f ca="1">IF(LEN($A20)&gt;0,IF(AND(ISNUMBER(VLOOKUP($A20,Rezepte,MATCH(Produktionsmenge!AS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AS$5,Rezepte!$5:$5,0),0),""),"")</f>
        <v/>
      </c>
      <c r="AT20" s="24" t="str">
        <f ca="1">IF(LEN($A20)&gt;0,IF(AND(ISNUMBER(VLOOKUP($A20,Rezepte,MATCH(Produktionsmenge!AT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AT$5,Rezepte!$5:$5,0),0),""),"")</f>
        <v/>
      </c>
      <c r="AU20" s="24" t="str">
        <f ca="1">IF(LEN($A20)&gt;0,IF(AND(ISNUMBER(VLOOKUP($A20,Rezepte,MATCH(Produktionsmenge!AU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AU$5,Rezepte!$5:$5,0),0),""),"")</f>
        <v/>
      </c>
      <c r="AV20" s="24" t="str">
        <f ca="1">IF(LEN($A20)&gt;0,IF(AND(ISNUMBER(VLOOKUP($A20,Rezepte,MATCH(Produktionsmenge!AV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AV$5,Rezepte!$5:$5,0),0),""),"")</f>
        <v/>
      </c>
      <c r="AW20" s="24" t="str">
        <f ca="1">IF(LEN($A20)&gt;0,IF(AND(ISNUMBER(VLOOKUP($A20,Rezepte,MATCH(Produktionsmenge!AW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AW$5,Rezepte!$5:$5,0),0),""),"")</f>
        <v/>
      </c>
      <c r="AX20" s="24" t="str">
        <f ca="1">IF(LEN($A20)&gt;0,IF(AND(ISNUMBER(VLOOKUP($A20,Rezepte,MATCH(Produktionsmenge!AX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AX$5,Rezepte!$5:$5,0),0),""),"")</f>
        <v/>
      </c>
      <c r="AY20" s="24" t="str">
        <f ca="1">IF(LEN($A20)&gt;0,IF(AND(ISNUMBER(VLOOKUP($A20,Rezepte,MATCH(Produktionsmenge!AY$5,Rezepte!$5:$5,0),0)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&gt;0),SUM(OFFSET(Bestellungen!$A$5,1,MATCH(IF(ISNUMBER(SEARCH("(",$A20)),LEFT($A20,SEARCH("(",$A20)-2),$A20),Bestellungen!$A$5:$AJ$5,0)-1):OFFSET(Bestellungen!$A$5,COUNTA(Bestellungen!$A$6:$A$1048576),MATCH(IF(ISNUMBER(SEARCH("(",$A20)),LEFT($A20,SEARCH("(",$A20)-2),$A20),Bestellungen!$A$5:$AJ$5,0)-1))*VLOOKUP($A20,Rezepte,MATCH(Produktionsmenge!AY$5,Rezepte!$5:$5,0),0),""),"")</f>
        <v/>
      </c>
    </row>
    <row r="21" spans="1:51" x14ac:dyDescent="0.25">
      <c r="A21" t="str">
        <f t="array" ref="A21">IFERROR(INDEX(Rezepte!$A$6:$A$100,MATCH(1,(COUNTIF(A$6:A20,Rezepte!A$6:A$100)=0)*(Rezepte!A$6:A$100&lt;&gt;""),0)),"")</f>
        <v/>
      </c>
      <c r="B21" s="24" t="str">
        <f ca="1">IF(LEN($A21)&gt;0,IF(AND(ISNUMBER(VLOOKUP($A21,Rezepte,MATCH(Produktionsmenge!B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B$5,Rezepte!$5:$5,0),0),""),"")</f>
        <v/>
      </c>
      <c r="C21" s="24" t="str">
        <f ca="1">IF(LEN($A21)&gt;0,IF(AND(ISNUMBER(VLOOKUP($A21,Rezepte,MATCH(Produktionsmenge!C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C$5,Rezepte!$5:$5,0),0),""),"")</f>
        <v/>
      </c>
      <c r="D21" s="24" t="str">
        <f ca="1">IF(LEN($A21)&gt;0,IF(AND(ISNUMBER(VLOOKUP($A21,Rezepte,MATCH(Produktionsmenge!D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D$5,Rezepte!$5:$5,0),0),""),"")</f>
        <v/>
      </c>
      <c r="E21" s="24" t="str">
        <f ca="1">IF(LEN($A21)&gt;0,IF(AND(ISNUMBER(VLOOKUP($A21,Rezepte,MATCH(Produktionsmenge!E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E$5,Rezepte!$5:$5,0),0),""),"")</f>
        <v/>
      </c>
      <c r="F21" s="24" t="str">
        <f ca="1">IF(LEN($A21)&gt;0,IF(AND(ISNUMBER(VLOOKUP($A21,Rezepte,MATCH(Produktionsmenge!F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F$5,Rezepte!$5:$5,0),0),""),"")</f>
        <v/>
      </c>
      <c r="G21" s="24" t="str">
        <f ca="1">IF(LEN($A21)&gt;0,IF(AND(ISNUMBER(VLOOKUP($A21,Rezepte,MATCH(Produktionsmenge!G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G$5,Rezepte!$5:$5,0),0),""),"")</f>
        <v/>
      </c>
      <c r="H21" s="24" t="str">
        <f ca="1">IF(LEN($A21)&gt;0,IF(AND(ISNUMBER(VLOOKUP($A21,Rezepte,MATCH(Produktionsmenge!H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H$5,Rezepte!$5:$5,0),0),""),"")</f>
        <v/>
      </c>
      <c r="I21" s="24" t="str">
        <f ca="1">IF(LEN($A21)&gt;0,IF(AND(ISNUMBER(VLOOKUP($A21,Rezepte,MATCH(Produktionsmenge!I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I$5,Rezepte!$5:$5,0),0),""),"")</f>
        <v/>
      </c>
      <c r="J21" s="24" t="str">
        <f ca="1">IF(LEN($A21)&gt;0,IF(AND(ISNUMBER(VLOOKUP($A21,Rezepte,MATCH(Produktionsmenge!J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J$5,Rezepte!$5:$5,0),0),""),"")</f>
        <v/>
      </c>
      <c r="K21" s="24" t="str">
        <f ca="1">IF(LEN($A21)&gt;0,IF(AND(ISNUMBER(VLOOKUP($A21,Rezepte,MATCH(Produktionsmenge!K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K$5,Rezepte!$5:$5,0),0),""),"")</f>
        <v/>
      </c>
      <c r="L21" s="24" t="str">
        <f ca="1">IF(LEN($A21)&gt;0,IF(AND(ISNUMBER(VLOOKUP($A21,Rezepte,MATCH(Produktionsmenge!L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L$5,Rezepte!$5:$5,0),0),""),"")</f>
        <v/>
      </c>
      <c r="M21" s="24" t="str">
        <f ca="1">IF(LEN($A21)&gt;0,IF(AND(ISNUMBER(VLOOKUP($A21,Rezepte,MATCH(Produktionsmenge!M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M$5,Rezepte!$5:$5,0),0),""),"")</f>
        <v/>
      </c>
      <c r="N21" s="24" t="str">
        <f ca="1">IF(LEN($A21)&gt;0,IF(AND(ISNUMBER(VLOOKUP($A21,Rezepte,MATCH(Produktionsmenge!N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N$5,Rezepte!$5:$5,0),0),""),"")</f>
        <v/>
      </c>
      <c r="O21" s="24" t="str">
        <f ca="1">IF(LEN($A21)&gt;0,IF(AND(ISNUMBER(VLOOKUP($A21,Rezepte,MATCH(Produktionsmenge!O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O$5,Rezepte!$5:$5,0),0),""),"")</f>
        <v/>
      </c>
      <c r="P21" s="24" t="str">
        <f ca="1">IF(LEN($A21)&gt;0,IF(AND(ISNUMBER(VLOOKUP($A21,Rezepte,MATCH(Produktionsmenge!P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P$5,Rezepte!$5:$5,0),0),""),"")</f>
        <v/>
      </c>
      <c r="Q21" s="24" t="str">
        <f ca="1">IF(LEN($A21)&gt;0,IF(AND(ISNUMBER(VLOOKUP($A21,Rezepte,MATCH(Produktionsmenge!Q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Q$5,Rezepte!$5:$5,0),0),""),"")</f>
        <v/>
      </c>
      <c r="R21" s="24" t="str">
        <f ca="1">IF(LEN($A21)&gt;0,IF(AND(ISNUMBER(VLOOKUP($A21,Rezepte,MATCH(Produktionsmenge!R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R$5,Rezepte!$5:$5,0),0),""),"")</f>
        <v/>
      </c>
      <c r="S21" s="24" t="str">
        <f ca="1">IF(LEN($A21)&gt;0,IF(AND(ISNUMBER(VLOOKUP($A21,Rezepte,MATCH(Produktionsmenge!S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S$5,Rezepte!$5:$5,0),0),""),"")</f>
        <v/>
      </c>
      <c r="T21" s="24" t="str">
        <f ca="1">IF(LEN($A21)&gt;0,IF(AND(ISNUMBER(VLOOKUP($A21,Rezepte,MATCH(Produktionsmenge!T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T$5,Rezepte!$5:$5,0),0),""),"")</f>
        <v/>
      </c>
      <c r="U21" s="24" t="str">
        <f ca="1">IF(LEN($A21)&gt;0,IF(AND(ISNUMBER(VLOOKUP($A21,Rezepte,MATCH(Produktionsmenge!U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U$5,Rezepte!$5:$5,0),0),""),"")</f>
        <v/>
      </c>
      <c r="V21" s="24" t="str">
        <f ca="1">IF(LEN($A21)&gt;0,IF(AND(ISNUMBER(VLOOKUP($A21,Rezepte,MATCH(Produktionsmenge!V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V$5,Rezepte!$5:$5,0),0),""),"")</f>
        <v/>
      </c>
      <c r="W21" s="24" t="str">
        <f ca="1">IF(LEN($A21)&gt;0,IF(AND(ISNUMBER(VLOOKUP($A21,Rezepte,MATCH(Produktionsmenge!W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W$5,Rezepte!$5:$5,0),0),""),"")</f>
        <v/>
      </c>
      <c r="X21" s="24" t="str">
        <f ca="1">IF(LEN($A21)&gt;0,IF(AND(ISNUMBER(VLOOKUP($A21,Rezepte,MATCH(Produktionsmenge!X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X$5,Rezepte!$5:$5,0),0),""),"")</f>
        <v/>
      </c>
      <c r="Y21" s="24" t="str">
        <f ca="1">IF(LEN($A21)&gt;0,IF(AND(ISNUMBER(VLOOKUP($A21,Rezepte,MATCH(Produktionsmenge!Y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Y$5,Rezepte!$5:$5,0),0),""),"")</f>
        <v/>
      </c>
      <c r="Z21" s="24" t="str">
        <f ca="1">IF(LEN($A21)&gt;0,IF(AND(ISNUMBER(VLOOKUP($A21,Rezepte,MATCH(Produktionsmenge!Z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Z$5,Rezepte!$5:$5,0),0),""),"")</f>
        <v/>
      </c>
      <c r="AA21" s="24" t="str">
        <f ca="1">IF(LEN($A21)&gt;0,IF(AND(ISNUMBER(VLOOKUP($A21,Rezepte,MATCH(Produktionsmenge!AA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AA$5,Rezepte!$5:$5,0),0),""),"")</f>
        <v/>
      </c>
      <c r="AB21" s="24" t="str">
        <f ca="1">IF(LEN($A21)&gt;0,IF(AND(ISNUMBER(VLOOKUP($A21,Rezepte,MATCH(Produktionsmenge!AB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AB$5,Rezepte!$5:$5,0),0),""),"")</f>
        <v/>
      </c>
      <c r="AC21" s="24" t="str">
        <f ca="1">IF(LEN($A21)&gt;0,IF(AND(ISNUMBER(VLOOKUP($A21,Rezepte,MATCH(Produktionsmenge!AC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AC$5,Rezepte!$5:$5,0),0),""),"")</f>
        <v/>
      </c>
      <c r="AD21" s="24" t="str">
        <f ca="1">IF(LEN($A21)&gt;0,IF(AND(ISNUMBER(VLOOKUP($A21,Rezepte,MATCH(Produktionsmenge!AD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AD$5,Rezepte!$5:$5,0),0),""),"")</f>
        <v/>
      </c>
      <c r="AE21" s="24" t="str">
        <f ca="1">IF(LEN($A21)&gt;0,IF(AND(ISNUMBER(VLOOKUP($A21,Rezepte,MATCH(Produktionsmenge!AE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AE$5,Rezepte!$5:$5,0),0),""),"")</f>
        <v/>
      </c>
      <c r="AF21" s="24" t="str">
        <f ca="1">IF(LEN($A21)&gt;0,IF(AND(ISNUMBER(VLOOKUP($A21,Rezepte,MATCH(Produktionsmenge!AF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AF$5,Rezepte!$5:$5,0),0),""),"")</f>
        <v/>
      </c>
      <c r="AG21" s="24" t="str">
        <f ca="1">IF(LEN($A21)&gt;0,IF(AND(ISNUMBER(VLOOKUP($A21,Rezepte,MATCH(Produktionsmenge!AG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AG$5,Rezepte!$5:$5,0),0),""),"")</f>
        <v/>
      </c>
      <c r="AH21" s="24" t="str">
        <f ca="1">IF(LEN($A21)&gt;0,IF(AND(ISNUMBER(VLOOKUP($A21,Rezepte,MATCH(Produktionsmenge!AH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AH$5,Rezepte!$5:$5,0),0),""),"")</f>
        <v/>
      </c>
      <c r="AI21" s="24" t="str">
        <f ca="1">IF(LEN($A21)&gt;0,IF(AND(ISNUMBER(VLOOKUP($A21,Rezepte,MATCH(Produktionsmenge!AI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AI$5,Rezepte!$5:$5,0),0),""),"")</f>
        <v/>
      </c>
      <c r="AJ21" s="24" t="str">
        <f ca="1">IF(LEN($A21)&gt;0,IF(AND(ISNUMBER(VLOOKUP($A21,Rezepte,MATCH(Produktionsmenge!AJ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AJ$5,Rezepte!$5:$5,0),0),""),"")</f>
        <v/>
      </c>
      <c r="AK21" s="24" t="str">
        <f ca="1">IF(LEN($A21)&gt;0,IF(AND(ISNUMBER(VLOOKUP($A21,Rezepte,MATCH(Produktionsmenge!AK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AK$5,Rezepte!$5:$5,0),0),""),"")</f>
        <v/>
      </c>
      <c r="AL21" s="24" t="str">
        <f ca="1">IF(LEN($A21)&gt;0,IF(AND(ISNUMBER(VLOOKUP($A21,Rezepte,MATCH(Produktionsmenge!AL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AL$5,Rezepte!$5:$5,0),0),""),"")</f>
        <v/>
      </c>
      <c r="AM21" s="24" t="str">
        <f ca="1">IF(LEN($A21)&gt;0,IF(AND(ISNUMBER(VLOOKUP($A21,Rezepte,MATCH(Produktionsmenge!AM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AM$5,Rezepte!$5:$5,0),0),""),"")</f>
        <v/>
      </c>
      <c r="AN21" s="24" t="str">
        <f ca="1">IF(LEN($A21)&gt;0,IF(AND(ISNUMBER(VLOOKUP($A21,Rezepte,MATCH(Produktionsmenge!AN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AN$5,Rezepte!$5:$5,0),0),""),"")</f>
        <v/>
      </c>
      <c r="AO21" s="24" t="str">
        <f ca="1">IF(LEN($A21)&gt;0,IF(AND(ISNUMBER(VLOOKUP($A21,Rezepte,MATCH(Produktionsmenge!AO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AO$5,Rezepte!$5:$5,0),0),""),"")</f>
        <v/>
      </c>
      <c r="AP21" s="24" t="str">
        <f ca="1">IF(LEN($A21)&gt;0,IF(AND(ISNUMBER(VLOOKUP($A21,Rezepte,MATCH(Produktionsmenge!AP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AP$5,Rezepte!$5:$5,0),0),""),"")</f>
        <v/>
      </c>
      <c r="AQ21" s="24" t="str">
        <f ca="1">IF(LEN($A21)&gt;0,IF(AND(ISNUMBER(VLOOKUP($A21,Rezepte,MATCH(Produktionsmenge!AQ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AQ$5,Rezepte!$5:$5,0),0),""),"")</f>
        <v/>
      </c>
      <c r="AR21" s="24" t="str">
        <f ca="1">IF(LEN($A21)&gt;0,IF(AND(ISNUMBER(VLOOKUP($A21,Rezepte,MATCH(Produktionsmenge!AR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AR$5,Rezepte!$5:$5,0),0),""),"")</f>
        <v/>
      </c>
      <c r="AS21" s="24" t="str">
        <f ca="1">IF(LEN($A21)&gt;0,IF(AND(ISNUMBER(VLOOKUP($A21,Rezepte,MATCH(Produktionsmenge!AS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AS$5,Rezepte!$5:$5,0),0),""),"")</f>
        <v/>
      </c>
      <c r="AT21" s="24" t="str">
        <f ca="1">IF(LEN($A21)&gt;0,IF(AND(ISNUMBER(VLOOKUP($A21,Rezepte,MATCH(Produktionsmenge!AT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AT$5,Rezepte!$5:$5,0),0),""),"")</f>
        <v/>
      </c>
      <c r="AU21" s="24" t="str">
        <f ca="1">IF(LEN($A21)&gt;0,IF(AND(ISNUMBER(VLOOKUP($A21,Rezepte,MATCH(Produktionsmenge!AU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AU$5,Rezepte!$5:$5,0),0),""),"")</f>
        <v/>
      </c>
      <c r="AV21" s="24" t="str">
        <f ca="1">IF(LEN($A21)&gt;0,IF(AND(ISNUMBER(VLOOKUP($A21,Rezepte,MATCH(Produktionsmenge!AV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AV$5,Rezepte!$5:$5,0),0),""),"")</f>
        <v/>
      </c>
      <c r="AW21" s="24" t="str">
        <f ca="1">IF(LEN($A21)&gt;0,IF(AND(ISNUMBER(VLOOKUP($A21,Rezepte,MATCH(Produktionsmenge!AW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AW$5,Rezepte!$5:$5,0),0),""),"")</f>
        <v/>
      </c>
      <c r="AX21" s="24" t="str">
        <f ca="1">IF(LEN($A21)&gt;0,IF(AND(ISNUMBER(VLOOKUP($A21,Rezepte,MATCH(Produktionsmenge!AX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AX$5,Rezepte!$5:$5,0),0),""),"")</f>
        <v/>
      </c>
      <c r="AY21" s="24" t="str">
        <f ca="1">IF(LEN($A21)&gt;0,IF(AND(ISNUMBER(VLOOKUP($A21,Rezepte,MATCH(Produktionsmenge!AY$5,Rezepte!$5:$5,0),0)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&gt;0),SUM(OFFSET(Bestellungen!$A$5,1,MATCH(IF(ISNUMBER(SEARCH("(",$A21)),LEFT($A21,SEARCH("(",$A21)-2),$A21),Bestellungen!$A$5:$AJ$5,0)-1):OFFSET(Bestellungen!$A$5,COUNTA(Bestellungen!$A$6:$A$1048576),MATCH(IF(ISNUMBER(SEARCH("(",$A21)),LEFT($A21,SEARCH("(",$A21)-2),$A21),Bestellungen!$A$5:$AJ$5,0)-1))*VLOOKUP($A21,Rezepte,MATCH(Produktionsmenge!AY$5,Rezepte!$5:$5,0),0),""),"")</f>
        <v/>
      </c>
    </row>
    <row r="22" spans="1:51" x14ac:dyDescent="0.25">
      <c r="A22" t="str">
        <f t="array" ref="A22">IFERROR(INDEX(Rezepte!$A$6:$A$100,MATCH(1,(COUNTIF(A$6:A21,Rezepte!A$6:A$100)=0)*(Rezepte!A$6:A$100&lt;&gt;""),0)),"")</f>
        <v/>
      </c>
      <c r="B22" s="24" t="str">
        <f ca="1">IF(LEN($A22)&gt;0,IF(AND(ISNUMBER(VLOOKUP($A22,Rezepte,MATCH(Produktionsmenge!B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B$5,Rezepte!$5:$5,0),0),""),"")</f>
        <v/>
      </c>
      <c r="C22" s="24" t="str">
        <f ca="1">IF(LEN($A22)&gt;0,IF(AND(ISNUMBER(VLOOKUP($A22,Rezepte,MATCH(Produktionsmenge!C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C$5,Rezepte!$5:$5,0),0),""),"")</f>
        <v/>
      </c>
      <c r="D22" s="24" t="str">
        <f ca="1">IF(LEN($A22)&gt;0,IF(AND(ISNUMBER(VLOOKUP($A22,Rezepte,MATCH(Produktionsmenge!D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D$5,Rezepte!$5:$5,0),0),""),"")</f>
        <v/>
      </c>
      <c r="E22" s="24" t="str">
        <f ca="1">IF(LEN($A22)&gt;0,IF(AND(ISNUMBER(VLOOKUP($A22,Rezepte,MATCH(Produktionsmenge!E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E$5,Rezepte!$5:$5,0),0),""),"")</f>
        <v/>
      </c>
      <c r="F22" s="24" t="str">
        <f ca="1">IF(LEN($A22)&gt;0,IF(AND(ISNUMBER(VLOOKUP($A22,Rezepte,MATCH(Produktionsmenge!F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F$5,Rezepte!$5:$5,0),0),""),"")</f>
        <v/>
      </c>
      <c r="G22" s="24" t="str">
        <f ca="1">IF(LEN($A22)&gt;0,IF(AND(ISNUMBER(VLOOKUP($A22,Rezepte,MATCH(Produktionsmenge!G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G$5,Rezepte!$5:$5,0),0),""),"")</f>
        <v/>
      </c>
      <c r="H22" s="24" t="str">
        <f ca="1">IF(LEN($A22)&gt;0,IF(AND(ISNUMBER(VLOOKUP($A22,Rezepte,MATCH(Produktionsmenge!H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H$5,Rezepte!$5:$5,0),0),""),"")</f>
        <v/>
      </c>
      <c r="I22" s="24" t="str">
        <f ca="1">IF(LEN($A22)&gt;0,IF(AND(ISNUMBER(VLOOKUP($A22,Rezepte,MATCH(Produktionsmenge!I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I$5,Rezepte!$5:$5,0),0),""),"")</f>
        <v/>
      </c>
      <c r="J22" s="24" t="str">
        <f ca="1">IF(LEN($A22)&gt;0,IF(AND(ISNUMBER(VLOOKUP($A22,Rezepte,MATCH(Produktionsmenge!J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J$5,Rezepte!$5:$5,0),0),""),"")</f>
        <v/>
      </c>
      <c r="K22" s="24" t="str">
        <f ca="1">IF(LEN($A22)&gt;0,IF(AND(ISNUMBER(VLOOKUP($A22,Rezepte,MATCH(Produktionsmenge!K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K$5,Rezepte!$5:$5,0),0),""),"")</f>
        <v/>
      </c>
      <c r="L22" s="24" t="str">
        <f ca="1">IF(LEN($A22)&gt;0,IF(AND(ISNUMBER(VLOOKUP($A22,Rezepte,MATCH(Produktionsmenge!L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L$5,Rezepte!$5:$5,0),0),""),"")</f>
        <v/>
      </c>
      <c r="M22" s="24" t="str">
        <f ca="1">IF(LEN($A22)&gt;0,IF(AND(ISNUMBER(VLOOKUP($A22,Rezepte,MATCH(Produktionsmenge!M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M$5,Rezepte!$5:$5,0),0),""),"")</f>
        <v/>
      </c>
      <c r="N22" s="24" t="str">
        <f ca="1">IF(LEN($A22)&gt;0,IF(AND(ISNUMBER(VLOOKUP($A22,Rezepte,MATCH(Produktionsmenge!N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N$5,Rezepte!$5:$5,0),0),""),"")</f>
        <v/>
      </c>
      <c r="O22" s="24" t="str">
        <f ca="1">IF(LEN($A22)&gt;0,IF(AND(ISNUMBER(VLOOKUP($A22,Rezepte,MATCH(Produktionsmenge!O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O$5,Rezepte!$5:$5,0),0),""),"")</f>
        <v/>
      </c>
      <c r="P22" s="24" t="str">
        <f ca="1">IF(LEN($A22)&gt;0,IF(AND(ISNUMBER(VLOOKUP($A22,Rezepte,MATCH(Produktionsmenge!P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P$5,Rezepte!$5:$5,0),0),""),"")</f>
        <v/>
      </c>
      <c r="Q22" s="24" t="str">
        <f ca="1">IF(LEN($A22)&gt;0,IF(AND(ISNUMBER(VLOOKUP($A22,Rezepte,MATCH(Produktionsmenge!Q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Q$5,Rezepte!$5:$5,0),0),""),"")</f>
        <v/>
      </c>
      <c r="R22" s="24" t="str">
        <f ca="1">IF(LEN($A22)&gt;0,IF(AND(ISNUMBER(VLOOKUP($A22,Rezepte,MATCH(Produktionsmenge!R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R$5,Rezepte!$5:$5,0),0),""),"")</f>
        <v/>
      </c>
      <c r="S22" s="24" t="str">
        <f ca="1">IF(LEN($A22)&gt;0,IF(AND(ISNUMBER(VLOOKUP($A22,Rezepte,MATCH(Produktionsmenge!S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S$5,Rezepte!$5:$5,0),0),""),"")</f>
        <v/>
      </c>
      <c r="T22" s="24" t="str">
        <f ca="1">IF(LEN($A22)&gt;0,IF(AND(ISNUMBER(VLOOKUP($A22,Rezepte,MATCH(Produktionsmenge!T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T$5,Rezepte!$5:$5,0),0),""),"")</f>
        <v/>
      </c>
      <c r="U22" s="24" t="str">
        <f ca="1">IF(LEN($A22)&gt;0,IF(AND(ISNUMBER(VLOOKUP($A22,Rezepte,MATCH(Produktionsmenge!U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U$5,Rezepte!$5:$5,0),0),""),"")</f>
        <v/>
      </c>
      <c r="V22" s="24" t="str">
        <f ca="1">IF(LEN($A22)&gt;0,IF(AND(ISNUMBER(VLOOKUP($A22,Rezepte,MATCH(Produktionsmenge!V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V$5,Rezepte!$5:$5,0),0),""),"")</f>
        <v/>
      </c>
      <c r="W22" s="24" t="str">
        <f ca="1">IF(LEN($A22)&gt;0,IF(AND(ISNUMBER(VLOOKUP($A22,Rezepte,MATCH(Produktionsmenge!W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W$5,Rezepte!$5:$5,0),0),""),"")</f>
        <v/>
      </c>
      <c r="X22" s="24" t="str">
        <f ca="1">IF(LEN($A22)&gt;0,IF(AND(ISNUMBER(VLOOKUP($A22,Rezepte,MATCH(Produktionsmenge!X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X$5,Rezepte!$5:$5,0),0),""),"")</f>
        <v/>
      </c>
      <c r="Y22" s="24" t="str">
        <f ca="1">IF(LEN($A22)&gt;0,IF(AND(ISNUMBER(VLOOKUP($A22,Rezepte,MATCH(Produktionsmenge!Y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Y$5,Rezepte!$5:$5,0),0),""),"")</f>
        <v/>
      </c>
      <c r="Z22" s="24" t="str">
        <f ca="1">IF(LEN($A22)&gt;0,IF(AND(ISNUMBER(VLOOKUP($A22,Rezepte,MATCH(Produktionsmenge!Z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Z$5,Rezepte!$5:$5,0),0),""),"")</f>
        <v/>
      </c>
      <c r="AA22" s="24" t="str">
        <f ca="1">IF(LEN($A22)&gt;0,IF(AND(ISNUMBER(VLOOKUP($A22,Rezepte,MATCH(Produktionsmenge!AA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AA$5,Rezepte!$5:$5,0),0),""),"")</f>
        <v/>
      </c>
      <c r="AB22" s="24" t="str">
        <f ca="1">IF(LEN($A22)&gt;0,IF(AND(ISNUMBER(VLOOKUP($A22,Rezepte,MATCH(Produktionsmenge!AB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AB$5,Rezepte!$5:$5,0),0),""),"")</f>
        <v/>
      </c>
      <c r="AC22" s="24" t="str">
        <f ca="1">IF(LEN($A22)&gt;0,IF(AND(ISNUMBER(VLOOKUP($A22,Rezepte,MATCH(Produktionsmenge!AC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AC$5,Rezepte!$5:$5,0),0),""),"")</f>
        <v/>
      </c>
      <c r="AD22" s="24" t="str">
        <f ca="1">IF(LEN($A22)&gt;0,IF(AND(ISNUMBER(VLOOKUP($A22,Rezepte,MATCH(Produktionsmenge!AD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AD$5,Rezepte!$5:$5,0),0),""),"")</f>
        <v/>
      </c>
      <c r="AE22" s="24" t="str">
        <f ca="1">IF(LEN($A22)&gt;0,IF(AND(ISNUMBER(VLOOKUP($A22,Rezepte,MATCH(Produktionsmenge!AE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AE$5,Rezepte!$5:$5,0),0),""),"")</f>
        <v/>
      </c>
      <c r="AF22" s="24" t="str">
        <f ca="1">IF(LEN($A22)&gt;0,IF(AND(ISNUMBER(VLOOKUP($A22,Rezepte,MATCH(Produktionsmenge!AF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AF$5,Rezepte!$5:$5,0),0),""),"")</f>
        <v/>
      </c>
      <c r="AG22" s="24" t="str">
        <f ca="1">IF(LEN($A22)&gt;0,IF(AND(ISNUMBER(VLOOKUP($A22,Rezepte,MATCH(Produktionsmenge!AG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AG$5,Rezepte!$5:$5,0),0),""),"")</f>
        <v/>
      </c>
      <c r="AH22" s="24" t="str">
        <f ca="1">IF(LEN($A22)&gt;0,IF(AND(ISNUMBER(VLOOKUP($A22,Rezepte,MATCH(Produktionsmenge!AH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AH$5,Rezepte!$5:$5,0),0),""),"")</f>
        <v/>
      </c>
      <c r="AI22" s="24" t="str">
        <f ca="1">IF(LEN($A22)&gt;0,IF(AND(ISNUMBER(VLOOKUP($A22,Rezepte,MATCH(Produktionsmenge!AI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AI$5,Rezepte!$5:$5,0),0),""),"")</f>
        <v/>
      </c>
      <c r="AJ22" s="24" t="str">
        <f ca="1">IF(LEN($A22)&gt;0,IF(AND(ISNUMBER(VLOOKUP($A22,Rezepte,MATCH(Produktionsmenge!AJ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AJ$5,Rezepte!$5:$5,0),0),""),"")</f>
        <v/>
      </c>
      <c r="AK22" s="24" t="str">
        <f ca="1">IF(LEN($A22)&gt;0,IF(AND(ISNUMBER(VLOOKUP($A22,Rezepte,MATCH(Produktionsmenge!AK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AK$5,Rezepte!$5:$5,0),0),""),"")</f>
        <v/>
      </c>
      <c r="AL22" s="24" t="str">
        <f ca="1">IF(LEN($A22)&gt;0,IF(AND(ISNUMBER(VLOOKUP($A22,Rezepte,MATCH(Produktionsmenge!AL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AL$5,Rezepte!$5:$5,0),0),""),"")</f>
        <v/>
      </c>
      <c r="AM22" s="24" t="str">
        <f ca="1">IF(LEN($A22)&gt;0,IF(AND(ISNUMBER(VLOOKUP($A22,Rezepte,MATCH(Produktionsmenge!AM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AM$5,Rezepte!$5:$5,0),0),""),"")</f>
        <v/>
      </c>
      <c r="AN22" s="24" t="str">
        <f ca="1">IF(LEN($A22)&gt;0,IF(AND(ISNUMBER(VLOOKUP($A22,Rezepte,MATCH(Produktionsmenge!AN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AN$5,Rezepte!$5:$5,0),0),""),"")</f>
        <v/>
      </c>
      <c r="AO22" s="24" t="str">
        <f ca="1">IF(LEN($A22)&gt;0,IF(AND(ISNUMBER(VLOOKUP($A22,Rezepte,MATCH(Produktionsmenge!AO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AO$5,Rezepte!$5:$5,0),0),""),"")</f>
        <v/>
      </c>
      <c r="AP22" s="24" t="str">
        <f ca="1">IF(LEN($A22)&gt;0,IF(AND(ISNUMBER(VLOOKUP($A22,Rezepte,MATCH(Produktionsmenge!AP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AP$5,Rezepte!$5:$5,0),0),""),"")</f>
        <v/>
      </c>
      <c r="AQ22" s="24" t="str">
        <f ca="1">IF(LEN($A22)&gt;0,IF(AND(ISNUMBER(VLOOKUP($A22,Rezepte,MATCH(Produktionsmenge!AQ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AQ$5,Rezepte!$5:$5,0),0),""),"")</f>
        <v/>
      </c>
      <c r="AR22" s="24" t="str">
        <f ca="1">IF(LEN($A22)&gt;0,IF(AND(ISNUMBER(VLOOKUP($A22,Rezepte,MATCH(Produktionsmenge!AR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AR$5,Rezepte!$5:$5,0),0),""),"")</f>
        <v/>
      </c>
      <c r="AS22" s="24" t="str">
        <f ca="1">IF(LEN($A22)&gt;0,IF(AND(ISNUMBER(VLOOKUP($A22,Rezepte,MATCH(Produktionsmenge!AS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AS$5,Rezepte!$5:$5,0),0),""),"")</f>
        <v/>
      </c>
      <c r="AT22" s="24" t="str">
        <f ca="1">IF(LEN($A22)&gt;0,IF(AND(ISNUMBER(VLOOKUP($A22,Rezepte,MATCH(Produktionsmenge!AT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AT$5,Rezepte!$5:$5,0),0),""),"")</f>
        <v/>
      </c>
      <c r="AU22" s="24" t="str">
        <f ca="1">IF(LEN($A22)&gt;0,IF(AND(ISNUMBER(VLOOKUP($A22,Rezepte,MATCH(Produktionsmenge!AU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AU$5,Rezepte!$5:$5,0),0),""),"")</f>
        <v/>
      </c>
      <c r="AV22" s="24" t="str">
        <f ca="1">IF(LEN($A22)&gt;0,IF(AND(ISNUMBER(VLOOKUP($A22,Rezepte,MATCH(Produktionsmenge!AV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AV$5,Rezepte!$5:$5,0),0),""),"")</f>
        <v/>
      </c>
      <c r="AW22" s="24" t="str">
        <f ca="1">IF(LEN($A22)&gt;0,IF(AND(ISNUMBER(VLOOKUP($A22,Rezepte,MATCH(Produktionsmenge!AW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AW$5,Rezepte!$5:$5,0),0),""),"")</f>
        <v/>
      </c>
      <c r="AX22" s="24" t="str">
        <f ca="1">IF(LEN($A22)&gt;0,IF(AND(ISNUMBER(VLOOKUP($A22,Rezepte,MATCH(Produktionsmenge!AX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AX$5,Rezepte!$5:$5,0),0),""),"")</f>
        <v/>
      </c>
      <c r="AY22" s="24" t="str">
        <f ca="1">IF(LEN($A22)&gt;0,IF(AND(ISNUMBER(VLOOKUP($A22,Rezepte,MATCH(Produktionsmenge!AY$5,Rezepte!$5:$5,0),0)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&gt;0),SUM(OFFSET(Bestellungen!$A$5,1,MATCH(IF(ISNUMBER(SEARCH("(",$A22)),LEFT($A22,SEARCH("(",$A22)-2),$A22),Bestellungen!$A$5:$AJ$5,0)-1):OFFSET(Bestellungen!$A$5,COUNTA(Bestellungen!$A$6:$A$1048576),MATCH(IF(ISNUMBER(SEARCH("(",$A22)),LEFT($A22,SEARCH("(",$A22)-2),$A22),Bestellungen!$A$5:$AJ$5,0)-1))*VLOOKUP($A22,Rezepte,MATCH(Produktionsmenge!AY$5,Rezepte!$5:$5,0),0),""),"")</f>
        <v/>
      </c>
    </row>
    <row r="23" spans="1:51" x14ac:dyDescent="0.25">
      <c r="A23" t="str">
        <f t="array" ref="A23">IFERROR(INDEX(Rezepte!$A$6:$A$100,MATCH(1,(COUNTIF(A$6:A22,Rezepte!A$6:A$100)=0)*(Rezepte!A$6:A$100&lt;&gt;""),0)),"")</f>
        <v/>
      </c>
      <c r="B23" s="24" t="str">
        <f ca="1">IF(LEN($A23)&gt;0,IF(AND(ISNUMBER(VLOOKUP($A23,Rezepte,MATCH(Produktionsmenge!B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B$5,Rezepte!$5:$5,0),0),""),"")</f>
        <v/>
      </c>
      <c r="C23" s="24" t="str">
        <f ca="1">IF(LEN($A23)&gt;0,IF(AND(ISNUMBER(VLOOKUP($A23,Rezepte,MATCH(Produktionsmenge!C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C$5,Rezepte!$5:$5,0),0),""),"")</f>
        <v/>
      </c>
      <c r="D23" s="24" t="str">
        <f ca="1">IF(LEN($A23)&gt;0,IF(AND(ISNUMBER(VLOOKUP($A23,Rezepte,MATCH(Produktionsmenge!D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D$5,Rezepte!$5:$5,0),0),""),"")</f>
        <v/>
      </c>
      <c r="E23" s="24" t="str">
        <f ca="1">IF(LEN($A23)&gt;0,IF(AND(ISNUMBER(VLOOKUP($A23,Rezepte,MATCH(Produktionsmenge!E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E$5,Rezepte!$5:$5,0),0),""),"")</f>
        <v/>
      </c>
      <c r="F23" s="24" t="str">
        <f ca="1">IF(LEN($A23)&gt;0,IF(AND(ISNUMBER(VLOOKUP($A23,Rezepte,MATCH(Produktionsmenge!F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F$5,Rezepte!$5:$5,0),0),""),"")</f>
        <v/>
      </c>
      <c r="G23" s="24" t="str">
        <f ca="1">IF(LEN($A23)&gt;0,IF(AND(ISNUMBER(VLOOKUP($A23,Rezepte,MATCH(Produktionsmenge!G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G$5,Rezepte!$5:$5,0),0),""),"")</f>
        <v/>
      </c>
      <c r="H23" s="24" t="str">
        <f ca="1">IF(LEN($A23)&gt;0,IF(AND(ISNUMBER(VLOOKUP($A23,Rezepte,MATCH(Produktionsmenge!H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H$5,Rezepte!$5:$5,0),0),""),"")</f>
        <v/>
      </c>
      <c r="I23" s="24" t="str">
        <f ca="1">IF(LEN($A23)&gt;0,IF(AND(ISNUMBER(VLOOKUP($A23,Rezepte,MATCH(Produktionsmenge!I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I$5,Rezepte!$5:$5,0),0),""),"")</f>
        <v/>
      </c>
      <c r="J23" s="24" t="str">
        <f ca="1">IF(LEN($A23)&gt;0,IF(AND(ISNUMBER(VLOOKUP($A23,Rezepte,MATCH(Produktionsmenge!J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J$5,Rezepte!$5:$5,0),0),""),"")</f>
        <v/>
      </c>
      <c r="K23" s="24" t="str">
        <f ca="1">IF(LEN($A23)&gt;0,IF(AND(ISNUMBER(VLOOKUP($A23,Rezepte,MATCH(Produktionsmenge!K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K$5,Rezepte!$5:$5,0),0),""),"")</f>
        <v/>
      </c>
      <c r="L23" s="24" t="str">
        <f ca="1">IF(LEN($A23)&gt;0,IF(AND(ISNUMBER(VLOOKUP($A23,Rezepte,MATCH(Produktionsmenge!L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L$5,Rezepte!$5:$5,0),0),""),"")</f>
        <v/>
      </c>
      <c r="M23" s="24" t="str">
        <f ca="1">IF(LEN($A23)&gt;0,IF(AND(ISNUMBER(VLOOKUP($A23,Rezepte,MATCH(Produktionsmenge!M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M$5,Rezepte!$5:$5,0),0),""),"")</f>
        <v/>
      </c>
      <c r="N23" s="24" t="str">
        <f ca="1">IF(LEN($A23)&gt;0,IF(AND(ISNUMBER(VLOOKUP($A23,Rezepte,MATCH(Produktionsmenge!N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N$5,Rezepte!$5:$5,0),0),""),"")</f>
        <v/>
      </c>
      <c r="O23" s="24" t="str">
        <f ca="1">IF(LEN($A23)&gt;0,IF(AND(ISNUMBER(VLOOKUP($A23,Rezepte,MATCH(Produktionsmenge!O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O$5,Rezepte!$5:$5,0),0),""),"")</f>
        <v/>
      </c>
      <c r="P23" s="24" t="str">
        <f ca="1">IF(LEN($A23)&gt;0,IF(AND(ISNUMBER(VLOOKUP($A23,Rezepte,MATCH(Produktionsmenge!P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P$5,Rezepte!$5:$5,0),0),""),"")</f>
        <v/>
      </c>
      <c r="Q23" s="24" t="str">
        <f ca="1">IF(LEN($A23)&gt;0,IF(AND(ISNUMBER(VLOOKUP($A23,Rezepte,MATCH(Produktionsmenge!Q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Q$5,Rezepte!$5:$5,0),0),""),"")</f>
        <v/>
      </c>
      <c r="R23" s="24" t="str">
        <f ca="1">IF(LEN($A23)&gt;0,IF(AND(ISNUMBER(VLOOKUP($A23,Rezepte,MATCH(Produktionsmenge!R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R$5,Rezepte!$5:$5,0),0),""),"")</f>
        <v/>
      </c>
      <c r="S23" s="24" t="str">
        <f ca="1">IF(LEN($A23)&gt;0,IF(AND(ISNUMBER(VLOOKUP($A23,Rezepte,MATCH(Produktionsmenge!S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S$5,Rezepte!$5:$5,0),0),""),"")</f>
        <v/>
      </c>
      <c r="T23" s="24" t="str">
        <f ca="1">IF(LEN($A23)&gt;0,IF(AND(ISNUMBER(VLOOKUP($A23,Rezepte,MATCH(Produktionsmenge!T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T$5,Rezepte!$5:$5,0),0),""),"")</f>
        <v/>
      </c>
      <c r="U23" s="24" t="str">
        <f ca="1">IF(LEN($A23)&gt;0,IF(AND(ISNUMBER(VLOOKUP($A23,Rezepte,MATCH(Produktionsmenge!U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U$5,Rezepte!$5:$5,0),0),""),"")</f>
        <v/>
      </c>
      <c r="V23" s="24" t="str">
        <f ca="1">IF(LEN($A23)&gt;0,IF(AND(ISNUMBER(VLOOKUP($A23,Rezepte,MATCH(Produktionsmenge!V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V$5,Rezepte!$5:$5,0),0),""),"")</f>
        <v/>
      </c>
      <c r="W23" s="24" t="str">
        <f ca="1">IF(LEN($A23)&gt;0,IF(AND(ISNUMBER(VLOOKUP($A23,Rezepte,MATCH(Produktionsmenge!W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W$5,Rezepte!$5:$5,0),0),""),"")</f>
        <v/>
      </c>
      <c r="X23" s="24" t="str">
        <f ca="1">IF(LEN($A23)&gt;0,IF(AND(ISNUMBER(VLOOKUP($A23,Rezepte,MATCH(Produktionsmenge!X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X$5,Rezepte!$5:$5,0),0),""),"")</f>
        <v/>
      </c>
      <c r="Y23" s="24" t="str">
        <f ca="1">IF(LEN($A23)&gt;0,IF(AND(ISNUMBER(VLOOKUP($A23,Rezepte,MATCH(Produktionsmenge!Y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Y$5,Rezepte!$5:$5,0),0),""),"")</f>
        <v/>
      </c>
      <c r="Z23" s="24" t="str">
        <f ca="1">IF(LEN($A23)&gt;0,IF(AND(ISNUMBER(VLOOKUP($A23,Rezepte,MATCH(Produktionsmenge!Z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Z$5,Rezepte!$5:$5,0),0),""),"")</f>
        <v/>
      </c>
      <c r="AA23" s="24" t="str">
        <f ca="1">IF(LEN($A23)&gt;0,IF(AND(ISNUMBER(VLOOKUP($A23,Rezepte,MATCH(Produktionsmenge!AA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AA$5,Rezepte!$5:$5,0),0),""),"")</f>
        <v/>
      </c>
      <c r="AB23" s="24" t="str">
        <f ca="1">IF(LEN($A23)&gt;0,IF(AND(ISNUMBER(VLOOKUP($A23,Rezepte,MATCH(Produktionsmenge!AB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AB$5,Rezepte!$5:$5,0),0),""),"")</f>
        <v/>
      </c>
      <c r="AC23" s="24" t="str">
        <f ca="1">IF(LEN($A23)&gt;0,IF(AND(ISNUMBER(VLOOKUP($A23,Rezepte,MATCH(Produktionsmenge!AC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AC$5,Rezepte!$5:$5,0),0),""),"")</f>
        <v/>
      </c>
      <c r="AD23" s="24" t="str">
        <f ca="1">IF(LEN($A23)&gt;0,IF(AND(ISNUMBER(VLOOKUP($A23,Rezepte,MATCH(Produktionsmenge!AD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AD$5,Rezepte!$5:$5,0),0),""),"")</f>
        <v/>
      </c>
      <c r="AE23" s="24" t="str">
        <f ca="1">IF(LEN($A23)&gt;0,IF(AND(ISNUMBER(VLOOKUP($A23,Rezepte,MATCH(Produktionsmenge!AE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AE$5,Rezepte!$5:$5,0),0),""),"")</f>
        <v/>
      </c>
      <c r="AF23" s="24" t="str">
        <f ca="1">IF(LEN($A23)&gt;0,IF(AND(ISNUMBER(VLOOKUP($A23,Rezepte,MATCH(Produktionsmenge!AF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AF$5,Rezepte!$5:$5,0),0),""),"")</f>
        <v/>
      </c>
      <c r="AG23" s="24" t="str">
        <f ca="1">IF(LEN($A23)&gt;0,IF(AND(ISNUMBER(VLOOKUP($A23,Rezepte,MATCH(Produktionsmenge!AG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AG$5,Rezepte!$5:$5,0),0),""),"")</f>
        <v/>
      </c>
      <c r="AH23" s="24" t="str">
        <f ca="1">IF(LEN($A23)&gt;0,IF(AND(ISNUMBER(VLOOKUP($A23,Rezepte,MATCH(Produktionsmenge!AH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AH$5,Rezepte!$5:$5,0),0),""),"")</f>
        <v/>
      </c>
      <c r="AI23" s="24" t="str">
        <f ca="1">IF(LEN($A23)&gt;0,IF(AND(ISNUMBER(VLOOKUP($A23,Rezepte,MATCH(Produktionsmenge!AI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AI$5,Rezepte!$5:$5,0),0),""),"")</f>
        <v/>
      </c>
      <c r="AJ23" s="24" t="str">
        <f ca="1">IF(LEN($A23)&gt;0,IF(AND(ISNUMBER(VLOOKUP($A23,Rezepte,MATCH(Produktionsmenge!AJ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AJ$5,Rezepte!$5:$5,0),0),""),"")</f>
        <v/>
      </c>
      <c r="AK23" s="24" t="str">
        <f ca="1">IF(LEN($A23)&gt;0,IF(AND(ISNUMBER(VLOOKUP($A23,Rezepte,MATCH(Produktionsmenge!AK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AK$5,Rezepte!$5:$5,0),0),""),"")</f>
        <v/>
      </c>
      <c r="AL23" s="24" t="str">
        <f ca="1">IF(LEN($A23)&gt;0,IF(AND(ISNUMBER(VLOOKUP($A23,Rezepte,MATCH(Produktionsmenge!AL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AL$5,Rezepte!$5:$5,0),0),""),"")</f>
        <v/>
      </c>
      <c r="AM23" s="24" t="str">
        <f ca="1">IF(LEN($A23)&gt;0,IF(AND(ISNUMBER(VLOOKUP($A23,Rezepte,MATCH(Produktionsmenge!AM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AM$5,Rezepte!$5:$5,0),0),""),"")</f>
        <v/>
      </c>
      <c r="AN23" s="24" t="str">
        <f ca="1">IF(LEN($A23)&gt;0,IF(AND(ISNUMBER(VLOOKUP($A23,Rezepte,MATCH(Produktionsmenge!AN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AN$5,Rezepte!$5:$5,0),0),""),"")</f>
        <v/>
      </c>
      <c r="AO23" s="24" t="str">
        <f ca="1">IF(LEN($A23)&gt;0,IF(AND(ISNUMBER(VLOOKUP($A23,Rezepte,MATCH(Produktionsmenge!AO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AO$5,Rezepte!$5:$5,0),0),""),"")</f>
        <v/>
      </c>
      <c r="AP23" s="24" t="str">
        <f ca="1">IF(LEN($A23)&gt;0,IF(AND(ISNUMBER(VLOOKUP($A23,Rezepte,MATCH(Produktionsmenge!AP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AP$5,Rezepte!$5:$5,0),0),""),"")</f>
        <v/>
      </c>
      <c r="AQ23" s="24" t="str">
        <f ca="1">IF(LEN($A23)&gt;0,IF(AND(ISNUMBER(VLOOKUP($A23,Rezepte,MATCH(Produktionsmenge!AQ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AQ$5,Rezepte!$5:$5,0),0),""),"")</f>
        <v/>
      </c>
      <c r="AR23" s="24" t="str">
        <f ca="1">IF(LEN($A23)&gt;0,IF(AND(ISNUMBER(VLOOKUP($A23,Rezepte,MATCH(Produktionsmenge!AR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AR$5,Rezepte!$5:$5,0),0),""),"")</f>
        <v/>
      </c>
      <c r="AS23" s="24" t="str">
        <f ca="1">IF(LEN($A23)&gt;0,IF(AND(ISNUMBER(VLOOKUP($A23,Rezepte,MATCH(Produktionsmenge!AS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AS$5,Rezepte!$5:$5,0),0),""),"")</f>
        <v/>
      </c>
      <c r="AT23" s="24" t="str">
        <f ca="1">IF(LEN($A23)&gt;0,IF(AND(ISNUMBER(VLOOKUP($A23,Rezepte,MATCH(Produktionsmenge!AT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AT$5,Rezepte!$5:$5,0),0),""),"")</f>
        <v/>
      </c>
      <c r="AU23" s="24" t="str">
        <f ca="1">IF(LEN($A23)&gt;0,IF(AND(ISNUMBER(VLOOKUP($A23,Rezepte,MATCH(Produktionsmenge!AU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AU$5,Rezepte!$5:$5,0),0),""),"")</f>
        <v/>
      </c>
      <c r="AV23" s="24" t="str">
        <f ca="1">IF(LEN($A23)&gt;0,IF(AND(ISNUMBER(VLOOKUP($A23,Rezepte,MATCH(Produktionsmenge!AV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AV$5,Rezepte!$5:$5,0),0),""),"")</f>
        <v/>
      </c>
      <c r="AW23" s="24" t="str">
        <f ca="1">IF(LEN($A23)&gt;0,IF(AND(ISNUMBER(VLOOKUP($A23,Rezepte,MATCH(Produktionsmenge!AW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AW$5,Rezepte!$5:$5,0),0),""),"")</f>
        <v/>
      </c>
      <c r="AX23" s="24" t="str">
        <f ca="1">IF(LEN($A23)&gt;0,IF(AND(ISNUMBER(VLOOKUP($A23,Rezepte,MATCH(Produktionsmenge!AX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AX$5,Rezepte!$5:$5,0),0),""),"")</f>
        <v/>
      </c>
      <c r="AY23" s="24" t="str">
        <f ca="1">IF(LEN($A23)&gt;0,IF(AND(ISNUMBER(VLOOKUP($A23,Rezepte,MATCH(Produktionsmenge!AY$5,Rezepte!$5:$5,0),0)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&gt;0),SUM(OFFSET(Bestellungen!$A$5,1,MATCH(IF(ISNUMBER(SEARCH("(",$A23)),LEFT($A23,SEARCH("(",$A23)-2),$A23),Bestellungen!$A$5:$AJ$5,0)-1):OFFSET(Bestellungen!$A$5,COUNTA(Bestellungen!$A$6:$A$1048576),MATCH(IF(ISNUMBER(SEARCH("(",$A23)),LEFT($A23,SEARCH("(",$A23)-2),$A23),Bestellungen!$A$5:$AJ$5,0)-1))*VLOOKUP($A23,Rezepte,MATCH(Produktionsmenge!AY$5,Rezepte!$5:$5,0),0),""),"")</f>
        <v/>
      </c>
    </row>
    <row r="24" spans="1:51" x14ac:dyDescent="0.25">
      <c r="A24" t="str">
        <f t="array" ref="A24">IFERROR(INDEX(Rezepte!$A$6:$A$100,MATCH(1,(COUNTIF(A$6:A23,Rezepte!A$6:A$100)=0)*(Rezepte!A$6:A$100&lt;&gt;""),0)),"")</f>
        <v/>
      </c>
      <c r="B24" s="24" t="str">
        <f ca="1">IF(LEN($A24)&gt;0,IF(AND(ISNUMBER(VLOOKUP($A24,Rezepte,MATCH(Produktionsmenge!B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B$5,Rezepte!$5:$5,0),0),""),"")</f>
        <v/>
      </c>
      <c r="C24" s="24" t="str">
        <f ca="1">IF(LEN($A24)&gt;0,IF(AND(ISNUMBER(VLOOKUP($A24,Rezepte,MATCH(Produktionsmenge!C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C$5,Rezepte!$5:$5,0),0),""),"")</f>
        <v/>
      </c>
      <c r="D24" s="24" t="str">
        <f ca="1">IF(LEN($A24)&gt;0,IF(AND(ISNUMBER(VLOOKUP($A24,Rezepte,MATCH(Produktionsmenge!D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D$5,Rezepte!$5:$5,0),0),""),"")</f>
        <v/>
      </c>
      <c r="E24" s="24" t="str">
        <f ca="1">IF(LEN($A24)&gt;0,IF(AND(ISNUMBER(VLOOKUP($A24,Rezepte,MATCH(Produktionsmenge!E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E$5,Rezepte!$5:$5,0),0),""),"")</f>
        <v/>
      </c>
      <c r="F24" s="24" t="str">
        <f ca="1">IF(LEN($A24)&gt;0,IF(AND(ISNUMBER(VLOOKUP($A24,Rezepte,MATCH(Produktionsmenge!F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F$5,Rezepte!$5:$5,0),0),""),"")</f>
        <v/>
      </c>
      <c r="G24" s="24" t="str">
        <f ca="1">IF(LEN($A24)&gt;0,IF(AND(ISNUMBER(VLOOKUP($A24,Rezepte,MATCH(Produktionsmenge!G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G$5,Rezepte!$5:$5,0),0),""),"")</f>
        <v/>
      </c>
      <c r="H24" s="24" t="str">
        <f ca="1">IF(LEN($A24)&gt;0,IF(AND(ISNUMBER(VLOOKUP($A24,Rezepte,MATCH(Produktionsmenge!H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H$5,Rezepte!$5:$5,0),0),""),"")</f>
        <v/>
      </c>
      <c r="I24" s="24" t="str">
        <f ca="1">IF(LEN($A24)&gt;0,IF(AND(ISNUMBER(VLOOKUP($A24,Rezepte,MATCH(Produktionsmenge!I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I$5,Rezepte!$5:$5,0),0),""),"")</f>
        <v/>
      </c>
      <c r="J24" s="24" t="str">
        <f ca="1">IF(LEN($A24)&gt;0,IF(AND(ISNUMBER(VLOOKUP($A24,Rezepte,MATCH(Produktionsmenge!J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J$5,Rezepte!$5:$5,0),0),""),"")</f>
        <v/>
      </c>
      <c r="K24" s="24" t="str">
        <f ca="1">IF(LEN($A24)&gt;0,IF(AND(ISNUMBER(VLOOKUP($A24,Rezepte,MATCH(Produktionsmenge!K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K$5,Rezepte!$5:$5,0),0),""),"")</f>
        <v/>
      </c>
      <c r="L24" s="24" t="str">
        <f ca="1">IF(LEN($A24)&gt;0,IF(AND(ISNUMBER(VLOOKUP($A24,Rezepte,MATCH(Produktionsmenge!L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L$5,Rezepte!$5:$5,0),0),""),"")</f>
        <v/>
      </c>
      <c r="M24" s="24" t="str">
        <f ca="1">IF(LEN($A24)&gt;0,IF(AND(ISNUMBER(VLOOKUP($A24,Rezepte,MATCH(Produktionsmenge!M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M$5,Rezepte!$5:$5,0),0),""),"")</f>
        <v/>
      </c>
      <c r="N24" s="24" t="str">
        <f ca="1">IF(LEN($A24)&gt;0,IF(AND(ISNUMBER(VLOOKUP($A24,Rezepte,MATCH(Produktionsmenge!N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N$5,Rezepte!$5:$5,0),0),""),"")</f>
        <v/>
      </c>
      <c r="O24" s="24" t="str">
        <f ca="1">IF(LEN($A24)&gt;0,IF(AND(ISNUMBER(VLOOKUP($A24,Rezepte,MATCH(Produktionsmenge!O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O$5,Rezepte!$5:$5,0),0),""),"")</f>
        <v/>
      </c>
      <c r="P24" s="24" t="str">
        <f ca="1">IF(LEN($A24)&gt;0,IF(AND(ISNUMBER(VLOOKUP($A24,Rezepte,MATCH(Produktionsmenge!P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P$5,Rezepte!$5:$5,0),0),""),"")</f>
        <v/>
      </c>
      <c r="Q24" s="24" t="str">
        <f ca="1">IF(LEN($A24)&gt;0,IF(AND(ISNUMBER(VLOOKUP($A24,Rezepte,MATCH(Produktionsmenge!Q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Q$5,Rezepte!$5:$5,0),0),""),"")</f>
        <v/>
      </c>
      <c r="R24" s="24" t="str">
        <f ca="1">IF(LEN($A24)&gt;0,IF(AND(ISNUMBER(VLOOKUP($A24,Rezepte,MATCH(Produktionsmenge!R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R$5,Rezepte!$5:$5,0),0),""),"")</f>
        <v/>
      </c>
      <c r="S24" s="24" t="str">
        <f ca="1">IF(LEN($A24)&gt;0,IF(AND(ISNUMBER(VLOOKUP($A24,Rezepte,MATCH(Produktionsmenge!S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S$5,Rezepte!$5:$5,0),0),""),"")</f>
        <v/>
      </c>
      <c r="T24" s="24" t="str">
        <f ca="1">IF(LEN($A24)&gt;0,IF(AND(ISNUMBER(VLOOKUP($A24,Rezepte,MATCH(Produktionsmenge!T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T$5,Rezepte!$5:$5,0),0),""),"")</f>
        <v/>
      </c>
      <c r="U24" s="24" t="str">
        <f ca="1">IF(LEN($A24)&gt;0,IF(AND(ISNUMBER(VLOOKUP($A24,Rezepte,MATCH(Produktionsmenge!U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U$5,Rezepte!$5:$5,0),0),""),"")</f>
        <v/>
      </c>
      <c r="V24" s="24" t="str">
        <f ca="1">IF(LEN($A24)&gt;0,IF(AND(ISNUMBER(VLOOKUP($A24,Rezepte,MATCH(Produktionsmenge!V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V$5,Rezepte!$5:$5,0),0),""),"")</f>
        <v/>
      </c>
      <c r="W24" s="24" t="str">
        <f ca="1">IF(LEN($A24)&gt;0,IF(AND(ISNUMBER(VLOOKUP($A24,Rezepte,MATCH(Produktionsmenge!W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W$5,Rezepte!$5:$5,0),0),""),"")</f>
        <v/>
      </c>
      <c r="X24" s="24" t="str">
        <f ca="1">IF(LEN($A24)&gt;0,IF(AND(ISNUMBER(VLOOKUP($A24,Rezepte,MATCH(Produktionsmenge!X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X$5,Rezepte!$5:$5,0),0),""),"")</f>
        <v/>
      </c>
      <c r="Y24" s="24" t="str">
        <f ca="1">IF(LEN($A24)&gt;0,IF(AND(ISNUMBER(VLOOKUP($A24,Rezepte,MATCH(Produktionsmenge!Y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Y$5,Rezepte!$5:$5,0),0),""),"")</f>
        <v/>
      </c>
      <c r="Z24" s="24" t="str">
        <f ca="1">IF(LEN($A24)&gt;0,IF(AND(ISNUMBER(VLOOKUP($A24,Rezepte,MATCH(Produktionsmenge!Z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Z$5,Rezepte!$5:$5,0),0),""),"")</f>
        <v/>
      </c>
      <c r="AA24" s="24" t="str">
        <f ca="1">IF(LEN($A24)&gt;0,IF(AND(ISNUMBER(VLOOKUP($A24,Rezepte,MATCH(Produktionsmenge!AA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AA$5,Rezepte!$5:$5,0),0),""),"")</f>
        <v/>
      </c>
      <c r="AB24" s="24" t="str">
        <f ca="1">IF(LEN($A24)&gt;0,IF(AND(ISNUMBER(VLOOKUP($A24,Rezepte,MATCH(Produktionsmenge!AB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AB$5,Rezepte!$5:$5,0),0),""),"")</f>
        <v/>
      </c>
      <c r="AC24" s="24" t="str">
        <f ca="1">IF(LEN($A24)&gt;0,IF(AND(ISNUMBER(VLOOKUP($A24,Rezepte,MATCH(Produktionsmenge!AC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AC$5,Rezepte!$5:$5,0),0),""),"")</f>
        <v/>
      </c>
      <c r="AD24" s="24" t="str">
        <f ca="1">IF(LEN($A24)&gt;0,IF(AND(ISNUMBER(VLOOKUP($A24,Rezepte,MATCH(Produktionsmenge!AD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AD$5,Rezepte!$5:$5,0),0),""),"")</f>
        <v/>
      </c>
      <c r="AE24" s="24" t="str">
        <f ca="1">IF(LEN($A24)&gt;0,IF(AND(ISNUMBER(VLOOKUP($A24,Rezepte,MATCH(Produktionsmenge!AE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AE$5,Rezepte!$5:$5,0),0),""),"")</f>
        <v/>
      </c>
      <c r="AF24" s="24" t="str">
        <f ca="1">IF(LEN($A24)&gt;0,IF(AND(ISNUMBER(VLOOKUP($A24,Rezepte,MATCH(Produktionsmenge!AF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AF$5,Rezepte!$5:$5,0),0),""),"")</f>
        <v/>
      </c>
      <c r="AG24" s="24" t="str">
        <f ca="1">IF(LEN($A24)&gt;0,IF(AND(ISNUMBER(VLOOKUP($A24,Rezepte,MATCH(Produktionsmenge!AG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AG$5,Rezepte!$5:$5,0),0),""),"")</f>
        <v/>
      </c>
      <c r="AH24" s="24" t="str">
        <f ca="1">IF(LEN($A24)&gt;0,IF(AND(ISNUMBER(VLOOKUP($A24,Rezepte,MATCH(Produktionsmenge!AH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AH$5,Rezepte!$5:$5,0),0),""),"")</f>
        <v/>
      </c>
      <c r="AI24" s="24" t="str">
        <f ca="1">IF(LEN($A24)&gt;0,IF(AND(ISNUMBER(VLOOKUP($A24,Rezepte,MATCH(Produktionsmenge!AI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AI$5,Rezepte!$5:$5,0),0),""),"")</f>
        <v/>
      </c>
      <c r="AJ24" s="24" t="str">
        <f ca="1">IF(LEN($A24)&gt;0,IF(AND(ISNUMBER(VLOOKUP($A24,Rezepte,MATCH(Produktionsmenge!AJ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AJ$5,Rezepte!$5:$5,0),0),""),"")</f>
        <v/>
      </c>
      <c r="AK24" s="24" t="str">
        <f ca="1">IF(LEN($A24)&gt;0,IF(AND(ISNUMBER(VLOOKUP($A24,Rezepte,MATCH(Produktionsmenge!AK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AK$5,Rezepte!$5:$5,0),0),""),"")</f>
        <v/>
      </c>
      <c r="AL24" s="24" t="str">
        <f ca="1">IF(LEN($A24)&gt;0,IF(AND(ISNUMBER(VLOOKUP($A24,Rezepte,MATCH(Produktionsmenge!AL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AL$5,Rezepte!$5:$5,0),0),""),"")</f>
        <v/>
      </c>
      <c r="AM24" s="24" t="str">
        <f ca="1">IF(LEN($A24)&gt;0,IF(AND(ISNUMBER(VLOOKUP($A24,Rezepte,MATCH(Produktionsmenge!AM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AM$5,Rezepte!$5:$5,0),0),""),"")</f>
        <v/>
      </c>
      <c r="AN24" s="24" t="str">
        <f ca="1">IF(LEN($A24)&gt;0,IF(AND(ISNUMBER(VLOOKUP($A24,Rezepte,MATCH(Produktionsmenge!AN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AN$5,Rezepte!$5:$5,0),0),""),"")</f>
        <v/>
      </c>
      <c r="AO24" s="24" t="str">
        <f ca="1">IF(LEN($A24)&gt;0,IF(AND(ISNUMBER(VLOOKUP($A24,Rezepte,MATCH(Produktionsmenge!AO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AO$5,Rezepte!$5:$5,0),0),""),"")</f>
        <v/>
      </c>
      <c r="AP24" s="24" t="str">
        <f ca="1">IF(LEN($A24)&gt;0,IF(AND(ISNUMBER(VLOOKUP($A24,Rezepte,MATCH(Produktionsmenge!AP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AP$5,Rezepte!$5:$5,0),0),""),"")</f>
        <v/>
      </c>
      <c r="AQ24" s="24" t="str">
        <f ca="1">IF(LEN($A24)&gt;0,IF(AND(ISNUMBER(VLOOKUP($A24,Rezepte,MATCH(Produktionsmenge!AQ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AQ$5,Rezepte!$5:$5,0),0),""),"")</f>
        <v/>
      </c>
      <c r="AR24" s="24" t="str">
        <f ca="1">IF(LEN($A24)&gt;0,IF(AND(ISNUMBER(VLOOKUP($A24,Rezepte,MATCH(Produktionsmenge!AR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AR$5,Rezepte!$5:$5,0),0),""),"")</f>
        <v/>
      </c>
      <c r="AS24" s="24" t="str">
        <f ca="1">IF(LEN($A24)&gt;0,IF(AND(ISNUMBER(VLOOKUP($A24,Rezepte,MATCH(Produktionsmenge!AS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AS$5,Rezepte!$5:$5,0),0),""),"")</f>
        <v/>
      </c>
      <c r="AT24" s="24" t="str">
        <f ca="1">IF(LEN($A24)&gt;0,IF(AND(ISNUMBER(VLOOKUP($A24,Rezepte,MATCH(Produktionsmenge!AT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AT$5,Rezepte!$5:$5,0),0),""),"")</f>
        <v/>
      </c>
      <c r="AU24" s="24" t="str">
        <f ca="1">IF(LEN($A24)&gt;0,IF(AND(ISNUMBER(VLOOKUP($A24,Rezepte,MATCH(Produktionsmenge!AU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AU$5,Rezepte!$5:$5,0),0),""),"")</f>
        <v/>
      </c>
      <c r="AV24" s="24" t="str">
        <f ca="1">IF(LEN($A24)&gt;0,IF(AND(ISNUMBER(VLOOKUP($A24,Rezepte,MATCH(Produktionsmenge!AV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AV$5,Rezepte!$5:$5,0),0),""),"")</f>
        <v/>
      </c>
      <c r="AW24" s="24" t="str">
        <f ca="1">IF(LEN($A24)&gt;0,IF(AND(ISNUMBER(VLOOKUP($A24,Rezepte,MATCH(Produktionsmenge!AW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AW$5,Rezepte!$5:$5,0),0),""),"")</f>
        <v/>
      </c>
      <c r="AX24" s="24" t="str">
        <f ca="1">IF(LEN($A24)&gt;0,IF(AND(ISNUMBER(VLOOKUP($A24,Rezepte,MATCH(Produktionsmenge!AX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AX$5,Rezepte!$5:$5,0),0),""),"")</f>
        <v/>
      </c>
      <c r="AY24" s="24" t="str">
        <f ca="1">IF(LEN($A24)&gt;0,IF(AND(ISNUMBER(VLOOKUP($A24,Rezepte,MATCH(Produktionsmenge!AY$5,Rezepte!$5:$5,0),0)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&gt;0),SUM(OFFSET(Bestellungen!$A$5,1,MATCH(IF(ISNUMBER(SEARCH("(",$A24)),LEFT($A24,SEARCH("(",$A24)-2),$A24),Bestellungen!$A$5:$AJ$5,0)-1):OFFSET(Bestellungen!$A$5,COUNTA(Bestellungen!$A$6:$A$1048576),MATCH(IF(ISNUMBER(SEARCH("(",$A24)),LEFT($A24,SEARCH("(",$A24)-2),$A24),Bestellungen!$A$5:$AJ$5,0)-1))*VLOOKUP($A24,Rezepte,MATCH(Produktionsmenge!AY$5,Rezepte!$5:$5,0),0),""),"")</f>
        <v/>
      </c>
    </row>
    <row r="25" spans="1:51" x14ac:dyDescent="0.25">
      <c r="A25" t="str">
        <f t="array" ref="A25">IFERROR(INDEX(Rezepte!$A$6:$A$100,MATCH(1,(COUNTIF(A$6:A24,Rezepte!A$6:A$100)=0)*(Rezepte!A$6:A$100&lt;&gt;""),0)),"")</f>
        <v/>
      </c>
      <c r="B25" s="24" t="str">
        <f ca="1">IF(LEN($A25)&gt;0,IF(AND(ISNUMBER(VLOOKUP($A25,Rezepte,MATCH(Produktionsmenge!B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B$5,Rezepte!$5:$5,0),0),""),"")</f>
        <v/>
      </c>
      <c r="C25" s="24" t="str">
        <f ca="1">IF(LEN($A25)&gt;0,IF(AND(ISNUMBER(VLOOKUP($A25,Rezepte,MATCH(Produktionsmenge!C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C$5,Rezepte!$5:$5,0),0),""),"")</f>
        <v/>
      </c>
      <c r="D25" s="24" t="str">
        <f ca="1">IF(LEN($A25)&gt;0,IF(AND(ISNUMBER(VLOOKUP($A25,Rezepte,MATCH(Produktionsmenge!D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D$5,Rezepte!$5:$5,0),0),""),"")</f>
        <v/>
      </c>
      <c r="E25" s="24" t="str">
        <f ca="1">IF(LEN($A25)&gt;0,IF(AND(ISNUMBER(VLOOKUP($A25,Rezepte,MATCH(Produktionsmenge!E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E$5,Rezepte!$5:$5,0),0),""),"")</f>
        <v/>
      </c>
      <c r="F25" s="24" t="str">
        <f ca="1">IF(LEN($A25)&gt;0,IF(AND(ISNUMBER(VLOOKUP($A25,Rezepte,MATCH(Produktionsmenge!F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F$5,Rezepte!$5:$5,0),0),""),"")</f>
        <v/>
      </c>
      <c r="G25" s="24" t="str">
        <f ca="1">IF(LEN($A25)&gt;0,IF(AND(ISNUMBER(VLOOKUP($A25,Rezepte,MATCH(Produktionsmenge!G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G$5,Rezepte!$5:$5,0),0),""),"")</f>
        <v/>
      </c>
      <c r="H25" s="24" t="str">
        <f ca="1">IF(LEN($A25)&gt;0,IF(AND(ISNUMBER(VLOOKUP($A25,Rezepte,MATCH(Produktionsmenge!H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H$5,Rezepte!$5:$5,0),0),""),"")</f>
        <v/>
      </c>
      <c r="I25" s="24" t="str">
        <f ca="1">IF(LEN($A25)&gt;0,IF(AND(ISNUMBER(VLOOKUP($A25,Rezepte,MATCH(Produktionsmenge!I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I$5,Rezepte!$5:$5,0),0),""),"")</f>
        <v/>
      </c>
      <c r="J25" s="24" t="str">
        <f ca="1">IF(LEN($A25)&gt;0,IF(AND(ISNUMBER(VLOOKUP($A25,Rezepte,MATCH(Produktionsmenge!J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J$5,Rezepte!$5:$5,0),0),""),"")</f>
        <v/>
      </c>
      <c r="K25" s="24" t="str">
        <f ca="1">IF(LEN($A25)&gt;0,IF(AND(ISNUMBER(VLOOKUP($A25,Rezepte,MATCH(Produktionsmenge!K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K$5,Rezepte!$5:$5,0),0),""),"")</f>
        <v/>
      </c>
      <c r="L25" s="24" t="str">
        <f ca="1">IF(LEN($A25)&gt;0,IF(AND(ISNUMBER(VLOOKUP($A25,Rezepte,MATCH(Produktionsmenge!L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L$5,Rezepte!$5:$5,0),0),""),"")</f>
        <v/>
      </c>
      <c r="M25" s="24" t="str">
        <f ca="1">IF(LEN($A25)&gt;0,IF(AND(ISNUMBER(VLOOKUP($A25,Rezepte,MATCH(Produktionsmenge!M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M$5,Rezepte!$5:$5,0),0),""),"")</f>
        <v/>
      </c>
      <c r="N25" s="24" t="str">
        <f ca="1">IF(LEN($A25)&gt;0,IF(AND(ISNUMBER(VLOOKUP($A25,Rezepte,MATCH(Produktionsmenge!N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N$5,Rezepte!$5:$5,0),0),""),"")</f>
        <v/>
      </c>
      <c r="O25" s="24" t="str">
        <f ca="1">IF(LEN($A25)&gt;0,IF(AND(ISNUMBER(VLOOKUP($A25,Rezepte,MATCH(Produktionsmenge!O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O$5,Rezepte!$5:$5,0),0),""),"")</f>
        <v/>
      </c>
      <c r="P25" s="24" t="str">
        <f ca="1">IF(LEN($A25)&gt;0,IF(AND(ISNUMBER(VLOOKUP($A25,Rezepte,MATCH(Produktionsmenge!P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P$5,Rezepte!$5:$5,0),0),""),"")</f>
        <v/>
      </c>
      <c r="Q25" s="24" t="str">
        <f ca="1">IF(LEN($A25)&gt;0,IF(AND(ISNUMBER(VLOOKUP($A25,Rezepte,MATCH(Produktionsmenge!Q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Q$5,Rezepte!$5:$5,0),0),""),"")</f>
        <v/>
      </c>
      <c r="R25" s="24" t="str">
        <f ca="1">IF(LEN($A25)&gt;0,IF(AND(ISNUMBER(VLOOKUP($A25,Rezepte,MATCH(Produktionsmenge!R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R$5,Rezepte!$5:$5,0),0),""),"")</f>
        <v/>
      </c>
      <c r="S25" s="24" t="str">
        <f ca="1">IF(LEN($A25)&gt;0,IF(AND(ISNUMBER(VLOOKUP($A25,Rezepte,MATCH(Produktionsmenge!S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S$5,Rezepte!$5:$5,0),0),""),"")</f>
        <v/>
      </c>
      <c r="T25" s="24" t="str">
        <f ca="1">IF(LEN($A25)&gt;0,IF(AND(ISNUMBER(VLOOKUP($A25,Rezepte,MATCH(Produktionsmenge!T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T$5,Rezepte!$5:$5,0),0),""),"")</f>
        <v/>
      </c>
      <c r="U25" s="24" t="str">
        <f ca="1">IF(LEN($A25)&gt;0,IF(AND(ISNUMBER(VLOOKUP($A25,Rezepte,MATCH(Produktionsmenge!U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U$5,Rezepte!$5:$5,0),0),""),"")</f>
        <v/>
      </c>
      <c r="V25" s="24" t="str">
        <f ca="1">IF(LEN($A25)&gt;0,IF(AND(ISNUMBER(VLOOKUP($A25,Rezepte,MATCH(Produktionsmenge!V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V$5,Rezepte!$5:$5,0),0),""),"")</f>
        <v/>
      </c>
      <c r="W25" s="24" t="str">
        <f ca="1">IF(LEN($A25)&gt;0,IF(AND(ISNUMBER(VLOOKUP($A25,Rezepte,MATCH(Produktionsmenge!W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W$5,Rezepte!$5:$5,0),0),""),"")</f>
        <v/>
      </c>
      <c r="X25" s="24" t="str">
        <f ca="1">IF(LEN($A25)&gt;0,IF(AND(ISNUMBER(VLOOKUP($A25,Rezepte,MATCH(Produktionsmenge!X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X$5,Rezepte!$5:$5,0),0),""),"")</f>
        <v/>
      </c>
      <c r="Y25" s="24" t="str">
        <f ca="1">IF(LEN($A25)&gt;0,IF(AND(ISNUMBER(VLOOKUP($A25,Rezepte,MATCH(Produktionsmenge!Y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Y$5,Rezepte!$5:$5,0),0),""),"")</f>
        <v/>
      </c>
      <c r="Z25" s="24" t="str">
        <f ca="1">IF(LEN($A25)&gt;0,IF(AND(ISNUMBER(VLOOKUP($A25,Rezepte,MATCH(Produktionsmenge!Z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Z$5,Rezepte!$5:$5,0),0),""),"")</f>
        <v/>
      </c>
      <c r="AA25" s="24" t="str">
        <f ca="1">IF(LEN($A25)&gt;0,IF(AND(ISNUMBER(VLOOKUP($A25,Rezepte,MATCH(Produktionsmenge!AA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AA$5,Rezepte!$5:$5,0),0),""),"")</f>
        <v/>
      </c>
      <c r="AB25" s="24" t="str">
        <f ca="1">IF(LEN($A25)&gt;0,IF(AND(ISNUMBER(VLOOKUP($A25,Rezepte,MATCH(Produktionsmenge!AB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AB$5,Rezepte!$5:$5,0),0),""),"")</f>
        <v/>
      </c>
      <c r="AC25" s="24" t="str">
        <f ca="1">IF(LEN($A25)&gt;0,IF(AND(ISNUMBER(VLOOKUP($A25,Rezepte,MATCH(Produktionsmenge!AC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AC$5,Rezepte!$5:$5,0),0),""),"")</f>
        <v/>
      </c>
      <c r="AD25" s="24" t="str">
        <f ca="1">IF(LEN($A25)&gt;0,IF(AND(ISNUMBER(VLOOKUP($A25,Rezepte,MATCH(Produktionsmenge!AD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AD$5,Rezepte!$5:$5,0),0),""),"")</f>
        <v/>
      </c>
      <c r="AE25" s="24" t="str">
        <f ca="1">IF(LEN($A25)&gt;0,IF(AND(ISNUMBER(VLOOKUP($A25,Rezepte,MATCH(Produktionsmenge!AE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AE$5,Rezepte!$5:$5,0),0),""),"")</f>
        <v/>
      </c>
      <c r="AF25" s="24" t="str">
        <f ca="1">IF(LEN($A25)&gt;0,IF(AND(ISNUMBER(VLOOKUP($A25,Rezepte,MATCH(Produktionsmenge!AF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AF$5,Rezepte!$5:$5,0),0),""),"")</f>
        <v/>
      </c>
      <c r="AG25" s="24" t="str">
        <f ca="1">IF(LEN($A25)&gt;0,IF(AND(ISNUMBER(VLOOKUP($A25,Rezepte,MATCH(Produktionsmenge!AG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AG$5,Rezepte!$5:$5,0),0),""),"")</f>
        <v/>
      </c>
      <c r="AH25" s="24" t="str">
        <f ca="1">IF(LEN($A25)&gt;0,IF(AND(ISNUMBER(VLOOKUP($A25,Rezepte,MATCH(Produktionsmenge!AH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AH$5,Rezepte!$5:$5,0),0),""),"")</f>
        <v/>
      </c>
      <c r="AI25" s="24" t="str">
        <f ca="1">IF(LEN($A25)&gt;0,IF(AND(ISNUMBER(VLOOKUP($A25,Rezepte,MATCH(Produktionsmenge!AI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AI$5,Rezepte!$5:$5,0),0),""),"")</f>
        <v/>
      </c>
      <c r="AJ25" s="24" t="str">
        <f ca="1">IF(LEN($A25)&gt;0,IF(AND(ISNUMBER(VLOOKUP($A25,Rezepte,MATCH(Produktionsmenge!AJ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AJ$5,Rezepte!$5:$5,0),0),""),"")</f>
        <v/>
      </c>
      <c r="AK25" s="24" t="str">
        <f ca="1">IF(LEN($A25)&gt;0,IF(AND(ISNUMBER(VLOOKUP($A25,Rezepte,MATCH(Produktionsmenge!AK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AK$5,Rezepte!$5:$5,0),0),""),"")</f>
        <v/>
      </c>
      <c r="AL25" s="24" t="str">
        <f ca="1">IF(LEN($A25)&gt;0,IF(AND(ISNUMBER(VLOOKUP($A25,Rezepte,MATCH(Produktionsmenge!AL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AL$5,Rezepte!$5:$5,0),0),""),"")</f>
        <v/>
      </c>
      <c r="AM25" s="24" t="str">
        <f ca="1">IF(LEN($A25)&gt;0,IF(AND(ISNUMBER(VLOOKUP($A25,Rezepte,MATCH(Produktionsmenge!AM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AM$5,Rezepte!$5:$5,0),0),""),"")</f>
        <v/>
      </c>
      <c r="AN25" s="24" t="str">
        <f ca="1">IF(LEN($A25)&gt;0,IF(AND(ISNUMBER(VLOOKUP($A25,Rezepte,MATCH(Produktionsmenge!AN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AN$5,Rezepte!$5:$5,0),0),""),"")</f>
        <v/>
      </c>
      <c r="AO25" s="24" t="str">
        <f ca="1">IF(LEN($A25)&gt;0,IF(AND(ISNUMBER(VLOOKUP($A25,Rezepte,MATCH(Produktionsmenge!AO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AO$5,Rezepte!$5:$5,0),0),""),"")</f>
        <v/>
      </c>
      <c r="AP25" s="24" t="str">
        <f ca="1">IF(LEN($A25)&gt;0,IF(AND(ISNUMBER(VLOOKUP($A25,Rezepte,MATCH(Produktionsmenge!AP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AP$5,Rezepte!$5:$5,0),0),""),"")</f>
        <v/>
      </c>
      <c r="AQ25" s="24" t="str">
        <f ca="1">IF(LEN($A25)&gt;0,IF(AND(ISNUMBER(VLOOKUP($A25,Rezepte,MATCH(Produktionsmenge!AQ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AQ$5,Rezepte!$5:$5,0),0),""),"")</f>
        <v/>
      </c>
      <c r="AR25" s="24" t="str">
        <f ca="1">IF(LEN($A25)&gt;0,IF(AND(ISNUMBER(VLOOKUP($A25,Rezepte,MATCH(Produktionsmenge!AR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AR$5,Rezepte!$5:$5,0),0),""),"")</f>
        <v/>
      </c>
      <c r="AS25" s="24" t="str">
        <f ca="1">IF(LEN($A25)&gt;0,IF(AND(ISNUMBER(VLOOKUP($A25,Rezepte,MATCH(Produktionsmenge!AS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AS$5,Rezepte!$5:$5,0),0),""),"")</f>
        <v/>
      </c>
      <c r="AT25" s="24" t="str">
        <f ca="1">IF(LEN($A25)&gt;0,IF(AND(ISNUMBER(VLOOKUP($A25,Rezepte,MATCH(Produktionsmenge!AT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AT$5,Rezepte!$5:$5,0),0),""),"")</f>
        <v/>
      </c>
      <c r="AU25" s="24" t="str">
        <f ca="1">IF(LEN($A25)&gt;0,IF(AND(ISNUMBER(VLOOKUP($A25,Rezepte,MATCH(Produktionsmenge!AU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AU$5,Rezepte!$5:$5,0),0),""),"")</f>
        <v/>
      </c>
      <c r="AV25" s="24" t="str">
        <f ca="1">IF(LEN($A25)&gt;0,IF(AND(ISNUMBER(VLOOKUP($A25,Rezepte,MATCH(Produktionsmenge!AV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AV$5,Rezepte!$5:$5,0),0),""),"")</f>
        <v/>
      </c>
      <c r="AW25" s="24" t="str">
        <f ca="1">IF(LEN($A25)&gt;0,IF(AND(ISNUMBER(VLOOKUP($A25,Rezepte,MATCH(Produktionsmenge!AW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AW$5,Rezepte!$5:$5,0),0),""),"")</f>
        <v/>
      </c>
      <c r="AX25" s="24" t="str">
        <f ca="1">IF(LEN($A25)&gt;0,IF(AND(ISNUMBER(VLOOKUP($A25,Rezepte,MATCH(Produktionsmenge!AX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AX$5,Rezepte!$5:$5,0),0),""),"")</f>
        <v/>
      </c>
      <c r="AY25" s="24" t="str">
        <f ca="1">IF(LEN($A25)&gt;0,IF(AND(ISNUMBER(VLOOKUP($A25,Rezepte,MATCH(Produktionsmenge!AY$5,Rezepte!$5:$5,0),0)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&gt;0),SUM(OFFSET(Bestellungen!$A$5,1,MATCH(IF(ISNUMBER(SEARCH("(",$A25)),LEFT($A25,SEARCH("(",$A25)-2),$A25),Bestellungen!$A$5:$AJ$5,0)-1):OFFSET(Bestellungen!$A$5,COUNTA(Bestellungen!$A$6:$A$1048576),MATCH(IF(ISNUMBER(SEARCH("(",$A25)),LEFT($A25,SEARCH("(",$A25)-2),$A25),Bestellungen!$A$5:$AJ$5,0)-1))*VLOOKUP($A25,Rezepte,MATCH(Produktionsmenge!AY$5,Rezepte!$5:$5,0),0),""),"")</f>
        <v/>
      </c>
    </row>
    <row r="26" spans="1:51" x14ac:dyDescent="0.25">
      <c r="A26" t="str">
        <f t="array" ref="A26">IFERROR(INDEX(Rezepte!$A$6:$A$100,MATCH(1,(COUNTIF(A$6:A25,Rezepte!A$6:A$100)=0)*(Rezepte!A$6:A$100&lt;&gt;""),0)),"")</f>
        <v/>
      </c>
      <c r="B26" s="24" t="str">
        <f ca="1">IF(LEN($A26)&gt;0,IF(AND(ISNUMBER(VLOOKUP($A26,Rezepte,MATCH(Produktionsmenge!B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B$5,Rezepte!$5:$5,0),0),""),"")</f>
        <v/>
      </c>
      <c r="C26" s="24" t="str">
        <f ca="1">IF(LEN($A26)&gt;0,IF(AND(ISNUMBER(VLOOKUP($A26,Rezepte,MATCH(Produktionsmenge!C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C$5,Rezepte!$5:$5,0),0),""),"")</f>
        <v/>
      </c>
      <c r="D26" s="24" t="str">
        <f ca="1">IF(LEN($A26)&gt;0,IF(AND(ISNUMBER(VLOOKUP($A26,Rezepte,MATCH(Produktionsmenge!D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D$5,Rezepte!$5:$5,0),0),""),"")</f>
        <v/>
      </c>
      <c r="E26" s="24" t="str">
        <f ca="1">IF(LEN($A26)&gt;0,IF(AND(ISNUMBER(VLOOKUP($A26,Rezepte,MATCH(Produktionsmenge!E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E$5,Rezepte!$5:$5,0),0),""),"")</f>
        <v/>
      </c>
      <c r="F26" s="24" t="str">
        <f ca="1">IF(LEN($A26)&gt;0,IF(AND(ISNUMBER(VLOOKUP($A26,Rezepte,MATCH(Produktionsmenge!F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F$5,Rezepte!$5:$5,0),0),""),"")</f>
        <v/>
      </c>
      <c r="G26" s="24" t="str">
        <f ca="1">IF(LEN($A26)&gt;0,IF(AND(ISNUMBER(VLOOKUP($A26,Rezepte,MATCH(Produktionsmenge!G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G$5,Rezepte!$5:$5,0),0),""),"")</f>
        <v/>
      </c>
      <c r="H26" s="24" t="str">
        <f ca="1">IF(LEN($A26)&gt;0,IF(AND(ISNUMBER(VLOOKUP($A26,Rezepte,MATCH(Produktionsmenge!H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H$5,Rezepte!$5:$5,0),0),""),"")</f>
        <v/>
      </c>
      <c r="I26" s="24" t="str">
        <f ca="1">IF(LEN($A26)&gt;0,IF(AND(ISNUMBER(VLOOKUP($A26,Rezepte,MATCH(Produktionsmenge!I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I$5,Rezepte!$5:$5,0),0),""),"")</f>
        <v/>
      </c>
      <c r="J26" s="24" t="str">
        <f ca="1">IF(LEN($A26)&gt;0,IF(AND(ISNUMBER(VLOOKUP($A26,Rezepte,MATCH(Produktionsmenge!J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J$5,Rezepte!$5:$5,0),0),""),"")</f>
        <v/>
      </c>
      <c r="K26" s="24" t="str">
        <f ca="1">IF(LEN($A26)&gt;0,IF(AND(ISNUMBER(VLOOKUP($A26,Rezepte,MATCH(Produktionsmenge!K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K$5,Rezepte!$5:$5,0),0),""),"")</f>
        <v/>
      </c>
      <c r="L26" s="24" t="str">
        <f ca="1">IF(LEN($A26)&gt;0,IF(AND(ISNUMBER(VLOOKUP($A26,Rezepte,MATCH(Produktionsmenge!L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L$5,Rezepte!$5:$5,0),0),""),"")</f>
        <v/>
      </c>
      <c r="M26" s="24" t="str">
        <f ca="1">IF(LEN($A26)&gt;0,IF(AND(ISNUMBER(VLOOKUP($A26,Rezepte,MATCH(Produktionsmenge!M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M$5,Rezepte!$5:$5,0),0),""),"")</f>
        <v/>
      </c>
      <c r="N26" s="24" t="str">
        <f ca="1">IF(LEN($A26)&gt;0,IF(AND(ISNUMBER(VLOOKUP($A26,Rezepte,MATCH(Produktionsmenge!N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N$5,Rezepte!$5:$5,0),0),""),"")</f>
        <v/>
      </c>
      <c r="O26" s="24" t="str">
        <f ca="1">IF(LEN($A26)&gt;0,IF(AND(ISNUMBER(VLOOKUP($A26,Rezepte,MATCH(Produktionsmenge!O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O$5,Rezepte!$5:$5,0),0),""),"")</f>
        <v/>
      </c>
      <c r="P26" s="24" t="str">
        <f ca="1">IF(LEN($A26)&gt;0,IF(AND(ISNUMBER(VLOOKUP($A26,Rezepte,MATCH(Produktionsmenge!P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P$5,Rezepte!$5:$5,0),0),""),"")</f>
        <v/>
      </c>
      <c r="Q26" s="24" t="str">
        <f ca="1">IF(LEN($A26)&gt;0,IF(AND(ISNUMBER(VLOOKUP($A26,Rezepte,MATCH(Produktionsmenge!Q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Q$5,Rezepte!$5:$5,0),0),""),"")</f>
        <v/>
      </c>
      <c r="R26" s="24" t="str">
        <f ca="1">IF(LEN($A26)&gt;0,IF(AND(ISNUMBER(VLOOKUP($A26,Rezepte,MATCH(Produktionsmenge!R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R$5,Rezepte!$5:$5,0),0),""),"")</f>
        <v/>
      </c>
      <c r="S26" s="24" t="str">
        <f ca="1">IF(LEN($A26)&gt;0,IF(AND(ISNUMBER(VLOOKUP($A26,Rezepte,MATCH(Produktionsmenge!S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S$5,Rezepte!$5:$5,0),0),""),"")</f>
        <v/>
      </c>
      <c r="T26" s="24" t="str">
        <f ca="1">IF(LEN($A26)&gt;0,IF(AND(ISNUMBER(VLOOKUP($A26,Rezepte,MATCH(Produktionsmenge!T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T$5,Rezepte!$5:$5,0),0),""),"")</f>
        <v/>
      </c>
      <c r="U26" s="24" t="str">
        <f ca="1">IF(LEN($A26)&gt;0,IF(AND(ISNUMBER(VLOOKUP($A26,Rezepte,MATCH(Produktionsmenge!U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U$5,Rezepte!$5:$5,0),0),""),"")</f>
        <v/>
      </c>
      <c r="V26" s="24" t="str">
        <f ca="1">IF(LEN($A26)&gt;0,IF(AND(ISNUMBER(VLOOKUP($A26,Rezepte,MATCH(Produktionsmenge!V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V$5,Rezepte!$5:$5,0),0),""),"")</f>
        <v/>
      </c>
      <c r="W26" s="24" t="str">
        <f ca="1">IF(LEN($A26)&gt;0,IF(AND(ISNUMBER(VLOOKUP($A26,Rezepte,MATCH(Produktionsmenge!W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W$5,Rezepte!$5:$5,0),0),""),"")</f>
        <v/>
      </c>
      <c r="X26" s="24" t="str">
        <f ca="1">IF(LEN($A26)&gt;0,IF(AND(ISNUMBER(VLOOKUP($A26,Rezepte,MATCH(Produktionsmenge!X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X$5,Rezepte!$5:$5,0),0),""),"")</f>
        <v/>
      </c>
      <c r="Y26" s="24" t="str">
        <f ca="1">IF(LEN($A26)&gt;0,IF(AND(ISNUMBER(VLOOKUP($A26,Rezepte,MATCH(Produktionsmenge!Y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Y$5,Rezepte!$5:$5,0),0),""),"")</f>
        <v/>
      </c>
      <c r="Z26" s="24" t="str">
        <f ca="1">IF(LEN($A26)&gt;0,IF(AND(ISNUMBER(VLOOKUP($A26,Rezepte,MATCH(Produktionsmenge!Z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Z$5,Rezepte!$5:$5,0),0),""),"")</f>
        <v/>
      </c>
      <c r="AA26" s="24" t="str">
        <f ca="1">IF(LEN($A26)&gt;0,IF(AND(ISNUMBER(VLOOKUP($A26,Rezepte,MATCH(Produktionsmenge!AA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AA$5,Rezepte!$5:$5,0),0),""),"")</f>
        <v/>
      </c>
      <c r="AB26" s="24" t="str">
        <f ca="1">IF(LEN($A26)&gt;0,IF(AND(ISNUMBER(VLOOKUP($A26,Rezepte,MATCH(Produktionsmenge!AB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AB$5,Rezepte!$5:$5,0),0),""),"")</f>
        <v/>
      </c>
      <c r="AC26" s="24" t="str">
        <f ca="1">IF(LEN($A26)&gt;0,IF(AND(ISNUMBER(VLOOKUP($A26,Rezepte,MATCH(Produktionsmenge!AC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AC$5,Rezepte!$5:$5,0),0),""),"")</f>
        <v/>
      </c>
      <c r="AD26" s="24" t="str">
        <f ca="1">IF(LEN($A26)&gt;0,IF(AND(ISNUMBER(VLOOKUP($A26,Rezepte,MATCH(Produktionsmenge!AD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AD$5,Rezepte!$5:$5,0),0),""),"")</f>
        <v/>
      </c>
      <c r="AE26" s="24" t="str">
        <f ca="1">IF(LEN($A26)&gt;0,IF(AND(ISNUMBER(VLOOKUP($A26,Rezepte,MATCH(Produktionsmenge!AE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AE$5,Rezepte!$5:$5,0),0),""),"")</f>
        <v/>
      </c>
      <c r="AF26" s="24" t="str">
        <f ca="1">IF(LEN($A26)&gt;0,IF(AND(ISNUMBER(VLOOKUP($A26,Rezepte,MATCH(Produktionsmenge!AF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AF$5,Rezepte!$5:$5,0),0),""),"")</f>
        <v/>
      </c>
      <c r="AG26" s="24" t="str">
        <f ca="1">IF(LEN($A26)&gt;0,IF(AND(ISNUMBER(VLOOKUP($A26,Rezepte,MATCH(Produktionsmenge!AG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AG$5,Rezepte!$5:$5,0),0),""),"")</f>
        <v/>
      </c>
      <c r="AH26" s="24" t="str">
        <f ca="1">IF(LEN($A26)&gt;0,IF(AND(ISNUMBER(VLOOKUP($A26,Rezepte,MATCH(Produktionsmenge!AH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AH$5,Rezepte!$5:$5,0),0),""),"")</f>
        <v/>
      </c>
      <c r="AI26" s="24" t="str">
        <f ca="1">IF(LEN($A26)&gt;0,IF(AND(ISNUMBER(VLOOKUP($A26,Rezepte,MATCH(Produktionsmenge!AI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AI$5,Rezepte!$5:$5,0),0),""),"")</f>
        <v/>
      </c>
      <c r="AJ26" s="24" t="str">
        <f ca="1">IF(LEN($A26)&gt;0,IF(AND(ISNUMBER(VLOOKUP($A26,Rezepte,MATCH(Produktionsmenge!AJ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AJ$5,Rezepte!$5:$5,0),0),""),"")</f>
        <v/>
      </c>
      <c r="AK26" s="24" t="str">
        <f ca="1">IF(LEN($A26)&gt;0,IF(AND(ISNUMBER(VLOOKUP($A26,Rezepte,MATCH(Produktionsmenge!AK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AK$5,Rezepte!$5:$5,0),0),""),"")</f>
        <v/>
      </c>
      <c r="AL26" s="24" t="str">
        <f ca="1">IF(LEN($A26)&gt;0,IF(AND(ISNUMBER(VLOOKUP($A26,Rezepte,MATCH(Produktionsmenge!AL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AL$5,Rezepte!$5:$5,0),0),""),"")</f>
        <v/>
      </c>
      <c r="AM26" s="24" t="str">
        <f ca="1">IF(LEN($A26)&gt;0,IF(AND(ISNUMBER(VLOOKUP($A26,Rezepte,MATCH(Produktionsmenge!AM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AM$5,Rezepte!$5:$5,0),0),""),"")</f>
        <v/>
      </c>
      <c r="AN26" s="24" t="str">
        <f ca="1">IF(LEN($A26)&gt;0,IF(AND(ISNUMBER(VLOOKUP($A26,Rezepte,MATCH(Produktionsmenge!AN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AN$5,Rezepte!$5:$5,0),0),""),"")</f>
        <v/>
      </c>
      <c r="AO26" s="24" t="str">
        <f ca="1">IF(LEN($A26)&gt;0,IF(AND(ISNUMBER(VLOOKUP($A26,Rezepte,MATCH(Produktionsmenge!AO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AO$5,Rezepte!$5:$5,0),0),""),"")</f>
        <v/>
      </c>
      <c r="AP26" s="24" t="str">
        <f ca="1">IF(LEN($A26)&gt;0,IF(AND(ISNUMBER(VLOOKUP($A26,Rezepte,MATCH(Produktionsmenge!AP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AP$5,Rezepte!$5:$5,0),0),""),"")</f>
        <v/>
      </c>
      <c r="AQ26" s="24" t="str">
        <f ca="1">IF(LEN($A26)&gt;0,IF(AND(ISNUMBER(VLOOKUP($A26,Rezepte,MATCH(Produktionsmenge!AQ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AQ$5,Rezepte!$5:$5,0),0),""),"")</f>
        <v/>
      </c>
      <c r="AR26" s="24" t="str">
        <f ca="1">IF(LEN($A26)&gt;0,IF(AND(ISNUMBER(VLOOKUP($A26,Rezepte,MATCH(Produktionsmenge!AR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AR$5,Rezepte!$5:$5,0),0),""),"")</f>
        <v/>
      </c>
      <c r="AS26" s="24" t="str">
        <f ca="1">IF(LEN($A26)&gt;0,IF(AND(ISNUMBER(VLOOKUP($A26,Rezepte,MATCH(Produktionsmenge!AS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AS$5,Rezepte!$5:$5,0),0),""),"")</f>
        <v/>
      </c>
      <c r="AT26" s="24" t="str">
        <f ca="1">IF(LEN($A26)&gt;0,IF(AND(ISNUMBER(VLOOKUP($A26,Rezepte,MATCH(Produktionsmenge!AT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AT$5,Rezepte!$5:$5,0),0),""),"")</f>
        <v/>
      </c>
      <c r="AU26" s="24" t="str">
        <f ca="1">IF(LEN($A26)&gt;0,IF(AND(ISNUMBER(VLOOKUP($A26,Rezepte,MATCH(Produktionsmenge!AU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AU$5,Rezepte!$5:$5,0),0),""),"")</f>
        <v/>
      </c>
      <c r="AV26" s="24" t="str">
        <f ca="1">IF(LEN($A26)&gt;0,IF(AND(ISNUMBER(VLOOKUP($A26,Rezepte,MATCH(Produktionsmenge!AV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AV$5,Rezepte!$5:$5,0),0),""),"")</f>
        <v/>
      </c>
      <c r="AW26" s="24" t="str">
        <f ca="1">IF(LEN($A26)&gt;0,IF(AND(ISNUMBER(VLOOKUP($A26,Rezepte,MATCH(Produktionsmenge!AW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AW$5,Rezepte!$5:$5,0),0),""),"")</f>
        <v/>
      </c>
      <c r="AX26" s="24" t="str">
        <f ca="1">IF(LEN($A26)&gt;0,IF(AND(ISNUMBER(VLOOKUP($A26,Rezepte,MATCH(Produktionsmenge!AX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AX$5,Rezepte!$5:$5,0),0),""),"")</f>
        <v/>
      </c>
      <c r="AY26" s="24" t="str">
        <f ca="1">IF(LEN($A26)&gt;0,IF(AND(ISNUMBER(VLOOKUP($A26,Rezepte,MATCH(Produktionsmenge!AY$5,Rezepte!$5:$5,0),0)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&gt;0),SUM(OFFSET(Bestellungen!$A$5,1,MATCH(IF(ISNUMBER(SEARCH("(",$A26)),LEFT($A26,SEARCH("(",$A26)-2),$A26),Bestellungen!$A$5:$AJ$5,0)-1):OFFSET(Bestellungen!$A$5,COUNTA(Bestellungen!$A$6:$A$1048576),MATCH(IF(ISNUMBER(SEARCH("(",$A26)),LEFT($A26,SEARCH("(",$A26)-2),$A26),Bestellungen!$A$5:$AJ$5,0)-1))*VLOOKUP($A26,Rezepte,MATCH(Produktionsmenge!AY$5,Rezepte!$5:$5,0),0),""),"")</f>
        <v/>
      </c>
    </row>
    <row r="27" spans="1:51" x14ac:dyDescent="0.25">
      <c r="A27" t="str">
        <f t="array" ref="A27">IFERROR(INDEX(Rezepte!$A$6:$A$100,MATCH(1,(COUNTIF(A$6:A26,Rezepte!A$6:A$100)=0)*(Rezepte!A$6:A$100&lt;&gt;""),0)),"")</f>
        <v/>
      </c>
      <c r="B27" s="24" t="str">
        <f ca="1">IF(LEN($A27)&gt;0,IF(AND(ISNUMBER(VLOOKUP($A27,Rezepte,MATCH(Produktionsmenge!B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B$5,Rezepte!$5:$5,0),0),""),"")</f>
        <v/>
      </c>
      <c r="C27" s="24" t="str">
        <f ca="1">IF(LEN($A27)&gt;0,IF(AND(ISNUMBER(VLOOKUP($A27,Rezepte,MATCH(Produktionsmenge!C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C$5,Rezepte!$5:$5,0),0),""),"")</f>
        <v/>
      </c>
      <c r="D27" s="24" t="str">
        <f ca="1">IF(LEN($A27)&gt;0,IF(AND(ISNUMBER(VLOOKUP($A27,Rezepte,MATCH(Produktionsmenge!D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D$5,Rezepte!$5:$5,0),0),""),"")</f>
        <v/>
      </c>
      <c r="E27" s="24" t="str">
        <f ca="1">IF(LEN($A27)&gt;0,IF(AND(ISNUMBER(VLOOKUP($A27,Rezepte,MATCH(Produktionsmenge!E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E$5,Rezepte!$5:$5,0),0),""),"")</f>
        <v/>
      </c>
      <c r="F27" s="24" t="str">
        <f ca="1">IF(LEN($A27)&gt;0,IF(AND(ISNUMBER(VLOOKUP($A27,Rezepte,MATCH(Produktionsmenge!F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F$5,Rezepte!$5:$5,0),0),""),"")</f>
        <v/>
      </c>
      <c r="G27" s="24" t="str">
        <f ca="1">IF(LEN($A27)&gt;0,IF(AND(ISNUMBER(VLOOKUP($A27,Rezepte,MATCH(Produktionsmenge!G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G$5,Rezepte!$5:$5,0),0),""),"")</f>
        <v/>
      </c>
      <c r="H27" s="24" t="str">
        <f ca="1">IF(LEN($A27)&gt;0,IF(AND(ISNUMBER(VLOOKUP($A27,Rezepte,MATCH(Produktionsmenge!H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H$5,Rezepte!$5:$5,0),0),""),"")</f>
        <v/>
      </c>
      <c r="I27" s="24" t="str">
        <f ca="1">IF(LEN($A27)&gt;0,IF(AND(ISNUMBER(VLOOKUP($A27,Rezepte,MATCH(Produktionsmenge!I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I$5,Rezepte!$5:$5,0),0),""),"")</f>
        <v/>
      </c>
      <c r="J27" s="24" t="str">
        <f ca="1">IF(LEN($A27)&gt;0,IF(AND(ISNUMBER(VLOOKUP($A27,Rezepte,MATCH(Produktionsmenge!J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J$5,Rezepte!$5:$5,0),0),""),"")</f>
        <v/>
      </c>
      <c r="K27" s="24" t="str">
        <f ca="1">IF(LEN($A27)&gt;0,IF(AND(ISNUMBER(VLOOKUP($A27,Rezepte,MATCH(Produktionsmenge!K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K$5,Rezepte!$5:$5,0),0),""),"")</f>
        <v/>
      </c>
      <c r="L27" s="24" t="str">
        <f ca="1">IF(LEN($A27)&gt;0,IF(AND(ISNUMBER(VLOOKUP($A27,Rezepte,MATCH(Produktionsmenge!L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L$5,Rezepte!$5:$5,0),0),""),"")</f>
        <v/>
      </c>
      <c r="M27" s="24" t="str">
        <f ca="1">IF(LEN($A27)&gt;0,IF(AND(ISNUMBER(VLOOKUP($A27,Rezepte,MATCH(Produktionsmenge!M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M$5,Rezepte!$5:$5,0),0),""),"")</f>
        <v/>
      </c>
      <c r="N27" s="24" t="str">
        <f ca="1">IF(LEN($A27)&gt;0,IF(AND(ISNUMBER(VLOOKUP($A27,Rezepte,MATCH(Produktionsmenge!N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N$5,Rezepte!$5:$5,0),0),""),"")</f>
        <v/>
      </c>
      <c r="O27" s="24" t="str">
        <f ca="1">IF(LEN($A27)&gt;0,IF(AND(ISNUMBER(VLOOKUP($A27,Rezepte,MATCH(Produktionsmenge!O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O$5,Rezepte!$5:$5,0),0),""),"")</f>
        <v/>
      </c>
      <c r="P27" s="24" t="str">
        <f ca="1">IF(LEN($A27)&gt;0,IF(AND(ISNUMBER(VLOOKUP($A27,Rezepte,MATCH(Produktionsmenge!P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P$5,Rezepte!$5:$5,0),0),""),"")</f>
        <v/>
      </c>
      <c r="Q27" s="24" t="str">
        <f ca="1">IF(LEN($A27)&gt;0,IF(AND(ISNUMBER(VLOOKUP($A27,Rezepte,MATCH(Produktionsmenge!Q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Q$5,Rezepte!$5:$5,0),0),""),"")</f>
        <v/>
      </c>
      <c r="R27" s="24" t="str">
        <f ca="1">IF(LEN($A27)&gt;0,IF(AND(ISNUMBER(VLOOKUP($A27,Rezepte,MATCH(Produktionsmenge!R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R$5,Rezepte!$5:$5,0),0),""),"")</f>
        <v/>
      </c>
      <c r="S27" s="24" t="str">
        <f ca="1">IF(LEN($A27)&gt;0,IF(AND(ISNUMBER(VLOOKUP($A27,Rezepte,MATCH(Produktionsmenge!S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S$5,Rezepte!$5:$5,0),0),""),"")</f>
        <v/>
      </c>
      <c r="T27" s="24" t="str">
        <f ca="1">IF(LEN($A27)&gt;0,IF(AND(ISNUMBER(VLOOKUP($A27,Rezepte,MATCH(Produktionsmenge!T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T$5,Rezepte!$5:$5,0),0),""),"")</f>
        <v/>
      </c>
      <c r="U27" s="24" t="str">
        <f ca="1">IF(LEN($A27)&gt;0,IF(AND(ISNUMBER(VLOOKUP($A27,Rezepte,MATCH(Produktionsmenge!U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U$5,Rezepte!$5:$5,0),0),""),"")</f>
        <v/>
      </c>
      <c r="V27" s="24" t="str">
        <f ca="1">IF(LEN($A27)&gt;0,IF(AND(ISNUMBER(VLOOKUP($A27,Rezepte,MATCH(Produktionsmenge!V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V$5,Rezepte!$5:$5,0),0),""),"")</f>
        <v/>
      </c>
      <c r="W27" s="24" t="str">
        <f ca="1">IF(LEN($A27)&gt;0,IF(AND(ISNUMBER(VLOOKUP($A27,Rezepte,MATCH(Produktionsmenge!W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W$5,Rezepte!$5:$5,0),0),""),"")</f>
        <v/>
      </c>
      <c r="X27" s="24" t="str">
        <f ca="1">IF(LEN($A27)&gt;0,IF(AND(ISNUMBER(VLOOKUP($A27,Rezepte,MATCH(Produktionsmenge!X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X$5,Rezepte!$5:$5,0),0),""),"")</f>
        <v/>
      </c>
      <c r="Y27" s="24" t="str">
        <f ca="1">IF(LEN($A27)&gt;0,IF(AND(ISNUMBER(VLOOKUP($A27,Rezepte,MATCH(Produktionsmenge!Y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Y$5,Rezepte!$5:$5,0),0),""),"")</f>
        <v/>
      </c>
      <c r="Z27" s="24" t="str">
        <f ca="1">IF(LEN($A27)&gt;0,IF(AND(ISNUMBER(VLOOKUP($A27,Rezepte,MATCH(Produktionsmenge!Z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Z$5,Rezepte!$5:$5,0),0),""),"")</f>
        <v/>
      </c>
      <c r="AA27" s="24" t="str">
        <f ca="1">IF(LEN($A27)&gt;0,IF(AND(ISNUMBER(VLOOKUP($A27,Rezepte,MATCH(Produktionsmenge!AA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AA$5,Rezepte!$5:$5,0),0),""),"")</f>
        <v/>
      </c>
      <c r="AB27" s="24" t="str">
        <f ca="1">IF(LEN($A27)&gt;0,IF(AND(ISNUMBER(VLOOKUP($A27,Rezepte,MATCH(Produktionsmenge!AB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AB$5,Rezepte!$5:$5,0),0),""),"")</f>
        <v/>
      </c>
      <c r="AC27" s="24" t="str">
        <f ca="1">IF(LEN($A27)&gt;0,IF(AND(ISNUMBER(VLOOKUP($A27,Rezepte,MATCH(Produktionsmenge!AC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AC$5,Rezepte!$5:$5,0),0),""),"")</f>
        <v/>
      </c>
      <c r="AD27" s="24" t="str">
        <f ca="1">IF(LEN($A27)&gt;0,IF(AND(ISNUMBER(VLOOKUP($A27,Rezepte,MATCH(Produktionsmenge!AD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AD$5,Rezepte!$5:$5,0),0),""),"")</f>
        <v/>
      </c>
      <c r="AE27" s="24" t="str">
        <f ca="1">IF(LEN($A27)&gt;0,IF(AND(ISNUMBER(VLOOKUP($A27,Rezepte,MATCH(Produktionsmenge!AE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AE$5,Rezepte!$5:$5,0),0),""),"")</f>
        <v/>
      </c>
      <c r="AF27" s="24" t="str">
        <f ca="1">IF(LEN($A27)&gt;0,IF(AND(ISNUMBER(VLOOKUP($A27,Rezepte,MATCH(Produktionsmenge!AF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AF$5,Rezepte!$5:$5,0),0),""),"")</f>
        <v/>
      </c>
      <c r="AG27" s="24" t="str">
        <f ca="1">IF(LEN($A27)&gt;0,IF(AND(ISNUMBER(VLOOKUP($A27,Rezepte,MATCH(Produktionsmenge!AG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AG$5,Rezepte!$5:$5,0),0),""),"")</f>
        <v/>
      </c>
      <c r="AH27" s="24" t="str">
        <f ca="1">IF(LEN($A27)&gt;0,IF(AND(ISNUMBER(VLOOKUP($A27,Rezepte,MATCH(Produktionsmenge!AH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AH$5,Rezepte!$5:$5,0),0),""),"")</f>
        <v/>
      </c>
      <c r="AI27" s="24" t="str">
        <f ca="1">IF(LEN($A27)&gt;0,IF(AND(ISNUMBER(VLOOKUP($A27,Rezepte,MATCH(Produktionsmenge!AI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AI$5,Rezepte!$5:$5,0),0),""),"")</f>
        <v/>
      </c>
      <c r="AJ27" s="24" t="str">
        <f ca="1">IF(LEN($A27)&gt;0,IF(AND(ISNUMBER(VLOOKUP($A27,Rezepte,MATCH(Produktionsmenge!AJ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AJ$5,Rezepte!$5:$5,0),0),""),"")</f>
        <v/>
      </c>
      <c r="AK27" s="24" t="str">
        <f ca="1">IF(LEN($A27)&gt;0,IF(AND(ISNUMBER(VLOOKUP($A27,Rezepte,MATCH(Produktionsmenge!AK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AK$5,Rezepte!$5:$5,0),0),""),"")</f>
        <v/>
      </c>
      <c r="AL27" s="24" t="str">
        <f ca="1">IF(LEN($A27)&gt;0,IF(AND(ISNUMBER(VLOOKUP($A27,Rezepte,MATCH(Produktionsmenge!AL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AL$5,Rezepte!$5:$5,0),0),""),"")</f>
        <v/>
      </c>
      <c r="AM27" s="24" t="str">
        <f ca="1">IF(LEN($A27)&gt;0,IF(AND(ISNUMBER(VLOOKUP($A27,Rezepte,MATCH(Produktionsmenge!AM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AM$5,Rezepte!$5:$5,0),0),""),"")</f>
        <v/>
      </c>
      <c r="AN27" s="24" t="str">
        <f ca="1">IF(LEN($A27)&gt;0,IF(AND(ISNUMBER(VLOOKUP($A27,Rezepte,MATCH(Produktionsmenge!AN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AN$5,Rezepte!$5:$5,0),0),""),"")</f>
        <v/>
      </c>
      <c r="AO27" s="24" t="str">
        <f ca="1">IF(LEN($A27)&gt;0,IF(AND(ISNUMBER(VLOOKUP($A27,Rezepte,MATCH(Produktionsmenge!AO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AO$5,Rezepte!$5:$5,0),0),""),"")</f>
        <v/>
      </c>
      <c r="AP27" s="24" t="str">
        <f ca="1">IF(LEN($A27)&gt;0,IF(AND(ISNUMBER(VLOOKUP($A27,Rezepte,MATCH(Produktionsmenge!AP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AP$5,Rezepte!$5:$5,0),0),""),"")</f>
        <v/>
      </c>
      <c r="AQ27" s="24" t="str">
        <f ca="1">IF(LEN($A27)&gt;0,IF(AND(ISNUMBER(VLOOKUP($A27,Rezepte,MATCH(Produktionsmenge!AQ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AQ$5,Rezepte!$5:$5,0),0),""),"")</f>
        <v/>
      </c>
      <c r="AR27" s="24" t="str">
        <f ca="1">IF(LEN($A27)&gt;0,IF(AND(ISNUMBER(VLOOKUP($A27,Rezepte,MATCH(Produktionsmenge!AR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AR$5,Rezepte!$5:$5,0),0),""),"")</f>
        <v/>
      </c>
      <c r="AS27" s="24" t="str">
        <f ca="1">IF(LEN($A27)&gt;0,IF(AND(ISNUMBER(VLOOKUP($A27,Rezepte,MATCH(Produktionsmenge!AS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AS$5,Rezepte!$5:$5,0),0),""),"")</f>
        <v/>
      </c>
      <c r="AT27" s="24" t="str">
        <f ca="1">IF(LEN($A27)&gt;0,IF(AND(ISNUMBER(VLOOKUP($A27,Rezepte,MATCH(Produktionsmenge!AT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AT$5,Rezepte!$5:$5,0),0),""),"")</f>
        <v/>
      </c>
      <c r="AU27" s="24" t="str">
        <f ca="1">IF(LEN($A27)&gt;0,IF(AND(ISNUMBER(VLOOKUP($A27,Rezepte,MATCH(Produktionsmenge!AU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AU$5,Rezepte!$5:$5,0),0),""),"")</f>
        <v/>
      </c>
      <c r="AV27" s="24" t="str">
        <f ca="1">IF(LEN($A27)&gt;0,IF(AND(ISNUMBER(VLOOKUP($A27,Rezepte,MATCH(Produktionsmenge!AV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AV$5,Rezepte!$5:$5,0),0),""),"")</f>
        <v/>
      </c>
      <c r="AW27" s="24" t="str">
        <f ca="1">IF(LEN($A27)&gt;0,IF(AND(ISNUMBER(VLOOKUP($A27,Rezepte,MATCH(Produktionsmenge!AW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AW$5,Rezepte!$5:$5,0),0),""),"")</f>
        <v/>
      </c>
      <c r="AX27" s="24" t="str">
        <f ca="1">IF(LEN($A27)&gt;0,IF(AND(ISNUMBER(VLOOKUP($A27,Rezepte,MATCH(Produktionsmenge!AX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AX$5,Rezepte!$5:$5,0),0),""),"")</f>
        <v/>
      </c>
      <c r="AY27" s="24" t="str">
        <f ca="1">IF(LEN($A27)&gt;0,IF(AND(ISNUMBER(VLOOKUP($A27,Rezepte,MATCH(Produktionsmenge!AY$5,Rezepte!$5:$5,0),0)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&gt;0),SUM(OFFSET(Bestellungen!$A$5,1,MATCH(IF(ISNUMBER(SEARCH("(",$A27)),LEFT($A27,SEARCH("(",$A27)-2),$A27),Bestellungen!$A$5:$AJ$5,0)-1):OFFSET(Bestellungen!$A$5,COUNTA(Bestellungen!$A$6:$A$1048576),MATCH(IF(ISNUMBER(SEARCH("(",$A27)),LEFT($A27,SEARCH("(",$A27)-2),$A27),Bestellungen!$A$5:$AJ$5,0)-1))*VLOOKUP($A27,Rezepte,MATCH(Produktionsmenge!AY$5,Rezepte!$5:$5,0),0),""),"")</f>
        <v/>
      </c>
    </row>
    <row r="28" spans="1:51" x14ac:dyDescent="0.25">
      <c r="A28" t="str">
        <f t="array" ref="A28">IFERROR(INDEX(Rezepte!$A$6:$A$100,MATCH(1,(COUNTIF(A$6:A27,Rezepte!A$6:A$100)=0)*(Rezepte!A$6:A$100&lt;&gt;""),0)),"")</f>
        <v/>
      </c>
      <c r="B28" s="24" t="str">
        <f ca="1">IF(LEN($A28)&gt;0,IF(AND(ISNUMBER(VLOOKUP($A28,Rezepte,MATCH(Produktionsmenge!B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B$5,Rezepte!$5:$5,0),0),""),"")</f>
        <v/>
      </c>
      <c r="C28" s="24" t="str">
        <f ca="1">IF(LEN($A28)&gt;0,IF(AND(ISNUMBER(VLOOKUP($A28,Rezepte,MATCH(Produktionsmenge!C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C$5,Rezepte!$5:$5,0),0),""),"")</f>
        <v/>
      </c>
      <c r="D28" s="24" t="str">
        <f ca="1">IF(LEN($A28)&gt;0,IF(AND(ISNUMBER(VLOOKUP($A28,Rezepte,MATCH(Produktionsmenge!D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D$5,Rezepte!$5:$5,0),0),""),"")</f>
        <v/>
      </c>
      <c r="E28" s="24" t="str">
        <f ca="1">IF(LEN($A28)&gt;0,IF(AND(ISNUMBER(VLOOKUP($A28,Rezepte,MATCH(Produktionsmenge!E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E$5,Rezepte!$5:$5,0),0),""),"")</f>
        <v/>
      </c>
      <c r="F28" s="24" t="str">
        <f ca="1">IF(LEN($A28)&gt;0,IF(AND(ISNUMBER(VLOOKUP($A28,Rezepte,MATCH(Produktionsmenge!F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F$5,Rezepte!$5:$5,0),0),""),"")</f>
        <v/>
      </c>
      <c r="G28" s="24" t="str">
        <f ca="1">IF(LEN($A28)&gt;0,IF(AND(ISNUMBER(VLOOKUP($A28,Rezepte,MATCH(Produktionsmenge!G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G$5,Rezepte!$5:$5,0),0),""),"")</f>
        <v/>
      </c>
      <c r="H28" s="24" t="str">
        <f ca="1">IF(LEN($A28)&gt;0,IF(AND(ISNUMBER(VLOOKUP($A28,Rezepte,MATCH(Produktionsmenge!H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H$5,Rezepte!$5:$5,0),0),""),"")</f>
        <v/>
      </c>
      <c r="I28" s="24" t="str">
        <f ca="1">IF(LEN($A28)&gt;0,IF(AND(ISNUMBER(VLOOKUP($A28,Rezepte,MATCH(Produktionsmenge!I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I$5,Rezepte!$5:$5,0),0),""),"")</f>
        <v/>
      </c>
      <c r="J28" s="24" t="str">
        <f ca="1">IF(LEN($A28)&gt;0,IF(AND(ISNUMBER(VLOOKUP($A28,Rezepte,MATCH(Produktionsmenge!J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J$5,Rezepte!$5:$5,0),0),""),"")</f>
        <v/>
      </c>
      <c r="K28" s="24" t="str">
        <f ca="1">IF(LEN($A28)&gt;0,IF(AND(ISNUMBER(VLOOKUP($A28,Rezepte,MATCH(Produktionsmenge!K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K$5,Rezepte!$5:$5,0),0),""),"")</f>
        <v/>
      </c>
      <c r="L28" s="24" t="str">
        <f ca="1">IF(LEN($A28)&gt;0,IF(AND(ISNUMBER(VLOOKUP($A28,Rezepte,MATCH(Produktionsmenge!L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L$5,Rezepte!$5:$5,0),0),""),"")</f>
        <v/>
      </c>
      <c r="M28" s="24" t="str">
        <f ca="1">IF(LEN($A28)&gt;0,IF(AND(ISNUMBER(VLOOKUP($A28,Rezepte,MATCH(Produktionsmenge!M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M$5,Rezepte!$5:$5,0),0),""),"")</f>
        <v/>
      </c>
      <c r="N28" s="24" t="str">
        <f ca="1">IF(LEN($A28)&gt;0,IF(AND(ISNUMBER(VLOOKUP($A28,Rezepte,MATCH(Produktionsmenge!N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N$5,Rezepte!$5:$5,0),0),""),"")</f>
        <v/>
      </c>
      <c r="O28" s="24" t="str">
        <f ca="1">IF(LEN($A28)&gt;0,IF(AND(ISNUMBER(VLOOKUP($A28,Rezepte,MATCH(Produktionsmenge!O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O$5,Rezepte!$5:$5,0),0),""),"")</f>
        <v/>
      </c>
      <c r="P28" s="24" t="str">
        <f ca="1">IF(LEN($A28)&gt;0,IF(AND(ISNUMBER(VLOOKUP($A28,Rezepte,MATCH(Produktionsmenge!P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P$5,Rezepte!$5:$5,0),0),""),"")</f>
        <v/>
      </c>
      <c r="Q28" s="24" t="str">
        <f ca="1">IF(LEN($A28)&gt;0,IF(AND(ISNUMBER(VLOOKUP($A28,Rezepte,MATCH(Produktionsmenge!Q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Q$5,Rezepte!$5:$5,0),0),""),"")</f>
        <v/>
      </c>
      <c r="R28" s="24" t="str">
        <f ca="1">IF(LEN($A28)&gt;0,IF(AND(ISNUMBER(VLOOKUP($A28,Rezepte,MATCH(Produktionsmenge!R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R$5,Rezepte!$5:$5,0),0),""),"")</f>
        <v/>
      </c>
      <c r="S28" s="24" t="str">
        <f ca="1">IF(LEN($A28)&gt;0,IF(AND(ISNUMBER(VLOOKUP($A28,Rezepte,MATCH(Produktionsmenge!S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S$5,Rezepte!$5:$5,0),0),""),"")</f>
        <v/>
      </c>
      <c r="T28" s="24" t="str">
        <f ca="1">IF(LEN($A28)&gt;0,IF(AND(ISNUMBER(VLOOKUP($A28,Rezepte,MATCH(Produktionsmenge!T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T$5,Rezepte!$5:$5,0),0),""),"")</f>
        <v/>
      </c>
      <c r="U28" s="24" t="str">
        <f ca="1">IF(LEN($A28)&gt;0,IF(AND(ISNUMBER(VLOOKUP($A28,Rezepte,MATCH(Produktionsmenge!U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U$5,Rezepte!$5:$5,0),0),""),"")</f>
        <v/>
      </c>
      <c r="V28" s="24" t="str">
        <f ca="1">IF(LEN($A28)&gt;0,IF(AND(ISNUMBER(VLOOKUP($A28,Rezepte,MATCH(Produktionsmenge!V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V$5,Rezepte!$5:$5,0),0),""),"")</f>
        <v/>
      </c>
      <c r="W28" s="24" t="str">
        <f ca="1">IF(LEN($A28)&gt;0,IF(AND(ISNUMBER(VLOOKUP($A28,Rezepte,MATCH(Produktionsmenge!W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W$5,Rezepte!$5:$5,0),0),""),"")</f>
        <v/>
      </c>
      <c r="X28" s="24" t="str">
        <f ca="1">IF(LEN($A28)&gt;0,IF(AND(ISNUMBER(VLOOKUP($A28,Rezepte,MATCH(Produktionsmenge!X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X$5,Rezepte!$5:$5,0),0),""),"")</f>
        <v/>
      </c>
      <c r="Y28" s="24" t="str">
        <f ca="1">IF(LEN($A28)&gt;0,IF(AND(ISNUMBER(VLOOKUP($A28,Rezepte,MATCH(Produktionsmenge!Y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Y$5,Rezepte!$5:$5,0),0),""),"")</f>
        <v/>
      </c>
      <c r="Z28" s="24" t="str">
        <f ca="1">IF(LEN($A28)&gt;0,IF(AND(ISNUMBER(VLOOKUP($A28,Rezepte,MATCH(Produktionsmenge!Z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Z$5,Rezepte!$5:$5,0),0),""),"")</f>
        <v/>
      </c>
      <c r="AA28" s="24" t="str">
        <f ca="1">IF(LEN($A28)&gt;0,IF(AND(ISNUMBER(VLOOKUP($A28,Rezepte,MATCH(Produktionsmenge!AA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AA$5,Rezepte!$5:$5,0),0),""),"")</f>
        <v/>
      </c>
      <c r="AB28" s="24" t="str">
        <f ca="1">IF(LEN($A28)&gt;0,IF(AND(ISNUMBER(VLOOKUP($A28,Rezepte,MATCH(Produktionsmenge!AB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AB$5,Rezepte!$5:$5,0),0),""),"")</f>
        <v/>
      </c>
      <c r="AC28" s="24" t="str">
        <f ca="1">IF(LEN($A28)&gt;0,IF(AND(ISNUMBER(VLOOKUP($A28,Rezepte,MATCH(Produktionsmenge!AC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AC$5,Rezepte!$5:$5,0),0),""),"")</f>
        <v/>
      </c>
      <c r="AD28" s="24" t="str">
        <f ca="1">IF(LEN($A28)&gt;0,IF(AND(ISNUMBER(VLOOKUP($A28,Rezepte,MATCH(Produktionsmenge!AD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AD$5,Rezepte!$5:$5,0),0),""),"")</f>
        <v/>
      </c>
      <c r="AE28" s="24" t="str">
        <f ca="1">IF(LEN($A28)&gt;0,IF(AND(ISNUMBER(VLOOKUP($A28,Rezepte,MATCH(Produktionsmenge!AE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AE$5,Rezepte!$5:$5,0),0),""),"")</f>
        <v/>
      </c>
      <c r="AF28" s="24" t="str">
        <f ca="1">IF(LEN($A28)&gt;0,IF(AND(ISNUMBER(VLOOKUP($A28,Rezepte,MATCH(Produktionsmenge!AF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AF$5,Rezepte!$5:$5,0),0),""),"")</f>
        <v/>
      </c>
      <c r="AG28" s="24" t="str">
        <f ca="1">IF(LEN($A28)&gt;0,IF(AND(ISNUMBER(VLOOKUP($A28,Rezepte,MATCH(Produktionsmenge!AG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AG$5,Rezepte!$5:$5,0),0),""),"")</f>
        <v/>
      </c>
      <c r="AH28" s="24" t="str">
        <f ca="1">IF(LEN($A28)&gt;0,IF(AND(ISNUMBER(VLOOKUP($A28,Rezepte,MATCH(Produktionsmenge!AH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AH$5,Rezepte!$5:$5,0),0),""),"")</f>
        <v/>
      </c>
      <c r="AI28" s="24" t="str">
        <f ca="1">IF(LEN($A28)&gt;0,IF(AND(ISNUMBER(VLOOKUP($A28,Rezepte,MATCH(Produktionsmenge!AI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AI$5,Rezepte!$5:$5,0),0),""),"")</f>
        <v/>
      </c>
      <c r="AJ28" s="24" t="str">
        <f ca="1">IF(LEN($A28)&gt;0,IF(AND(ISNUMBER(VLOOKUP($A28,Rezepte,MATCH(Produktionsmenge!AJ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AJ$5,Rezepte!$5:$5,0),0),""),"")</f>
        <v/>
      </c>
      <c r="AK28" s="24" t="str">
        <f ca="1">IF(LEN($A28)&gt;0,IF(AND(ISNUMBER(VLOOKUP($A28,Rezepte,MATCH(Produktionsmenge!AK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AK$5,Rezepte!$5:$5,0),0),""),"")</f>
        <v/>
      </c>
      <c r="AL28" s="24" t="str">
        <f ca="1">IF(LEN($A28)&gt;0,IF(AND(ISNUMBER(VLOOKUP($A28,Rezepte,MATCH(Produktionsmenge!AL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AL$5,Rezepte!$5:$5,0),0),""),"")</f>
        <v/>
      </c>
      <c r="AM28" s="24" t="str">
        <f ca="1">IF(LEN($A28)&gt;0,IF(AND(ISNUMBER(VLOOKUP($A28,Rezepte,MATCH(Produktionsmenge!AM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AM$5,Rezepte!$5:$5,0),0),""),"")</f>
        <v/>
      </c>
      <c r="AN28" s="24" t="str">
        <f ca="1">IF(LEN($A28)&gt;0,IF(AND(ISNUMBER(VLOOKUP($A28,Rezepte,MATCH(Produktionsmenge!AN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AN$5,Rezepte!$5:$5,0),0),""),"")</f>
        <v/>
      </c>
      <c r="AO28" s="24" t="str">
        <f ca="1">IF(LEN($A28)&gt;0,IF(AND(ISNUMBER(VLOOKUP($A28,Rezepte,MATCH(Produktionsmenge!AO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AO$5,Rezepte!$5:$5,0),0),""),"")</f>
        <v/>
      </c>
      <c r="AP28" s="24" t="str">
        <f ca="1">IF(LEN($A28)&gt;0,IF(AND(ISNUMBER(VLOOKUP($A28,Rezepte,MATCH(Produktionsmenge!AP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AP$5,Rezepte!$5:$5,0),0),""),"")</f>
        <v/>
      </c>
      <c r="AQ28" s="24" t="str">
        <f ca="1">IF(LEN($A28)&gt;0,IF(AND(ISNUMBER(VLOOKUP($A28,Rezepte,MATCH(Produktionsmenge!AQ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AQ$5,Rezepte!$5:$5,0),0),""),"")</f>
        <v/>
      </c>
      <c r="AR28" s="24" t="str">
        <f ca="1">IF(LEN($A28)&gt;0,IF(AND(ISNUMBER(VLOOKUP($A28,Rezepte,MATCH(Produktionsmenge!AR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AR$5,Rezepte!$5:$5,0),0),""),"")</f>
        <v/>
      </c>
      <c r="AS28" s="24" t="str">
        <f ca="1">IF(LEN($A28)&gt;0,IF(AND(ISNUMBER(VLOOKUP($A28,Rezepte,MATCH(Produktionsmenge!AS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AS$5,Rezepte!$5:$5,0),0),""),"")</f>
        <v/>
      </c>
      <c r="AT28" s="24" t="str">
        <f ca="1">IF(LEN($A28)&gt;0,IF(AND(ISNUMBER(VLOOKUP($A28,Rezepte,MATCH(Produktionsmenge!AT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AT$5,Rezepte!$5:$5,0),0),""),"")</f>
        <v/>
      </c>
      <c r="AU28" s="24" t="str">
        <f ca="1">IF(LEN($A28)&gt;0,IF(AND(ISNUMBER(VLOOKUP($A28,Rezepte,MATCH(Produktionsmenge!AU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AU$5,Rezepte!$5:$5,0),0),""),"")</f>
        <v/>
      </c>
      <c r="AV28" s="24" t="str">
        <f ca="1">IF(LEN($A28)&gt;0,IF(AND(ISNUMBER(VLOOKUP($A28,Rezepte,MATCH(Produktionsmenge!AV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AV$5,Rezepte!$5:$5,0),0),""),"")</f>
        <v/>
      </c>
      <c r="AW28" s="24" t="str">
        <f ca="1">IF(LEN($A28)&gt;0,IF(AND(ISNUMBER(VLOOKUP($A28,Rezepte,MATCH(Produktionsmenge!AW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AW$5,Rezepte!$5:$5,0),0),""),"")</f>
        <v/>
      </c>
      <c r="AX28" s="24" t="str">
        <f ca="1">IF(LEN($A28)&gt;0,IF(AND(ISNUMBER(VLOOKUP($A28,Rezepte,MATCH(Produktionsmenge!AX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AX$5,Rezepte!$5:$5,0),0),""),"")</f>
        <v/>
      </c>
      <c r="AY28" s="24" t="str">
        <f ca="1">IF(LEN($A28)&gt;0,IF(AND(ISNUMBER(VLOOKUP($A28,Rezepte,MATCH(Produktionsmenge!AY$5,Rezepte!$5:$5,0),0)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&gt;0),SUM(OFFSET(Bestellungen!$A$5,1,MATCH(IF(ISNUMBER(SEARCH("(",$A28)),LEFT($A28,SEARCH("(",$A28)-2),$A28),Bestellungen!$A$5:$AJ$5,0)-1):OFFSET(Bestellungen!$A$5,COUNTA(Bestellungen!$A$6:$A$1048576),MATCH(IF(ISNUMBER(SEARCH("(",$A28)),LEFT($A28,SEARCH("(",$A28)-2),$A28),Bestellungen!$A$5:$AJ$5,0)-1))*VLOOKUP($A28,Rezepte,MATCH(Produktionsmenge!AY$5,Rezepte!$5:$5,0),0),""),"")</f>
        <v/>
      </c>
    </row>
    <row r="29" spans="1:51" x14ac:dyDescent="0.25">
      <c r="A29" t="str">
        <f t="array" ref="A29">IFERROR(INDEX(Rezepte!$A$6:$A$100,MATCH(1,(COUNTIF(A$6:A28,Rezepte!A$6:A$100)=0)*(Rezepte!A$6:A$100&lt;&gt;""),0)),"")</f>
        <v/>
      </c>
      <c r="B29" s="24" t="str">
        <f ca="1">IF(LEN($A29)&gt;0,IF(AND(ISNUMBER(VLOOKUP($A29,Rezepte,MATCH(Produktionsmenge!B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B$5,Rezepte!$5:$5,0),0),""),"")</f>
        <v/>
      </c>
      <c r="C29" s="24" t="str">
        <f ca="1">IF(LEN($A29)&gt;0,IF(AND(ISNUMBER(VLOOKUP($A29,Rezepte,MATCH(Produktionsmenge!C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C$5,Rezepte!$5:$5,0),0),""),"")</f>
        <v/>
      </c>
      <c r="D29" s="24" t="str">
        <f ca="1">IF(LEN($A29)&gt;0,IF(AND(ISNUMBER(VLOOKUP($A29,Rezepte,MATCH(Produktionsmenge!D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D$5,Rezepte!$5:$5,0),0),""),"")</f>
        <v/>
      </c>
      <c r="E29" s="24" t="str">
        <f ca="1">IF(LEN($A29)&gt;0,IF(AND(ISNUMBER(VLOOKUP($A29,Rezepte,MATCH(Produktionsmenge!E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E$5,Rezepte!$5:$5,0),0),""),"")</f>
        <v/>
      </c>
      <c r="F29" s="24" t="str">
        <f ca="1">IF(LEN($A29)&gt;0,IF(AND(ISNUMBER(VLOOKUP($A29,Rezepte,MATCH(Produktionsmenge!F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F$5,Rezepte!$5:$5,0),0),""),"")</f>
        <v/>
      </c>
      <c r="G29" s="24" t="str">
        <f ca="1">IF(LEN($A29)&gt;0,IF(AND(ISNUMBER(VLOOKUP($A29,Rezepte,MATCH(Produktionsmenge!G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G$5,Rezepte!$5:$5,0),0),""),"")</f>
        <v/>
      </c>
      <c r="H29" s="24" t="str">
        <f ca="1">IF(LEN($A29)&gt;0,IF(AND(ISNUMBER(VLOOKUP($A29,Rezepte,MATCH(Produktionsmenge!H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H$5,Rezepte!$5:$5,0),0),""),"")</f>
        <v/>
      </c>
      <c r="I29" s="24" t="str">
        <f ca="1">IF(LEN($A29)&gt;0,IF(AND(ISNUMBER(VLOOKUP($A29,Rezepte,MATCH(Produktionsmenge!I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I$5,Rezepte!$5:$5,0),0),""),"")</f>
        <v/>
      </c>
      <c r="J29" s="24" t="str">
        <f ca="1">IF(LEN($A29)&gt;0,IF(AND(ISNUMBER(VLOOKUP($A29,Rezepte,MATCH(Produktionsmenge!J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J$5,Rezepte!$5:$5,0),0),""),"")</f>
        <v/>
      </c>
      <c r="K29" s="24" t="str">
        <f ca="1">IF(LEN($A29)&gt;0,IF(AND(ISNUMBER(VLOOKUP($A29,Rezepte,MATCH(Produktionsmenge!K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K$5,Rezepte!$5:$5,0),0),""),"")</f>
        <v/>
      </c>
      <c r="L29" s="24" t="str">
        <f ca="1">IF(LEN($A29)&gt;0,IF(AND(ISNUMBER(VLOOKUP($A29,Rezepte,MATCH(Produktionsmenge!L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L$5,Rezepte!$5:$5,0),0),""),"")</f>
        <v/>
      </c>
      <c r="M29" s="24" t="str">
        <f ca="1">IF(LEN($A29)&gt;0,IF(AND(ISNUMBER(VLOOKUP($A29,Rezepte,MATCH(Produktionsmenge!M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M$5,Rezepte!$5:$5,0),0),""),"")</f>
        <v/>
      </c>
      <c r="N29" s="24" t="str">
        <f ca="1">IF(LEN($A29)&gt;0,IF(AND(ISNUMBER(VLOOKUP($A29,Rezepte,MATCH(Produktionsmenge!N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N$5,Rezepte!$5:$5,0),0),""),"")</f>
        <v/>
      </c>
      <c r="O29" s="24" t="str">
        <f ca="1">IF(LEN($A29)&gt;0,IF(AND(ISNUMBER(VLOOKUP($A29,Rezepte,MATCH(Produktionsmenge!O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O$5,Rezepte!$5:$5,0),0),""),"")</f>
        <v/>
      </c>
      <c r="P29" s="24" t="str">
        <f ca="1">IF(LEN($A29)&gt;0,IF(AND(ISNUMBER(VLOOKUP($A29,Rezepte,MATCH(Produktionsmenge!P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P$5,Rezepte!$5:$5,0),0),""),"")</f>
        <v/>
      </c>
      <c r="Q29" s="24" t="str">
        <f ca="1">IF(LEN($A29)&gt;0,IF(AND(ISNUMBER(VLOOKUP($A29,Rezepte,MATCH(Produktionsmenge!Q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Q$5,Rezepte!$5:$5,0),0),""),"")</f>
        <v/>
      </c>
      <c r="R29" s="24" t="str">
        <f ca="1">IF(LEN($A29)&gt;0,IF(AND(ISNUMBER(VLOOKUP($A29,Rezepte,MATCH(Produktionsmenge!R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R$5,Rezepte!$5:$5,0),0),""),"")</f>
        <v/>
      </c>
      <c r="S29" s="24" t="str">
        <f ca="1">IF(LEN($A29)&gt;0,IF(AND(ISNUMBER(VLOOKUP($A29,Rezepte,MATCH(Produktionsmenge!S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S$5,Rezepte!$5:$5,0),0),""),"")</f>
        <v/>
      </c>
      <c r="T29" s="24" t="str">
        <f ca="1">IF(LEN($A29)&gt;0,IF(AND(ISNUMBER(VLOOKUP($A29,Rezepte,MATCH(Produktionsmenge!T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T$5,Rezepte!$5:$5,0),0),""),"")</f>
        <v/>
      </c>
      <c r="U29" s="24" t="str">
        <f ca="1">IF(LEN($A29)&gt;0,IF(AND(ISNUMBER(VLOOKUP($A29,Rezepte,MATCH(Produktionsmenge!U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U$5,Rezepte!$5:$5,0),0),""),"")</f>
        <v/>
      </c>
      <c r="V29" s="24" t="str">
        <f ca="1">IF(LEN($A29)&gt;0,IF(AND(ISNUMBER(VLOOKUP($A29,Rezepte,MATCH(Produktionsmenge!V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V$5,Rezepte!$5:$5,0),0),""),"")</f>
        <v/>
      </c>
      <c r="W29" s="24" t="str">
        <f ca="1">IF(LEN($A29)&gt;0,IF(AND(ISNUMBER(VLOOKUP($A29,Rezepte,MATCH(Produktionsmenge!W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W$5,Rezepte!$5:$5,0),0),""),"")</f>
        <v/>
      </c>
      <c r="X29" s="24" t="str">
        <f ca="1">IF(LEN($A29)&gt;0,IF(AND(ISNUMBER(VLOOKUP($A29,Rezepte,MATCH(Produktionsmenge!X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X$5,Rezepte!$5:$5,0),0),""),"")</f>
        <v/>
      </c>
      <c r="Y29" s="24" t="str">
        <f ca="1">IF(LEN($A29)&gt;0,IF(AND(ISNUMBER(VLOOKUP($A29,Rezepte,MATCH(Produktionsmenge!Y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Y$5,Rezepte!$5:$5,0),0),""),"")</f>
        <v/>
      </c>
      <c r="Z29" s="24" t="str">
        <f ca="1">IF(LEN($A29)&gt;0,IF(AND(ISNUMBER(VLOOKUP($A29,Rezepte,MATCH(Produktionsmenge!Z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Z$5,Rezepte!$5:$5,0),0),""),"")</f>
        <v/>
      </c>
      <c r="AA29" s="24" t="str">
        <f ca="1">IF(LEN($A29)&gt;0,IF(AND(ISNUMBER(VLOOKUP($A29,Rezepte,MATCH(Produktionsmenge!AA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AA$5,Rezepte!$5:$5,0),0),""),"")</f>
        <v/>
      </c>
      <c r="AB29" s="24" t="str">
        <f ca="1">IF(LEN($A29)&gt;0,IF(AND(ISNUMBER(VLOOKUP($A29,Rezepte,MATCH(Produktionsmenge!AB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AB$5,Rezepte!$5:$5,0),0),""),"")</f>
        <v/>
      </c>
      <c r="AC29" s="24" t="str">
        <f ca="1">IF(LEN($A29)&gt;0,IF(AND(ISNUMBER(VLOOKUP($A29,Rezepte,MATCH(Produktionsmenge!AC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AC$5,Rezepte!$5:$5,0),0),""),"")</f>
        <v/>
      </c>
      <c r="AD29" s="24" t="str">
        <f ca="1">IF(LEN($A29)&gt;0,IF(AND(ISNUMBER(VLOOKUP($A29,Rezepte,MATCH(Produktionsmenge!AD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AD$5,Rezepte!$5:$5,0),0),""),"")</f>
        <v/>
      </c>
      <c r="AE29" s="24" t="str">
        <f ca="1">IF(LEN($A29)&gt;0,IF(AND(ISNUMBER(VLOOKUP($A29,Rezepte,MATCH(Produktionsmenge!AE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AE$5,Rezepte!$5:$5,0),0),""),"")</f>
        <v/>
      </c>
      <c r="AF29" s="24" t="str">
        <f ca="1">IF(LEN($A29)&gt;0,IF(AND(ISNUMBER(VLOOKUP($A29,Rezepte,MATCH(Produktionsmenge!AF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AF$5,Rezepte!$5:$5,0),0),""),"")</f>
        <v/>
      </c>
      <c r="AG29" s="24" t="str">
        <f ca="1">IF(LEN($A29)&gt;0,IF(AND(ISNUMBER(VLOOKUP($A29,Rezepte,MATCH(Produktionsmenge!AG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AG$5,Rezepte!$5:$5,0),0),""),"")</f>
        <v/>
      </c>
      <c r="AH29" s="24" t="str">
        <f ca="1">IF(LEN($A29)&gt;0,IF(AND(ISNUMBER(VLOOKUP($A29,Rezepte,MATCH(Produktionsmenge!AH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AH$5,Rezepte!$5:$5,0),0),""),"")</f>
        <v/>
      </c>
      <c r="AI29" s="24" t="str">
        <f ca="1">IF(LEN($A29)&gt;0,IF(AND(ISNUMBER(VLOOKUP($A29,Rezepte,MATCH(Produktionsmenge!AI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AI$5,Rezepte!$5:$5,0),0),""),"")</f>
        <v/>
      </c>
      <c r="AJ29" s="24" t="str">
        <f ca="1">IF(LEN($A29)&gt;0,IF(AND(ISNUMBER(VLOOKUP($A29,Rezepte,MATCH(Produktionsmenge!AJ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AJ$5,Rezepte!$5:$5,0),0),""),"")</f>
        <v/>
      </c>
      <c r="AK29" s="24" t="str">
        <f ca="1">IF(LEN($A29)&gt;0,IF(AND(ISNUMBER(VLOOKUP($A29,Rezepte,MATCH(Produktionsmenge!AK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AK$5,Rezepte!$5:$5,0),0),""),"")</f>
        <v/>
      </c>
      <c r="AL29" s="24" t="str">
        <f ca="1">IF(LEN($A29)&gt;0,IF(AND(ISNUMBER(VLOOKUP($A29,Rezepte,MATCH(Produktionsmenge!AL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AL$5,Rezepte!$5:$5,0),0),""),"")</f>
        <v/>
      </c>
      <c r="AM29" s="24" t="str">
        <f ca="1">IF(LEN($A29)&gt;0,IF(AND(ISNUMBER(VLOOKUP($A29,Rezepte,MATCH(Produktionsmenge!AM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AM$5,Rezepte!$5:$5,0),0),""),"")</f>
        <v/>
      </c>
      <c r="AN29" s="24" t="str">
        <f ca="1">IF(LEN($A29)&gt;0,IF(AND(ISNUMBER(VLOOKUP($A29,Rezepte,MATCH(Produktionsmenge!AN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AN$5,Rezepte!$5:$5,0),0),""),"")</f>
        <v/>
      </c>
      <c r="AO29" s="24" t="str">
        <f ca="1">IF(LEN($A29)&gt;0,IF(AND(ISNUMBER(VLOOKUP($A29,Rezepte,MATCH(Produktionsmenge!AO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AO$5,Rezepte!$5:$5,0),0),""),"")</f>
        <v/>
      </c>
      <c r="AP29" s="24" t="str">
        <f ca="1">IF(LEN($A29)&gt;0,IF(AND(ISNUMBER(VLOOKUP($A29,Rezepte,MATCH(Produktionsmenge!AP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AP$5,Rezepte!$5:$5,0),0),""),"")</f>
        <v/>
      </c>
      <c r="AQ29" s="24" t="str">
        <f ca="1">IF(LEN($A29)&gt;0,IF(AND(ISNUMBER(VLOOKUP($A29,Rezepte,MATCH(Produktionsmenge!AQ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AQ$5,Rezepte!$5:$5,0),0),""),"")</f>
        <v/>
      </c>
      <c r="AR29" s="24" t="str">
        <f ca="1">IF(LEN($A29)&gt;0,IF(AND(ISNUMBER(VLOOKUP($A29,Rezepte,MATCH(Produktionsmenge!AR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AR$5,Rezepte!$5:$5,0),0),""),"")</f>
        <v/>
      </c>
      <c r="AS29" s="24" t="str">
        <f ca="1">IF(LEN($A29)&gt;0,IF(AND(ISNUMBER(VLOOKUP($A29,Rezepte,MATCH(Produktionsmenge!AS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AS$5,Rezepte!$5:$5,0),0),""),"")</f>
        <v/>
      </c>
      <c r="AT29" s="24" t="str">
        <f ca="1">IF(LEN($A29)&gt;0,IF(AND(ISNUMBER(VLOOKUP($A29,Rezepte,MATCH(Produktionsmenge!AT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AT$5,Rezepte!$5:$5,0),0),""),"")</f>
        <v/>
      </c>
      <c r="AU29" s="24" t="str">
        <f ca="1">IF(LEN($A29)&gt;0,IF(AND(ISNUMBER(VLOOKUP($A29,Rezepte,MATCH(Produktionsmenge!AU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AU$5,Rezepte!$5:$5,0),0),""),"")</f>
        <v/>
      </c>
      <c r="AV29" s="24" t="str">
        <f ca="1">IF(LEN($A29)&gt;0,IF(AND(ISNUMBER(VLOOKUP($A29,Rezepte,MATCH(Produktionsmenge!AV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AV$5,Rezepte!$5:$5,0),0),""),"")</f>
        <v/>
      </c>
      <c r="AW29" s="24" t="str">
        <f ca="1">IF(LEN($A29)&gt;0,IF(AND(ISNUMBER(VLOOKUP($A29,Rezepte,MATCH(Produktionsmenge!AW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AW$5,Rezepte!$5:$5,0),0),""),"")</f>
        <v/>
      </c>
      <c r="AX29" s="24" t="str">
        <f ca="1">IF(LEN($A29)&gt;0,IF(AND(ISNUMBER(VLOOKUP($A29,Rezepte,MATCH(Produktionsmenge!AX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AX$5,Rezepte!$5:$5,0),0),""),"")</f>
        <v/>
      </c>
      <c r="AY29" s="24" t="str">
        <f ca="1">IF(LEN($A29)&gt;0,IF(AND(ISNUMBER(VLOOKUP($A29,Rezepte,MATCH(Produktionsmenge!AY$5,Rezepte!$5:$5,0),0)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&gt;0),SUM(OFFSET(Bestellungen!$A$5,1,MATCH(IF(ISNUMBER(SEARCH("(",$A29)),LEFT($A29,SEARCH("(",$A29)-2),$A29),Bestellungen!$A$5:$AJ$5,0)-1):OFFSET(Bestellungen!$A$5,COUNTA(Bestellungen!$A$6:$A$1048576),MATCH(IF(ISNUMBER(SEARCH("(",$A29)),LEFT($A29,SEARCH("(",$A29)-2),$A29),Bestellungen!$A$5:$AJ$5,0)-1))*VLOOKUP($A29,Rezepte,MATCH(Produktionsmenge!AY$5,Rezepte!$5:$5,0),0),""),"")</f>
        <v/>
      </c>
    </row>
    <row r="30" spans="1:51" x14ac:dyDescent="0.25">
      <c r="A30" t="str">
        <f t="array" ref="A30">IFERROR(INDEX(Rezepte!$A$6:$A$100,MATCH(1,(COUNTIF(A$6:A29,Rezepte!A$6:A$100)=0)*(Rezepte!A$6:A$100&lt;&gt;""),0)),"")</f>
        <v/>
      </c>
      <c r="B30" s="24" t="str">
        <f ca="1">IF(LEN($A30)&gt;0,IF(AND(ISNUMBER(VLOOKUP($A30,Rezepte,MATCH(Produktionsmenge!B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B$5,Rezepte!$5:$5,0),0),""),"")</f>
        <v/>
      </c>
      <c r="C30" s="24" t="str">
        <f ca="1">IF(LEN($A30)&gt;0,IF(AND(ISNUMBER(VLOOKUP($A30,Rezepte,MATCH(Produktionsmenge!C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C$5,Rezepte!$5:$5,0),0),""),"")</f>
        <v/>
      </c>
      <c r="D30" s="24" t="str">
        <f ca="1">IF(LEN($A30)&gt;0,IF(AND(ISNUMBER(VLOOKUP($A30,Rezepte,MATCH(Produktionsmenge!D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D$5,Rezepte!$5:$5,0),0),""),"")</f>
        <v/>
      </c>
      <c r="E30" s="24" t="str">
        <f ca="1">IF(LEN($A30)&gt;0,IF(AND(ISNUMBER(VLOOKUP($A30,Rezepte,MATCH(Produktionsmenge!E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E$5,Rezepte!$5:$5,0),0),""),"")</f>
        <v/>
      </c>
      <c r="F30" s="24" t="str">
        <f ca="1">IF(LEN($A30)&gt;0,IF(AND(ISNUMBER(VLOOKUP($A30,Rezepte,MATCH(Produktionsmenge!F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F$5,Rezepte!$5:$5,0),0),""),"")</f>
        <v/>
      </c>
      <c r="G30" s="24" t="str">
        <f ca="1">IF(LEN($A30)&gt;0,IF(AND(ISNUMBER(VLOOKUP($A30,Rezepte,MATCH(Produktionsmenge!G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G$5,Rezepte!$5:$5,0),0),""),"")</f>
        <v/>
      </c>
      <c r="H30" s="24" t="str">
        <f ca="1">IF(LEN($A30)&gt;0,IF(AND(ISNUMBER(VLOOKUP($A30,Rezepte,MATCH(Produktionsmenge!H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H$5,Rezepte!$5:$5,0),0),""),"")</f>
        <v/>
      </c>
      <c r="I30" s="24" t="str">
        <f ca="1">IF(LEN($A30)&gt;0,IF(AND(ISNUMBER(VLOOKUP($A30,Rezepte,MATCH(Produktionsmenge!I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I$5,Rezepte!$5:$5,0),0),""),"")</f>
        <v/>
      </c>
      <c r="J30" s="24" t="str">
        <f ca="1">IF(LEN($A30)&gt;0,IF(AND(ISNUMBER(VLOOKUP($A30,Rezepte,MATCH(Produktionsmenge!J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J$5,Rezepte!$5:$5,0),0),""),"")</f>
        <v/>
      </c>
      <c r="K30" s="24" t="str">
        <f ca="1">IF(LEN($A30)&gt;0,IF(AND(ISNUMBER(VLOOKUP($A30,Rezepte,MATCH(Produktionsmenge!K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K$5,Rezepte!$5:$5,0),0),""),"")</f>
        <v/>
      </c>
      <c r="L30" s="24" t="str">
        <f ca="1">IF(LEN($A30)&gt;0,IF(AND(ISNUMBER(VLOOKUP($A30,Rezepte,MATCH(Produktionsmenge!L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L$5,Rezepte!$5:$5,0),0),""),"")</f>
        <v/>
      </c>
      <c r="M30" s="24" t="str">
        <f ca="1">IF(LEN($A30)&gt;0,IF(AND(ISNUMBER(VLOOKUP($A30,Rezepte,MATCH(Produktionsmenge!M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M$5,Rezepte!$5:$5,0),0),""),"")</f>
        <v/>
      </c>
      <c r="N30" s="24" t="str">
        <f ca="1">IF(LEN($A30)&gt;0,IF(AND(ISNUMBER(VLOOKUP($A30,Rezepte,MATCH(Produktionsmenge!N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N$5,Rezepte!$5:$5,0),0),""),"")</f>
        <v/>
      </c>
      <c r="O30" s="24" t="str">
        <f ca="1">IF(LEN($A30)&gt;0,IF(AND(ISNUMBER(VLOOKUP($A30,Rezepte,MATCH(Produktionsmenge!O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O$5,Rezepte!$5:$5,0),0),""),"")</f>
        <v/>
      </c>
      <c r="P30" s="24" t="str">
        <f ca="1">IF(LEN($A30)&gt;0,IF(AND(ISNUMBER(VLOOKUP($A30,Rezepte,MATCH(Produktionsmenge!P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P$5,Rezepte!$5:$5,0),0),""),"")</f>
        <v/>
      </c>
      <c r="Q30" s="24" t="str">
        <f ca="1">IF(LEN($A30)&gt;0,IF(AND(ISNUMBER(VLOOKUP($A30,Rezepte,MATCH(Produktionsmenge!Q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Q$5,Rezepte!$5:$5,0),0),""),"")</f>
        <v/>
      </c>
      <c r="R30" s="24" t="str">
        <f ca="1">IF(LEN($A30)&gt;0,IF(AND(ISNUMBER(VLOOKUP($A30,Rezepte,MATCH(Produktionsmenge!R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R$5,Rezepte!$5:$5,0),0),""),"")</f>
        <v/>
      </c>
      <c r="S30" s="24" t="str">
        <f ca="1">IF(LEN($A30)&gt;0,IF(AND(ISNUMBER(VLOOKUP($A30,Rezepte,MATCH(Produktionsmenge!S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S$5,Rezepte!$5:$5,0),0),""),"")</f>
        <v/>
      </c>
      <c r="T30" s="24" t="str">
        <f ca="1">IF(LEN($A30)&gt;0,IF(AND(ISNUMBER(VLOOKUP($A30,Rezepte,MATCH(Produktionsmenge!T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T$5,Rezepte!$5:$5,0),0),""),"")</f>
        <v/>
      </c>
      <c r="U30" s="24" t="str">
        <f ca="1">IF(LEN($A30)&gt;0,IF(AND(ISNUMBER(VLOOKUP($A30,Rezepte,MATCH(Produktionsmenge!U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U$5,Rezepte!$5:$5,0),0),""),"")</f>
        <v/>
      </c>
      <c r="V30" s="24" t="str">
        <f ca="1">IF(LEN($A30)&gt;0,IF(AND(ISNUMBER(VLOOKUP($A30,Rezepte,MATCH(Produktionsmenge!V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V$5,Rezepte!$5:$5,0),0),""),"")</f>
        <v/>
      </c>
      <c r="W30" s="24" t="str">
        <f ca="1">IF(LEN($A30)&gt;0,IF(AND(ISNUMBER(VLOOKUP($A30,Rezepte,MATCH(Produktionsmenge!W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W$5,Rezepte!$5:$5,0),0),""),"")</f>
        <v/>
      </c>
      <c r="X30" s="24" t="str">
        <f ca="1">IF(LEN($A30)&gt;0,IF(AND(ISNUMBER(VLOOKUP($A30,Rezepte,MATCH(Produktionsmenge!X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X$5,Rezepte!$5:$5,0),0),""),"")</f>
        <v/>
      </c>
      <c r="Y30" s="24" t="str">
        <f ca="1">IF(LEN($A30)&gt;0,IF(AND(ISNUMBER(VLOOKUP($A30,Rezepte,MATCH(Produktionsmenge!Y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Y$5,Rezepte!$5:$5,0),0),""),"")</f>
        <v/>
      </c>
      <c r="Z30" s="24" t="str">
        <f ca="1">IF(LEN($A30)&gt;0,IF(AND(ISNUMBER(VLOOKUP($A30,Rezepte,MATCH(Produktionsmenge!Z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Z$5,Rezepte!$5:$5,0),0),""),"")</f>
        <v/>
      </c>
      <c r="AA30" s="24" t="str">
        <f ca="1">IF(LEN($A30)&gt;0,IF(AND(ISNUMBER(VLOOKUP($A30,Rezepte,MATCH(Produktionsmenge!AA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AA$5,Rezepte!$5:$5,0),0),""),"")</f>
        <v/>
      </c>
      <c r="AB30" s="24" t="str">
        <f ca="1">IF(LEN($A30)&gt;0,IF(AND(ISNUMBER(VLOOKUP($A30,Rezepte,MATCH(Produktionsmenge!AB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AB$5,Rezepte!$5:$5,0),0),""),"")</f>
        <v/>
      </c>
      <c r="AC30" s="24" t="str">
        <f ca="1">IF(LEN($A30)&gt;0,IF(AND(ISNUMBER(VLOOKUP($A30,Rezepte,MATCH(Produktionsmenge!AC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AC$5,Rezepte!$5:$5,0),0),""),"")</f>
        <v/>
      </c>
      <c r="AD30" s="24" t="str">
        <f ca="1">IF(LEN($A30)&gt;0,IF(AND(ISNUMBER(VLOOKUP($A30,Rezepte,MATCH(Produktionsmenge!AD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AD$5,Rezepte!$5:$5,0),0),""),"")</f>
        <v/>
      </c>
      <c r="AE30" s="24" t="str">
        <f ca="1">IF(LEN($A30)&gt;0,IF(AND(ISNUMBER(VLOOKUP($A30,Rezepte,MATCH(Produktionsmenge!AE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AE$5,Rezepte!$5:$5,0),0),""),"")</f>
        <v/>
      </c>
      <c r="AF30" s="24" t="str">
        <f ca="1">IF(LEN($A30)&gt;0,IF(AND(ISNUMBER(VLOOKUP($A30,Rezepte,MATCH(Produktionsmenge!AF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AF$5,Rezepte!$5:$5,0),0),""),"")</f>
        <v/>
      </c>
      <c r="AG30" s="24" t="str">
        <f ca="1">IF(LEN($A30)&gt;0,IF(AND(ISNUMBER(VLOOKUP($A30,Rezepte,MATCH(Produktionsmenge!AG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AG$5,Rezepte!$5:$5,0),0),""),"")</f>
        <v/>
      </c>
      <c r="AH30" s="24" t="str">
        <f ca="1">IF(LEN($A30)&gt;0,IF(AND(ISNUMBER(VLOOKUP($A30,Rezepte,MATCH(Produktionsmenge!AH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AH$5,Rezepte!$5:$5,0),0),""),"")</f>
        <v/>
      </c>
      <c r="AI30" s="24" t="str">
        <f ca="1">IF(LEN($A30)&gt;0,IF(AND(ISNUMBER(VLOOKUP($A30,Rezepte,MATCH(Produktionsmenge!AI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AI$5,Rezepte!$5:$5,0),0),""),"")</f>
        <v/>
      </c>
      <c r="AJ30" s="24" t="str">
        <f ca="1">IF(LEN($A30)&gt;0,IF(AND(ISNUMBER(VLOOKUP($A30,Rezepte,MATCH(Produktionsmenge!AJ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AJ$5,Rezepte!$5:$5,0),0),""),"")</f>
        <v/>
      </c>
      <c r="AK30" s="24" t="str">
        <f ca="1">IF(LEN($A30)&gt;0,IF(AND(ISNUMBER(VLOOKUP($A30,Rezepte,MATCH(Produktionsmenge!AK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AK$5,Rezepte!$5:$5,0),0),""),"")</f>
        <v/>
      </c>
      <c r="AL30" s="24" t="str">
        <f ca="1">IF(LEN($A30)&gt;0,IF(AND(ISNUMBER(VLOOKUP($A30,Rezepte,MATCH(Produktionsmenge!AL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AL$5,Rezepte!$5:$5,0),0),""),"")</f>
        <v/>
      </c>
      <c r="AM30" s="24" t="str">
        <f ca="1">IF(LEN($A30)&gt;0,IF(AND(ISNUMBER(VLOOKUP($A30,Rezepte,MATCH(Produktionsmenge!AM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AM$5,Rezepte!$5:$5,0),0),""),"")</f>
        <v/>
      </c>
      <c r="AN30" s="24" t="str">
        <f ca="1">IF(LEN($A30)&gt;0,IF(AND(ISNUMBER(VLOOKUP($A30,Rezepte,MATCH(Produktionsmenge!AN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AN$5,Rezepte!$5:$5,0),0),""),"")</f>
        <v/>
      </c>
      <c r="AO30" s="24" t="str">
        <f ca="1">IF(LEN($A30)&gt;0,IF(AND(ISNUMBER(VLOOKUP($A30,Rezepte,MATCH(Produktionsmenge!AO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AO$5,Rezepte!$5:$5,0),0),""),"")</f>
        <v/>
      </c>
      <c r="AP30" s="24" t="str">
        <f ca="1">IF(LEN($A30)&gt;0,IF(AND(ISNUMBER(VLOOKUP($A30,Rezepte,MATCH(Produktionsmenge!AP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AP$5,Rezepte!$5:$5,0),0),""),"")</f>
        <v/>
      </c>
      <c r="AQ30" s="24" t="str">
        <f ca="1">IF(LEN($A30)&gt;0,IF(AND(ISNUMBER(VLOOKUP($A30,Rezepte,MATCH(Produktionsmenge!AQ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AQ$5,Rezepte!$5:$5,0),0),""),"")</f>
        <v/>
      </c>
      <c r="AR30" s="24" t="str">
        <f ca="1">IF(LEN($A30)&gt;0,IF(AND(ISNUMBER(VLOOKUP($A30,Rezepte,MATCH(Produktionsmenge!AR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AR$5,Rezepte!$5:$5,0),0),""),"")</f>
        <v/>
      </c>
      <c r="AS30" s="24" t="str">
        <f ca="1">IF(LEN($A30)&gt;0,IF(AND(ISNUMBER(VLOOKUP($A30,Rezepte,MATCH(Produktionsmenge!AS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AS$5,Rezepte!$5:$5,0),0),""),"")</f>
        <v/>
      </c>
      <c r="AT30" s="24" t="str">
        <f ca="1">IF(LEN($A30)&gt;0,IF(AND(ISNUMBER(VLOOKUP($A30,Rezepte,MATCH(Produktionsmenge!AT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AT$5,Rezepte!$5:$5,0),0),""),"")</f>
        <v/>
      </c>
      <c r="AU30" s="24" t="str">
        <f ca="1">IF(LEN($A30)&gt;0,IF(AND(ISNUMBER(VLOOKUP($A30,Rezepte,MATCH(Produktionsmenge!AU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AU$5,Rezepte!$5:$5,0),0),""),"")</f>
        <v/>
      </c>
      <c r="AV30" s="24" t="str">
        <f ca="1">IF(LEN($A30)&gt;0,IF(AND(ISNUMBER(VLOOKUP($A30,Rezepte,MATCH(Produktionsmenge!AV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AV$5,Rezepte!$5:$5,0),0),""),"")</f>
        <v/>
      </c>
      <c r="AW30" s="24" t="str">
        <f ca="1">IF(LEN($A30)&gt;0,IF(AND(ISNUMBER(VLOOKUP($A30,Rezepte,MATCH(Produktionsmenge!AW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AW$5,Rezepte!$5:$5,0),0),""),"")</f>
        <v/>
      </c>
      <c r="AX30" s="24" t="str">
        <f ca="1">IF(LEN($A30)&gt;0,IF(AND(ISNUMBER(VLOOKUP($A30,Rezepte,MATCH(Produktionsmenge!AX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AX$5,Rezepte!$5:$5,0),0),""),"")</f>
        <v/>
      </c>
      <c r="AY30" s="24" t="str">
        <f ca="1">IF(LEN($A30)&gt;0,IF(AND(ISNUMBER(VLOOKUP($A30,Rezepte,MATCH(Produktionsmenge!AY$5,Rezepte!$5:$5,0),0)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&gt;0),SUM(OFFSET(Bestellungen!$A$5,1,MATCH(IF(ISNUMBER(SEARCH("(",$A30)),LEFT($A30,SEARCH("(",$A30)-2),$A30),Bestellungen!$A$5:$AJ$5,0)-1):OFFSET(Bestellungen!$A$5,COUNTA(Bestellungen!$A$6:$A$1048576),MATCH(IF(ISNUMBER(SEARCH("(",$A30)),LEFT($A30,SEARCH("(",$A30)-2),$A30),Bestellungen!$A$5:$AJ$5,0)-1))*VLOOKUP($A30,Rezepte,MATCH(Produktionsmenge!AY$5,Rezepte!$5:$5,0),0),""),"")</f>
        <v/>
      </c>
    </row>
    <row r="31" spans="1:51" x14ac:dyDescent="0.25">
      <c r="A31" t="str">
        <f t="array" ref="A31">IFERROR(INDEX(Rezepte!$A$6:$A$100,MATCH(1,(COUNTIF(A$6:A30,Rezepte!A$6:A$100)=0)*(Rezepte!A$6:A$100&lt;&gt;""),0)),"")</f>
        <v/>
      </c>
      <c r="B31" s="24" t="str">
        <f ca="1">IF(LEN($A31)&gt;0,IF(AND(ISNUMBER(VLOOKUP($A31,Rezepte,MATCH(Produktionsmenge!B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B$5,Rezepte!$5:$5,0),0),""),"")</f>
        <v/>
      </c>
      <c r="C31" s="24" t="str">
        <f ca="1">IF(LEN($A31)&gt;0,IF(AND(ISNUMBER(VLOOKUP($A31,Rezepte,MATCH(Produktionsmenge!C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C$5,Rezepte!$5:$5,0),0),""),"")</f>
        <v/>
      </c>
      <c r="D31" s="24" t="str">
        <f ca="1">IF(LEN($A31)&gt;0,IF(AND(ISNUMBER(VLOOKUP($A31,Rezepte,MATCH(Produktionsmenge!D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D$5,Rezepte!$5:$5,0),0),""),"")</f>
        <v/>
      </c>
      <c r="E31" s="24" t="str">
        <f ca="1">IF(LEN($A31)&gt;0,IF(AND(ISNUMBER(VLOOKUP($A31,Rezepte,MATCH(Produktionsmenge!E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E$5,Rezepte!$5:$5,0),0),""),"")</f>
        <v/>
      </c>
      <c r="F31" s="24" t="str">
        <f ca="1">IF(LEN($A31)&gt;0,IF(AND(ISNUMBER(VLOOKUP($A31,Rezepte,MATCH(Produktionsmenge!F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F$5,Rezepte!$5:$5,0),0),""),"")</f>
        <v/>
      </c>
      <c r="G31" s="24" t="str">
        <f ca="1">IF(LEN($A31)&gt;0,IF(AND(ISNUMBER(VLOOKUP($A31,Rezepte,MATCH(Produktionsmenge!G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G$5,Rezepte!$5:$5,0),0),""),"")</f>
        <v/>
      </c>
      <c r="H31" s="24" t="str">
        <f ca="1">IF(LEN($A31)&gt;0,IF(AND(ISNUMBER(VLOOKUP($A31,Rezepte,MATCH(Produktionsmenge!H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H$5,Rezepte!$5:$5,0),0),""),"")</f>
        <v/>
      </c>
      <c r="I31" s="24" t="str">
        <f ca="1">IF(LEN($A31)&gt;0,IF(AND(ISNUMBER(VLOOKUP($A31,Rezepte,MATCH(Produktionsmenge!I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I$5,Rezepte!$5:$5,0),0),""),"")</f>
        <v/>
      </c>
      <c r="J31" s="24" t="str">
        <f ca="1">IF(LEN($A31)&gt;0,IF(AND(ISNUMBER(VLOOKUP($A31,Rezepte,MATCH(Produktionsmenge!J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J$5,Rezepte!$5:$5,0),0),""),"")</f>
        <v/>
      </c>
      <c r="K31" s="24" t="str">
        <f ca="1">IF(LEN($A31)&gt;0,IF(AND(ISNUMBER(VLOOKUP($A31,Rezepte,MATCH(Produktionsmenge!K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K$5,Rezepte!$5:$5,0),0),""),"")</f>
        <v/>
      </c>
      <c r="L31" s="24" t="str">
        <f ca="1">IF(LEN($A31)&gt;0,IF(AND(ISNUMBER(VLOOKUP($A31,Rezepte,MATCH(Produktionsmenge!L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L$5,Rezepte!$5:$5,0),0),""),"")</f>
        <v/>
      </c>
      <c r="M31" s="24" t="str">
        <f ca="1">IF(LEN($A31)&gt;0,IF(AND(ISNUMBER(VLOOKUP($A31,Rezepte,MATCH(Produktionsmenge!M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M$5,Rezepte!$5:$5,0),0),""),"")</f>
        <v/>
      </c>
      <c r="N31" s="24" t="str">
        <f ca="1">IF(LEN($A31)&gt;0,IF(AND(ISNUMBER(VLOOKUP($A31,Rezepte,MATCH(Produktionsmenge!N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N$5,Rezepte!$5:$5,0),0),""),"")</f>
        <v/>
      </c>
      <c r="O31" s="24" t="str">
        <f ca="1">IF(LEN($A31)&gt;0,IF(AND(ISNUMBER(VLOOKUP($A31,Rezepte,MATCH(Produktionsmenge!O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O$5,Rezepte!$5:$5,0),0),""),"")</f>
        <v/>
      </c>
      <c r="P31" s="24" t="str">
        <f ca="1">IF(LEN($A31)&gt;0,IF(AND(ISNUMBER(VLOOKUP($A31,Rezepte,MATCH(Produktionsmenge!P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P$5,Rezepte!$5:$5,0),0),""),"")</f>
        <v/>
      </c>
      <c r="Q31" s="24" t="str">
        <f ca="1">IF(LEN($A31)&gt;0,IF(AND(ISNUMBER(VLOOKUP($A31,Rezepte,MATCH(Produktionsmenge!Q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Q$5,Rezepte!$5:$5,0),0),""),"")</f>
        <v/>
      </c>
      <c r="R31" s="24" t="str">
        <f ca="1">IF(LEN($A31)&gt;0,IF(AND(ISNUMBER(VLOOKUP($A31,Rezepte,MATCH(Produktionsmenge!R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R$5,Rezepte!$5:$5,0),0),""),"")</f>
        <v/>
      </c>
      <c r="S31" s="24" t="str">
        <f ca="1">IF(LEN($A31)&gt;0,IF(AND(ISNUMBER(VLOOKUP($A31,Rezepte,MATCH(Produktionsmenge!S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S$5,Rezepte!$5:$5,0),0),""),"")</f>
        <v/>
      </c>
      <c r="T31" s="24" t="str">
        <f ca="1">IF(LEN($A31)&gt;0,IF(AND(ISNUMBER(VLOOKUP($A31,Rezepte,MATCH(Produktionsmenge!T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T$5,Rezepte!$5:$5,0),0),""),"")</f>
        <v/>
      </c>
      <c r="U31" s="24" t="str">
        <f ca="1">IF(LEN($A31)&gt;0,IF(AND(ISNUMBER(VLOOKUP($A31,Rezepte,MATCH(Produktionsmenge!U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U$5,Rezepte!$5:$5,0),0),""),"")</f>
        <v/>
      </c>
      <c r="V31" s="24" t="str">
        <f ca="1">IF(LEN($A31)&gt;0,IF(AND(ISNUMBER(VLOOKUP($A31,Rezepte,MATCH(Produktionsmenge!V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V$5,Rezepte!$5:$5,0),0),""),"")</f>
        <v/>
      </c>
      <c r="W31" s="24" t="str">
        <f ca="1">IF(LEN($A31)&gt;0,IF(AND(ISNUMBER(VLOOKUP($A31,Rezepte,MATCH(Produktionsmenge!W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W$5,Rezepte!$5:$5,0),0),""),"")</f>
        <v/>
      </c>
      <c r="X31" s="24" t="str">
        <f ca="1">IF(LEN($A31)&gt;0,IF(AND(ISNUMBER(VLOOKUP($A31,Rezepte,MATCH(Produktionsmenge!X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X$5,Rezepte!$5:$5,0),0),""),"")</f>
        <v/>
      </c>
      <c r="Y31" s="24" t="str">
        <f ca="1">IF(LEN($A31)&gt;0,IF(AND(ISNUMBER(VLOOKUP($A31,Rezepte,MATCH(Produktionsmenge!Y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Y$5,Rezepte!$5:$5,0),0),""),"")</f>
        <v/>
      </c>
      <c r="Z31" s="24" t="str">
        <f ca="1">IF(LEN($A31)&gt;0,IF(AND(ISNUMBER(VLOOKUP($A31,Rezepte,MATCH(Produktionsmenge!Z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Z$5,Rezepte!$5:$5,0),0),""),"")</f>
        <v/>
      </c>
      <c r="AA31" s="24" t="str">
        <f ca="1">IF(LEN($A31)&gt;0,IF(AND(ISNUMBER(VLOOKUP($A31,Rezepte,MATCH(Produktionsmenge!AA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AA$5,Rezepte!$5:$5,0),0),""),"")</f>
        <v/>
      </c>
      <c r="AB31" s="24" t="str">
        <f ca="1">IF(LEN($A31)&gt;0,IF(AND(ISNUMBER(VLOOKUP($A31,Rezepte,MATCH(Produktionsmenge!AB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AB$5,Rezepte!$5:$5,0),0),""),"")</f>
        <v/>
      </c>
      <c r="AC31" s="24" t="str">
        <f ca="1">IF(LEN($A31)&gt;0,IF(AND(ISNUMBER(VLOOKUP($A31,Rezepte,MATCH(Produktionsmenge!AC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AC$5,Rezepte!$5:$5,0),0),""),"")</f>
        <v/>
      </c>
      <c r="AD31" s="24" t="str">
        <f ca="1">IF(LEN($A31)&gt;0,IF(AND(ISNUMBER(VLOOKUP($A31,Rezepte,MATCH(Produktionsmenge!AD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AD$5,Rezepte!$5:$5,0),0),""),"")</f>
        <v/>
      </c>
      <c r="AE31" s="24" t="str">
        <f ca="1">IF(LEN($A31)&gt;0,IF(AND(ISNUMBER(VLOOKUP($A31,Rezepte,MATCH(Produktionsmenge!AE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AE$5,Rezepte!$5:$5,0),0),""),"")</f>
        <v/>
      </c>
      <c r="AF31" s="24" t="str">
        <f ca="1">IF(LEN($A31)&gt;0,IF(AND(ISNUMBER(VLOOKUP($A31,Rezepte,MATCH(Produktionsmenge!AF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AF$5,Rezepte!$5:$5,0),0),""),"")</f>
        <v/>
      </c>
      <c r="AG31" s="24" t="str">
        <f ca="1">IF(LEN($A31)&gt;0,IF(AND(ISNUMBER(VLOOKUP($A31,Rezepte,MATCH(Produktionsmenge!AG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AG$5,Rezepte!$5:$5,0),0),""),"")</f>
        <v/>
      </c>
      <c r="AH31" s="24" t="str">
        <f ca="1">IF(LEN($A31)&gt;0,IF(AND(ISNUMBER(VLOOKUP($A31,Rezepte,MATCH(Produktionsmenge!AH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AH$5,Rezepte!$5:$5,0),0),""),"")</f>
        <v/>
      </c>
      <c r="AI31" s="24" t="str">
        <f ca="1">IF(LEN($A31)&gt;0,IF(AND(ISNUMBER(VLOOKUP($A31,Rezepte,MATCH(Produktionsmenge!AI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AI$5,Rezepte!$5:$5,0),0),""),"")</f>
        <v/>
      </c>
      <c r="AJ31" s="24" t="str">
        <f ca="1">IF(LEN($A31)&gt;0,IF(AND(ISNUMBER(VLOOKUP($A31,Rezepte,MATCH(Produktionsmenge!AJ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AJ$5,Rezepte!$5:$5,0),0),""),"")</f>
        <v/>
      </c>
      <c r="AK31" s="24" t="str">
        <f ca="1">IF(LEN($A31)&gt;0,IF(AND(ISNUMBER(VLOOKUP($A31,Rezepte,MATCH(Produktionsmenge!AK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AK$5,Rezepte!$5:$5,0),0),""),"")</f>
        <v/>
      </c>
      <c r="AL31" s="24" t="str">
        <f ca="1">IF(LEN($A31)&gt;0,IF(AND(ISNUMBER(VLOOKUP($A31,Rezepte,MATCH(Produktionsmenge!AL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AL$5,Rezepte!$5:$5,0),0),""),"")</f>
        <v/>
      </c>
      <c r="AM31" s="24" t="str">
        <f ca="1">IF(LEN($A31)&gt;0,IF(AND(ISNUMBER(VLOOKUP($A31,Rezepte,MATCH(Produktionsmenge!AM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AM$5,Rezepte!$5:$5,0),0),""),"")</f>
        <v/>
      </c>
      <c r="AN31" s="24" t="str">
        <f ca="1">IF(LEN($A31)&gt;0,IF(AND(ISNUMBER(VLOOKUP($A31,Rezepte,MATCH(Produktionsmenge!AN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AN$5,Rezepte!$5:$5,0),0),""),"")</f>
        <v/>
      </c>
      <c r="AO31" s="24" t="str">
        <f ca="1">IF(LEN($A31)&gt;0,IF(AND(ISNUMBER(VLOOKUP($A31,Rezepte,MATCH(Produktionsmenge!AO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AO$5,Rezepte!$5:$5,0),0),""),"")</f>
        <v/>
      </c>
      <c r="AP31" s="24" t="str">
        <f ca="1">IF(LEN($A31)&gt;0,IF(AND(ISNUMBER(VLOOKUP($A31,Rezepte,MATCH(Produktionsmenge!AP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AP$5,Rezepte!$5:$5,0),0),""),"")</f>
        <v/>
      </c>
      <c r="AQ31" s="24" t="str">
        <f ca="1">IF(LEN($A31)&gt;0,IF(AND(ISNUMBER(VLOOKUP($A31,Rezepte,MATCH(Produktionsmenge!AQ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AQ$5,Rezepte!$5:$5,0),0),""),"")</f>
        <v/>
      </c>
      <c r="AR31" s="24" t="str">
        <f ca="1">IF(LEN($A31)&gt;0,IF(AND(ISNUMBER(VLOOKUP($A31,Rezepte,MATCH(Produktionsmenge!AR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AR$5,Rezepte!$5:$5,0),0),""),"")</f>
        <v/>
      </c>
      <c r="AS31" s="24" t="str">
        <f ca="1">IF(LEN($A31)&gt;0,IF(AND(ISNUMBER(VLOOKUP($A31,Rezepte,MATCH(Produktionsmenge!AS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AS$5,Rezepte!$5:$5,0),0),""),"")</f>
        <v/>
      </c>
      <c r="AT31" s="24" t="str">
        <f ca="1">IF(LEN($A31)&gt;0,IF(AND(ISNUMBER(VLOOKUP($A31,Rezepte,MATCH(Produktionsmenge!AT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AT$5,Rezepte!$5:$5,0),0),""),"")</f>
        <v/>
      </c>
      <c r="AU31" s="24" t="str">
        <f ca="1">IF(LEN($A31)&gt;0,IF(AND(ISNUMBER(VLOOKUP($A31,Rezepte,MATCH(Produktionsmenge!AU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AU$5,Rezepte!$5:$5,0),0),""),"")</f>
        <v/>
      </c>
      <c r="AV31" s="24" t="str">
        <f ca="1">IF(LEN($A31)&gt;0,IF(AND(ISNUMBER(VLOOKUP($A31,Rezepte,MATCH(Produktionsmenge!AV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AV$5,Rezepte!$5:$5,0),0),""),"")</f>
        <v/>
      </c>
      <c r="AW31" s="24" t="str">
        <f ca="1">IF(LEN($A31)&gt;0,IF(AND(ISNUMBER(VLOOKUP($A31,Rezepte,MATCH(Produktionsmenge!AW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AW$5,Rezepte!$5:$5,0),0),""),"")</f>
        <v/>
      </c>
      <c r="AX31" s="24" t="str">
        <f ca="1">IF(LEN($A31)&gt;0,IF(AND(ISNUMBER(VLOOKUP($A31,Rezepte,MATCH(Produktionsmenge!AX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AX$5,Rezepte!$5:$5,0),0),""),"")</f>
        <v/>
      </c>
      <c r="AY31" s="24" t="str">
        <f ca="1">IF(LEN($A31)&gt;0,IF(AND(ISNUMBER(VLOOKUP($A31,Rezepte,MATCH(Produktionsmenge!AY$5,Rezepte!$5:$5,0),0)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&gt;0),SUM(OFFSET(Bestellungen!$A$5,1,MATCH(IF(ISNUMBER(SEARCH("(",$A31)),LEFT($A31,SEARCH("(",$A31)-2),$A31),Bestellungen!$A$5:$AJ$5,0)-1):OFFSET(Bestellungen!$A$5,COUNTA(Bestellungen!$A$6:$A$1048576),MATCH(IF(ISNUMBER(SEARCH("(",$A31)),LEFT($A31,SEARCH("(",$A31)-2),$A31),Bestellungen!$A$5:$AJ$5,0)-1))*VLOOKUP($A31,Rezepte,MATCH(Produktionsmenge!AY$5,Rezepte!$5:$5,0),0),""),"")</f>
        <v/>
      </c>
    </row>
    <row r="32" spans="1:51" x14ac:dyDescent="0.25">
      <c r="A32" t="str">
        <f t="array" ref="A32">IFERROR(INDEX(Rezepte!$A$6:$A$100,MATCH(1,(COUNTIF(A$6:A31,Rezepte!A$6:A$100)=0)*(Rezepte!A$6:A$100&lt;&gt;""),0)),"")</f>
        <v/>
      </c>
      <c r="B32" s="24" t="str">
        <f ca="1">IF(LEN($A32)&gt;0,IF(AND(ISNUMBER(VLOOKUP($A32,Rezepte,MATCH(Produktionsmenge!B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B$5,Rezepte!$5:$5,0),0),""),"")</f>
        <v/>
      </c>
      <c r="C32" s="24" t="str">
        <f ca="1">IF(LEN($A32)&gt;0,IF(AND(ISNUMBER(VLOOKUP($A32,Rezepte,MATCH(Produktionsmenge!C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C$5,Rezepte!$5:$5,0),0),""),"")</f>
        <v/>
      </c>
      <c r="D32" s="24" t="str">
        <f ca="1">IF(LEN($A32)&gt;0,IF(AND(ISNUMBER(VLOOKUP($A32,Rezepte,MATCH(Produktionsmenge!D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D$5,Rezepte!$5:$5,0),0),""),"")</f>
        <v/>
      </c>
      <c r="E32" s="24" t="str">
        <f ca="1">IF(LEN($A32)&gt;0,IF(AND(ISNUMBER(VLOOKUP($A32,Rezepte,MATCH(Produktionsmenge!E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E$5,Rezepte!$5:$5,0),0),""),"")</f>
        <v/>
      </c>
      <c r="F32" s="24" t="str">
        <f ca="1">IF(LEN($A32)&gt;0,IF(AND(ISNUMBER(VLOOKUP($A32,Rezepte,MATCH(Produktionsmenge!F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F$5,Rezepte!$5:$5,0),0),""),"")</f>
        <v/>
      </c>
      <c r="G32" s="24" t="str">
        <f ca="1">IF(LEN($A32)&gt;0,IF(AND(ISNUMBER(VLOOKUP($A32,Rezepte,MATCH(Produktionsmenge!G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G$5,Rezepte!$5:$5,0),0),""),"")</f>
        <v/>
      </c>
      <c r="H32" s="24" t="str">
        <f ca="1">IF(LEN($A32)&gt;0,IF(AND(ISNUMBER(VLOOKUP($A32,Rezepte,MATCH(Produktionsmenge!H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H$5,Rezepte!$5:$5,0),0),""),"")</f>
        <v/>
      </c>
      <c r="I32" s="24" t="str">
        <f ca="1">IF(LEN($A32)&gt;0,IF(AND(ISNUMBER(VLOOKUP($A32,Rezepte,MATCH(Produktionsmenge!I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I$5,Rezepte!$5:$5,0),0),""),"")</f>
        <v/>
      </c>
      <c r="J32" s="24" t="str">
        <f ca="1">IF(LEN($A32)&gt;0,IF(AND(ISNUMBER(VLOOKUP($A32,Rezepte,MATCH(Produktionsmenge!J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J$5,Rezepte!$5:$5,0),0),""),"")</f>
        <v/>
      </c>
      <c r="K32" s="24" t="str">
        <f ca="1">IF(LEN($A32)&gt;0,IF(AND(ISNUMBER(VLOOKUP($A32,Rezepte,MATCH(Produktionsmenge!K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K$5,Rezepte!$5:$5,0),0),""),"")</f>
        <v/>
      </c>
      <c r="L32" s="24" t="str">
        <f ca="1">IF(LEN($A32)&gt;0,IF(AND(ISNUMBER(VLOOKUP($A32,Rezepte,MATCH(Produktionsmenge!L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L$5,Rezepte!$5:$5,0),0),""),"")</f>
        <v/>
      </c>
      <c r="M32" s="24" t="str">
        <f ca="1">IF(LEN($A32)&gt;0,IF(AND(ISNUMBER(VLOOKUP($A32,Rezepte,MATCH(Produktionsmenge!M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M$5,Rezepte!$5:$5,0),0),""),"")</f>
        <v/>
      </c>
      <c r="N32" s="24" t="str">
        <f ca="1">IF(LEN($A32)&gt;0,IF(AND(ISNUMBER(VLOOKUP($A32,Rezepte,MATCH(Produktionsmenge!N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N$5,Rezepte!$5:$5,0),0),""),"")</f>
        <v/>
      </c>
      <c r="O32" s="24" t="str">
        <f ca="1">IF(LEN($A32)&gt;0,IF(AND(ISNUMBER(VLOOKUP($A32,Rezepte,MATCH(Produktionsmenge!O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O$5,Rezepte!$5:$5,0),0),""),"")</f>
        <v/>
      </c>
      <c r="P32" s="24" t="str">
        <f ca="1">IF(LEN($A32)&gt;0,IF(AND(ISNUMBER(VLOOKUP($A32,Rezepte,MATCH(Produktionsmenge!P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P$5,Rezepte!$5:$5,0),0),""),"")</f>
        <v/>
      </c>
      <c r="Q32" s="24" t="str">
        <f ca="1">IF(LEN($A32)&gt;0,IF(AND(ISNUMBER(VLOOKUP($A32,Rezepte,MATCH(Produktionsmenge!Q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Q$5,Rezepte!$5:$5,0),0),""),"")</f>
        <v/>
      </c>
      <c r="R32" s="24" t="str">
        <f ca="1">IF(LEN($A32)&gt;0,IF(AND(ISNUMBER(VLOOKUP($A32,Rezepte,MATCH(Produktionsmenge!R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R$5,Rezepte!$5:$5,0),0),""),"")</f>
        <v/>
      </c>
      <c r="S32" s="24" t="str">
        <f ca="1">IF(LEN($A32)&gt;0,IF(AND(ISNUMBER(VLOOKUP($A32,Rezepte,MATCH(Produktionsmenge!S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S$5,Rezepte!$5:$5,0),0),""),"")</f>
        <v/>
      </c>
      <c r="T32" s="24" t="str">
        <f ca="1">IF(LEN($A32)&gt;0,IF(AND(ISNUMBER(VLOOKUP($A32,Rezepte,MATCH(Produktionsmenge!T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T$5,Rezepte!$5:$5,0),0),""),"")</f>
        <v/>
      </c>
      <c r="U32" s="24" t="str">
        <f ca="1">IF(LEN($A32)&gt;0,IF(AND(ISNUMBER(VLOOKUP($A32,Rezepte,MATCH(Produktionsmenge!U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U$5,Rezepte!$5:$5,0),0),""),"")</f>
        <v/>
      </c>
      <c r="V32" s="24" t="str">
        <f ca="1">IF(LEN($A32)&gt;0,IF(AND(ISNUMBER(VLOOKUP($A32,Rezepte,MATCH(Produktionsmenge!V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V$5,Rezepte!$5:$5,0),0),""),"")</f>
        <v/>
      </c>
      <c r="W32" s="24" t="str">
        <f ca="1">IF(LEN($A32)&gt;0,IF(AND(ISNUMBER(VLOOKUP($A32,Rezepte,MATCH(Produktionsmenge!W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W$5,Rezepte!$5:$5,0),0),""),"")</f>
        <v/>
      </c>
      <c r="X32" s="24" t="str">
        <f ca="1">IF(LEN($A32)&gt;0,IF(AND(ISNUMBER(VLOOKUP($A32,Rezepte,MATCH(Produktionsmenge!X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X$5,Rezepte!$5:$5,0),0),""),"")</f>
        <v/>
      </c>
      <c r="Y32" s="24" t="str">
        <f ca="1">IF(LEN($A32)&gt;0,IF(AND(ISNUMBER(VLOOKUP($A32,Rezepte,MATCH(Produktionsmenge!Y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Y$5,Rezepte!$5:$5,0),0),""),"")</f>
        <v/>
      </c>
      <c r="Z32" s="24" t="str">
        <f ca="1">IF(LEN($A32)&gt;0,IF(AND(ISNUMBER(VLOOKUP($A32,Rezepte,MATCH(Produktionsmenge!Z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Z$5,Rezepte!$5:$5,0),0),""),"")</f>
        <v/>
      </c>
      <c r="AA32" s="24" t="str">
        <f ca="1">IF(LEN($A32)&gt;0,IF(AND(ISNUMBER(VLOOKUP($A32,Rezepte,MATCH(Produktionsmenge!AA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AA$5,Rezepte!$5:$5,0),0),""),"")</f>
        <v/>
      </c>
      <c r="AB32" s="24" t="str">
        <f ca="1">IF(LEN($A32)&gt;0,IF(AND(ISNUMBER(VLOOKUP($A32,Rezepte,MATCH(Produktionsmenge!AB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AB$5,Rezepte!$5:$5,0),0),""),"")</f>
        <v/>
      </c>
      <c r="AC32" s="24" t="str">
        <f ca="1">IF(LEN($A32)&gt;0,IF(AND(ISNUMBER(VLOOKUP($A32,Rezepte,MATCH(Produktionsmenge!AC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AC$5,Rezepte!$5:$5,0),0),""),"")</f>
        <v/>
      </c>
      <c r="AD32" s="24" t="str">
        <f ca="1">IF(LEN($A32)&gt;0,IF(AND(ISNUMBER(VLOOKUP($A32,Rezepte,MATCH(Produktionsmenge!AD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AD$5,Rezepte!$5:$5,0),0),""),"")</f>
        <v/>
      </c>
      <c r="AE32" s="24" t="str">
        <f ca="1">IF(LEN($A32)&gt;0,IF(AND(ISNUMBER(VLOOKUP($A32,Rezepte,MATCH(Produktionsmenge!AE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AE$5,Rezepte!$5:$5,0),0),""),"")</f>
        <v/>
      </c>
      <c r="AF32" s="24" t="str">
        <f ca="1">IF(LEN($A32)&gt;0,IF(AND(ISNUMBER(VLOOKUP($A32,Rezepte,MATCH(Produktionsmenge!AF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AF$5,Rezepte!$5:$5,0),0),""),"")</f>
        <v/>
      </c>
      <c r="AG32" s="24" t="str">
        <f ca="1">IF(LEN($A32)&gt;0,IF(AND(ISNUMBER(VLOOKUP($A32,Rezepte,MATCH(Produktionsmenge!AG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AG$5,Rezepte!$5:$5,0),0),""),"")</f>
        <v/>
      </c>
      <c r="AH32" s="24" t="str">
        <f ca="1">IF(LEN($A32)&gt;0,IF(AND(ISNUMBER(VLOOKUP($A32,Rezepte,MATCH(Produktionsmenge!AH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AH$5,Rezepte!$5:$5,0),0),""),"")</f>
        <v/>
      </c>
      <c r="AI32" s="24" t="str">
        <f ca="1">IF(LEN($A32)&gt;0,IF(AND(ISNUMBER(VLOOKUP($A32,Rezepte,MATCH(Produktionsmenge!AI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AI$5,Rezepte!$5:$5,0),0),""),"")</f>
        <v/>
      </c>
      <c r="AJ32" s="24" t="str">
        <f ca="1">IF(LEN($A32)&gt;0,IF(AND(ISNUMBER(VLOOKUP($A32,Rezepte,MATCH(Produktionsmenge!AJ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AJ$5,Rezepte!$5:$5,0),0),""),"")</f>
        <v/>
      </c>
      <c r="AK32" s="24" t="str">
        <f ca="1">IF(LEN($A32)&gt;0,IF(AND(ISNUMBER(VLOOKUP($A32,Rezepte,MATCH(Produktionsmenge!AK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AK$5,Rezepte!$5:$5,0),0),""),"")</f>
        <v/>
      </c>
      <c r="AL32" s="24" t="str">
        <f ca="1">IF(LEN($A32)&gt;0,IF(AND(ISNUMBER(VLOOKUP($A32,Rezepte,MATCH(Produktionsmenge!AL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AL$5,Rezepte!$5:$5,0),0),""),"")</f>
        <v/>
      </c>
      <c r="AM32" s="24" t="str">
        <f ca="1">IF(LEN($A32)&gt;0,IF(AND(ISNUMBER(VLOOKUP($A32,Rezepte,MATCH(Produktionsmenge!AM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AM$5,Rezepte!$5:$5,0),0),""),"")</f>
        <v/>
      </c>
      <c r="AN32" s="24" t="str">
        <f ca="1">IF(LEN($A32)&gt;0,IF(AND(ISNUMBER(VLOOKUP($A32,Rezepte,MATCH(Produktionsmenge!AN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AN$5,Rezepte!$5:$5,0),0),""),"")</f>
        <v/>
      </c>
      <c r="AO32" s="24" t="str">
        <f ca="1">IF(LEN($A32)&gt;0,IF(AND(ISNUMBER(VLOOKUP($A32,Rezepte,MATCH(Produktionsmenge!AO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AO$5,Rezepte!$5:$5,0),0),""),"")</f>
        <v/>
      </c>
      <c r="AP32" s="24" t="str">
        <f ca="1">IF(LEN($A32)&gt;0,IF(AND(ISNUMBER(VLOOKUP($A32,Rezepte,MATCH(Produktionsmenge!AP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AP$5,Rezepte!$5:$5,0),0),""),"")</f>
        <v/>
      </c>
      <c r="AQ32" s="24" t="str">
        <f ca="1">IF(LEN($A32)&gt;0,IF(AND(ISNUMBER(VLOOKUP($A32,Rezepte,MATCH(Produktionsmenge!AQ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AQ$5,Rezepte!$5:$5,0),0),""),"")</f>
        <v/>
      </c>
      <c r="AR32" s="24" t="str">
        <f ca="1">IF(LEN($A32)&gt;0,IF(AND(ISNUMBER(VLOOKUP($A32,Rezepte,MATCH(Produktionsmenge!AR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AR$5,Rezepte!$5:$5,0),0),""),"")</f>
        <v/>
      </c>
      <c r="AS32" s="24" t="str">
        <f ca="1">IF(LEN($A32)&gt;0,IF(AND(ISNUMBER(VLOOKUP($A32,Rezepte,MATCH(Produktionsmenge!AS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AS$5,Rezepte!$5:$5,0),0),""),"")</f>
        <v/>
      </c>
      <c r="AT32" s="24" t="str">
        <f ca="1">IF(LEN($A32)&gt;0,IF(AND(ISNUMBER(VLOOKUP($A32,Rezepte,MATCH(Produktionsmenge!AT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AT$5,Rezepte!$5:$5,0),0),""),"")</f>
        <v/>
      </c>
      <c r="AU32" s="24" t="str">
        <f ca="1">IF(LEN($A32)&gt;0,IF(AND(ISNUMBER(VLOOKUP($A32,Rezepte,MATCH(Produktionsmenge!AU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AU$5,Rezepte!$5:$5,0),0),""),"")</f>
        <v/>
      </c>
      <c r="AV32" s="24" t="str">
        <f ca="1">IF(LEN($A32)&gt;0,IF(AND(ISNUMBER(VLOOKUP($A32,Rezepte,MATCH(Produktionsmenge!AV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AV$5,Rezepte!$5:$5,0),0),""),"")</f>
        <v/>
      </c>
      <c r="AW32" s="24" t="str">
        <f ca="1">IF(LEN($A32)&gt;0,IF(AND(ISNUMBER(VLOOKUP($A32,Rezepte,MATCH(Produktionsmenge!AW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AW$5,Rezepte!$5:$5,0),0),""),"")</f>
        <v/>
      </c>
      <c r="AX32" s="24" t="str">
        <f ca="1">IF(LEN($A32)&gt;0,IF(AND(ISNUMBER(VLOOKUP($A32,Rezepte,MATCH(Produktionsmenge!AX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AX$5,Rezepte!$5:$5,0),0),""),"")</f>
        <v/>
      </c>
      <c r="AY32" s="24" t="str">
        <f ca="1">IF(LEN($A32)&gt;0,IF(AND(ISNUMBER(VLOOKUP($A32,Rezepte,MATCH(Produktionsmenge!AY$5,Rezepte!$5:$5,0),0)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&gt;0),SUM(OFFSET(Bestellungen!$A$5,1,MATCH(IF(ISNUMBER(SEARCH("(",$A32)),LEFT($A32,SEARCH("(",$A32)-2),$A32),Bestellungen!$A$5:$AJ$5,0)-1):OFFSET(Bestellungen!$A$5,COUNTA(Bestellungen!$A$6:$A$1048576),MATCH(IF(ISNUMBER(SEARCH("(",$A32)),LEFT($A32,SEARCH("(",$A32)-2),$A32),Bestellungen!$A$5:$AJ$5,0)-1))*VLOOKUP($A32,Rezepte,MATCH(Produktionsmenge!AY$5,Rezepte!$5:$5,0),0),""),"")</f>
        <v/>
      </c>
    </row>
    <row r="33" spans="1:51" x14ac:dyDescent="0.25">
      <c r="A33" t="str">
        <f t="array" ref="A33">IFERROR(INDEX(Rezepte!$A$6:$A$100,MATCH(1,(COUNTIF(A$6:A32,Rezepte!A$6:A$100)=0)*(Rezepte!A$6:A$100&lt;&gt;""),0)),"")</f>
        <v/>
      </c>
      <c r="B33" s="24" t="str">
        <f ca="1">IF(LEN($A33)&gt;0,IF(AND(ISNUMBER(VLOOKUP($A33,Rezepte,MATCH(Produktionsmenge!B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B$5,Rezepte!$5:$5,0),0),""),"")</f>
        <v/>
      </c>
      <c r="C33" s="24" t="str">
        <f ca="1">IF(LEN($A33)&gt;0,IF(AND(ISNUMBER(VLOOKUP($A33,Rezepte,MATCH(Produktionsmenge!C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C$5,Rezepte!$5:$5,0),0),""),"")</f>
        <v/>
      </c>
      <c r="D33" s="24" t="str">
        <f ca="1">IF(LEN($A33)&gt;0,IF(AND(ISNUMBER(VLOOKUP($A33,Rezepte,MATCH(Produktionsmenge!D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D$5,Rezepte!$5:$5,0),0),""),"")</f>
        <v/>
      </c>
      <c r="E33" s="24" t="str">
        <f ca="1">IF(LEN($A33)&gt;0,IF(AND(ISNUMBER(VLOOKUP($A33,Rezepte,MATCH(Produktionsmenge!E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E$5,Rezepte!$5:$5,0),0),""),"")</f>
        <v/>
      </c>
      <c r="F33" s="24" t="str">
        <f ca="1">IF(LEN($A33)&gt;0,IF(AND(ISNUMBER(VLOOKUP($A33,Rezepte,MATCH(Produktionsmenge!F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F$5,Rezepte!$5:$5,0),0),""),"")</f>
        <v/>
      </c>
      <c r="G33" s="24" t="str">
        <f ca="1">IF(LEN($A33)&gt;0,IF(AND(ISNUMBER(VLOOKUP($A33,Rezepte,MATCH(Produktionsmenge!G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G$5,Rezepte!$5:$5,0),0),""),"")</f>
        <v/>
      </c>
      <c r="H33" s="24" t="str">
        <f ca="1">IF(LEN($A33)&gt;0,IF(AND(ISNUMBER(VLOOKUP($A33,Rezepte,MATCH(Produktionsmenge!H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H$5,Rezepte!$5:$5,0),0),""),"")</f>
        <v/>
      </c>
      <c r="I33" s="24" t="str">
        <f ca="1">IF(LEN($A33)&gt;0,IF(AND(ISNUMBER(VLOOKUP($A33,Rezepte,MATCH(Produktionsmenge!I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I$5,Rezepte!$5:$5,0),0),""),"")</f>
        <v/>
      </c>
      <c r="J33" s="24" t="str">
        <f ca="1">IF(LEN($A33)&gt;0,IF(AND(ISNUMBER(VLOOKUP($A33,Rezepte,MATCH(Produktionsmenge!J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J$5,Rezepte!$5:$5,0),0),""),"")</f>
        <v/>
      </c>
      <c r="K33" s="24" t="str">
        <f ca="1">IF(LEN($A33)&gt;0,IF(AND(ISNUMBER(VLOOKUP($A33,Rezepte,MATCH(Produktionsmenge!K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K$5,Rezepte!$5:$5,0),0),""),"")</f>
        <v/>
      </c>
      <c r="L33" s="24" t="str">
        <f ca="1">IF(LEN($A33)&gt;0,IF(AND(ISNUMBER(VLOOKUP($A33,Rezepte,MATCH(Produktionsmenge!L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L$5,Rezepte!$5:$5,0),0),""),"")</f>
        <v/>
      </c>
      <c r="M33" s="24" t="str">
        <f ca="1">IF(LEN($A33)&gt;0,IF(AND(ISNUMBER(VLOOKUP($A33,Rezepte,MATCH(Produktionsmenge!M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M$5,Rezepte!$5:$5,0),0),""),"")</f>
        <v/>
      </c>
      <c r="N33" s="24" t="str">
        <f ca="1">IF(LEN($A33)&gt;0,IF(AND(ISNUMBER(VLOOKUP($A33,Rezepte,MATCH(Produktionsmenge!N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N$5,Rezepte!$5:$5,0),0),""),"")</f>
        <v/>
      </c>
      <c r="O33" s="24" t="str">
        <f ca="1">IF(LEN($A33)&gt;0,IF(AND(ISNUMBER(VLOOKUP($A33,Rezepte,MATCH(Produktionsmenge!O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O$5,Rezepte!$5:$5,0),0),""),"")</f>
        <v/>
      </c>
      <c r="P33" s="24" t="str">
        <f ca="1">IF(LEN($A33)&gt;0,IF(AND(ISNUMBER(VLOOKUP($A33,Rezepte,MATCH(Produktionsmenge!P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P$5,Rezepte!$5:$5,0),0),""),"")</f>
        <v/>
      </c>
      <c r="Q33" s="24" t="str">
        <f ca="1">IF(LEN($A33)&gt;0,IF(AND(ISNUMBER(VLOOKUP($A33,Rezepte,MATCH(Produktionsmenge!Q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Q$5,Rezepte!$5:$5,0),0),""),"")</f>
        <v/>
      </c>
      <c r="R33" s="24" t="str">
        <f ca="1">IF(LEN($A33)&gt;0,IF(AND(ISNUMBER(VLOOKUP($A33,Rezepte,MATCH(Produktionsmenge!R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R$5,Rezepte!$5:$5,0),0),""),"")</f>
        <v/>
      </c>
      <c r="S33" s="24" t="str">
        <f ca="1">IF(LEN($A33)&gt;0,IF(AND(ISNUMBER(VLOOKUP($A33,Rezepte,MATCH(Produktionsmenge!S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S$5,Rezepte!$5:$5,0),0),""),"")</f>
        <v/>
      </c>
      <c r="T33" s="24" t="str">
        <f ca="1">IF(LEN($A33)&gt;0,IF(AND(ISNUMBER(VLOOKUP($A33,Rezepte,MATCH(Produktionsmenge!T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T$5,Rezepte!$5:$5,0),0),""),"")</f>
        <v/>
      </c>
      <c r="U33" s="24" t="str">
        <f ca="1">IF(LEN($A33)&gt;0,IF(AND(ISNUMBER(VLOOKUP($A33,Rezepte,MATCH(Produktionsmenge!U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U$5,Rezepte!$5:$5,0),0),""),"")</f>
        <v/>
      </c>
      <c r="V33" s="24" t="str">
        <f ca="1">IF(LEN($A33)&gt;0,IF(AND(ISNUMBER(VLOOKUP($A33,Rezepte,MATCH(Produktionsmenge!V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V$5,Rezepte!$5:$5,0),0),""),"")</f>
        <v/>
      </c>
      <c r="W33" s="24" t="str">
        <f ca="1">IF(LEN($A33)&gt;0,IF(AND(ISNUMBER(VLOOKUP($A33,Rezepte,MATCH(Produktionsmenge!W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W$5,Rezepte!$5:$5,0),0),""),"")</f>
        <v/>
      </c>
      <c r="X33" s="24" t="str">
        <f ca="1">IF(LEN($A33)&gt;0,IF(AND(ISNUMBER(VLOOKUP($A33,Rezepte,MATCH(Produktionsmenge!X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X$5,Rezepte!$5:$5,0),0),""),"")</f>
        <v/>
      </c>
      <c r="Y33" s="24" t="str">
        <f ca="1">IF(LEN($A33)&gt;0,IF(AND(ISNUMBER(VLOOKUP($A33,Rezepte,MATCH(Produktionsmenge!Y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Y$5,Rezepte!$5:$5,0),0),""),"")</f>
        <v/>
      </c>
      <c r="Z33" s="24" t="str">
        <f ca="1">IF(LEN($A33)&gt;0,IF(AND(ISNUMBER(VLOOKUP($A33,Rezepte,MATCH(Produktionsmenge!Z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Z$5,Rezepte!$5:$5,0),0),""),"")</f>
        <v/>
      </c>
      <c r="AA33" s="24" t="str">
        <f ca="1">IF(LEN($A33)&gt;0,IF(AND(ISNUMBER(VLOOKUP($A33,Rezepte,MATCH(Produktionsmenge!AA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AA$5,Rezepte!$5:$5,0),0),""),"")</f>
        <v/>
      </c>
      <c r="AB33" s="24" t="str">
        <f ca="1">IF(LEN($A33)&gt;0,IF(AND(ISNUMBER(VLOOKUP($A33,Rezepte,MATCH(Produktionsmenge!AB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AB$5,Rezepte!$5:$5,0),0),""),"")</f>
        <v/>
      </c>
      <c r="AC33" s="24" t="str">
        <f ca="1">IF(LEN($A33)&gt;0,IF(AND(ISNUMBER(VLOOKUP($A33,Rezepte,MATCH(Produktionsmenge!AC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AC$5,Rezepte!$5:$5,0),0),""),"")</f>
        <v/>
      </c>
      <c r="AD33" s="24" t="str">
        <f ca="1">IF(LEN($A33)&gt;0,IF(AND(ISNUMBER(VLOOKUP($A33,Rezepte,MATCH(Produktionsmenge!AD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AD$5,Rezepte!$5:$5,0),0),""),"")</f>
        <v/>
      </c>
      <c r="AE33" s="24" t="str">
        <f ca="1">IF(LEN($A33)&gt;0,IF(AND(ISNUMBER(VLOOKUP($A33,Rezepte,MATCH(Produktionsmenge!AE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AE$5,Rezepte!$5:$5,0),0),""),"")</f>
        <v/>
      </c>
      <c r="AF33" s="24" t="str">
        <f ca="1">IF(LEN($A33)&gt;0,IF(AND(ISNUMBER(VLOOKUP($A33,Rezepte,MATCH(Produktionsmenge!AF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AF$5,Rezepte!$5:$5,0),0),""),"")</f>
        <v/>
      </c>
      <c r="AG33" s="24" t="str">
        <f ca="1">IF(LEN($A33)&gt;0,IF(AND(ISNUMBER(VLOOKUP($A33,Rezepte,MATCH(Produktionsmenge!AG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AG$5,Rezepte!$5:$5,0),0),""),"")</f>
        <v/>
      </c>
      <c r="AH33" s="24" t="str">
        <f ca="1">IF(LEN($A33)&gt;0,IF(AND(ISNUMBER(VLOOKUP($A33,Rezepte,MATCH(Produktionsmenge!AH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AH$5,Rezepte!$5:$5,0),0),""),"")</f>
        <v/>
      </c>
      <c r="AI33" s="24" t="str">
        <f ca="1">IF(LEN($A33)&gt;0,IF(AND(ISNUMBER(VLOOKUP($A33,Rezepte,MATCH(Produktionsmenge!AI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AI$5,Rezepte!$5:$5,0),0),""),"")</f>
        <v/>
      </c>
      <c r="AJ33" s="24" t="str">
        <f ca="1">IF(LEN($A33)&gt;0,IF(AND(ISNUMBER(VLOOKUP($A33,Rezepte,MATCH(Produktionsmenge!AJ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AJ$5,Rezepte!$5:$5,0),0),""),"")</f>
        <v/>
      </c>
      <c r="AK33" s="24" t="str">
        <f ca="1">IF(LEN($A33)&gt;0,IF(AND(ISNUMBER(VLOOKUP($A33,Rezepte,MATCH(Produktionsmenge!AK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AK$5,Rezepte!$5:$5,0),0),""),"")</f>
        <v/>
      </c>
      <c r="AL33" s="24" t="str">
        <f ca="1">IF(LEN($A33)&gt;0,IF(AND(ISNUMBER(VLOOKUP($A33,Rezepte,MATCH(Produktionsmenge!AL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AL$5,Rezepte!$5:$5,0),0),""),"")</f>
        <v/>
      </c>
      <c r="AM33" s="24" t="str">
        <f ca="1">IF(LEN($A33)&gt;0,IF(AND(ISNUMBER(VLOOKUP($A33,Rezepte,MATCH(Produktionsmenge!AM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AM$5,Rezepte!$5:$5,0),0),""),"")</f>
        <v/>
      </c>
      <c r="AN33" s="24" t="str">
        <f ca="1">IF(LEN($A33)&gt;0,IF(AND(ISNUMBER(VLOOKUP($A33,Rezepte,MATCH(Produktionsmenge!AN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AN$5,Rezepte!$5:$5,0),0),""),"")</f>
        <v/>
      </c>
      <c r="AO33" s="24" t="str">
        <f ca="1">IF(LEN($A33)&gt;0,IF(AND(ISNUMBER(VLOOKUP($A33,Rezepte,MATCH(Produktionsmenge!AO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AO$5,Rezepte!$5:$5,0),0),""),"")</f>
        <v/>
      </c>
      <c r="AP33" s="24" t="str">
        <f ca="1">IF(LEN($A33)&gt;0,IF(AND(ISNUMBER(VLOOKUP($A33,Rezepte,MATCH(Produktionsmenge!AP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AP$5,Rezepte!$5:$5,0),0),""),"")</f>
        <v/>
      </c>
      <c r="AQ33" s="24" t="str">
        <f ca="1">IF(LEN($A33)&gt;0,IF(AND(ISNUMBER(VLOOKUP($A33,Rezepte,MATCH(Produktionsmenge!AQ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AQ$5,Rezepte!$5:$5,0),0),""),"")</f>
        <v/>
      </c>
      <c r="AR33" s="24" t="str">
        <f ca="1">IF(LEN($A33)&gt;0,IF(AND(ISNUMBER(VLOOKUP($A33,Rezepte,MATCH(Produktionsmenge!AR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AR$5,Rezepte!$5:$5,0),0),""),"")</f>
        <v/>
      </c>
      <c r="AS33" s="24" t="str">
        <f ca="1">IF(LEN($A33)&gt;0,IF(AND(ISNUMBER(VLOOKUP($A33,Rezepte,MATCH(Produktionsmenge!AS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AS$5,Rezepte!$5:$5,0),0),""),"")</f>
        <v/>
      </c>
      <c r="AT33" s="24" t="str">
        <f ca="1">IF(LEN($A33)&gt;0,IF(AND(ISNUMBER(VLOOKUP($A33,Rezepte,MATCH(Produktionsmenge!AT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AT$5,Rezepte!$5:$5,0),0),""),"")</f>
        <v/>
      </c>
      <c r="AU33" s="24" t="str">
        <f ca="1">IF(LEN($A33)&gt;0,IF(AND(ISNUMBER(VLOOKUP($A33,Rezepte,MATCH(Produktionsmenge!AU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AU$5,Rezepte!$5:$5,0),0),""),"")</f>
        <v/>
      </c>
      <c r="AV33" s="24" t="str">
        <f ca="1">IF(LEN($A33)&gt;0,IF(AND(ISNUMBER(VLOOKUP($A33,Rezepte,MATCH(Produktionsmenge!AV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AV$5,Rezepte!$5:$5,0),0),""),"")</f>
        <v/>
      </c>
      <c r="AW33" s="24" t="str">
        <f ca="1">IF(LEN($A33)&gt;0,IF(AND(ISNUMBER(VLOOKUP($A33,Rezepte,MATCH(Produktionsmenge!AW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AW$5,Rezepte!$5:$5,0),0),""),"")</f>
        <v/>
      </c>
      <c r="AX33" s="24" t="str">
        <f ca="1">IF(LEN($A33)&gt;0,IF(AND(ISNUMBER(VLOOKUP($A33,Rezepte,MATCH(Produktionsmenge!AX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AX$5,Rezepte!$5:$5,0),0),""),"")</f>
        <v/>
      </c>
      <c r="AY33" s="24" t="str">
        <f ca="1">IF(LEN($A33)&gt;0,IF(AND(ISNUMBER(VLOOKUP($A33,Rezepte,MATCH(Produktionsmenge!AY$5,Rezepte!$5:$5,0),0)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&gt;0),SUM(OFFSET(Bestellungen!$A$5,1,MATCH(IF(ISNUMBER(SEARCH("(",$A33)),LEFT($A33,SEARCH("(",$A33)-2),$A33),Bestellungen!$A$5:$AJ$5,0)-1):OFFSET(Bestellungen!$A$5,COUNTA(Bestellungen!$A$6:$A$1048576),MATCH(IF(ISNUMBER(SEARCH("(",$A33)),LEFT($A33,SEARCH("(",$A33)-2),$A33),Bestellungen!$A$5:$AJ$5,0)-1))*VLOOKUP($A33,Rezepte,MATCH(Produktionsmenge!AY$5,Rezepte!$5:$5,0),0),""),"")</f>
        <v/>
      </c>
    </row>
    <row r="34" spans="1:51" x14ac:dyDescent="0.25">
      <c r="A34" t="str">
        <f t="array" ref="A34">IFERROR(INDEX(Rezepte!$A$6:$A$100,MATCH(1,(COUNTIF(A$6:A33,Rezepte!A$6:A$100)=0)*(Rezepte!A$6:A$100&lt;&gt;""),0)),"")</f>
        <v/>
      </c>
      <c r="B34" s="24" t="str">
        <f ca="1">IF(LEN($A34)&gt;0,IF(AND(ISNUMBER(VLOOKUP($A34,Rezepte,MATCH(Produktionsmenge!B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B$5,Rezepte!$5:$5,0),0),""),"")</f>
        <v/>
      </c>
      <c r="C34" s="24" t="str">
        <f ca="1">IF(LEN($A34)&gt;0,IF(AND(ISNUMBER(VLOOKUP($A34,Rezepte,MATCH(Produktionsmenge!C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C$5,Rezepte!$5:$5,0),0),""),"")</f>
        <v/>
      </c>
      <c r="D34" s="24" t="str">
        <f ca="1">IF(LEN($A34)&gt;0,IF(AND(ISNUMBER(VLOOKUP($A34,Rezepte,MATCH(Produktionsmenge!D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D$5,Rezepte!$5:$5,0),0),""),"")</f>
        <v/>
      </c>
      <c r="E34" s="24" t="str">
        <f ca="1">IF(LEN($A34)&gt;0,IF(AND(ISNUMBER(VLOOKUP($A34,Rezepte,MATCH(Produktionsmenge!E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E$5,Rezepte!$5:$5,0),0),""),"")</f>
        <v/>
      </c>
      <c r="F34" s="24" t="str">
        <f ca="1">IF(LEN($A34)&gt;0,IF(AND(ISNUMBER(VLOOKUP($A34,Rezepte,MATCH(Produktionsmenge!F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F$5,Rezepte!$5:$5,0),0),""),"")</f>
        <v/>
      </c>
      <c r="G34" s="24" t="str">
        <f ca="1">IF(LEN($A34)&gt;0,IF(AND(ISNUMBER(VLOOKUP($A34,Rezepte,MATCH(Produktionsmenge!G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G$5,Rezepte!$5:$5,0),0),""),"")</f>
        <v/>
      </c>
      <c r="H34" s="24" t="str">
        <f ca="1">IF(LEN($A34)&gt;0,IF(AND(ISNUMBER(VLOOKUP($A34,Rezepte,MATCH(Produktionsmenge!H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H$5,Rezepte!$5:$5,0),0),""),"")</f>
        <v/>
      </c>
      <c r="I34" s="24" t="str">
        <f ca="1">IF(LEN($A34)&gt;0,IF(AND(ISNUMBER(VLOOKUP($A34,Rezepte,MATCH(Produktionsmenge!I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I$5,Rezepte!$5:$5,0),0),""),"")</f>
        <v/>
      </c>
      <c r="J34" s="24" t="str">
        <f ca="1">IF(LEN($A34)&gt;0,IF(AND(ISNUMBER(VLOOKUP($A34,Rezepte,MATCH(Produktionsmenge!J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J$5,Rezepte!$5:$5,0),0),""),"")</f>
        <v/>
      </c>
      <c r="K34" s="24" t="str">
        <f ca="1">IF(LEN($A34)&gt;0,IF(AND(ISNUMBER(VLOOKUP($A34,Rezepte,MATCH(Produktionsmenge!K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K$5,Rezepte!$5:$5,0),0),""),"")</f>
        <v/>
      </c>
      <c r="L34" s="24" t="str">
        <f ca="1">IF(LEN($A34)&gt;0,IF(AND(ISNUMBER(VLOOKUP($A34,Rezepte,MATCH(Produktionsmenge!L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L$5,Rezepte!$5:$5,0),0),""),"")</f>
        <v/>
      </c>
      <c r="M34" s="24" t="str">
        <f ca="1">IF(LEN($A34)&gt;0,IF(AND(ISNUMBER(VLOOKUP($A34,Rezepte,MATCH(Produktionsmenge!M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M$5,Rezepte!$5:$5,0),0),""),"")</f>
        <v/>
      </c>
      <c r="N34" s="24" t="str">
        <f ca="1">IF(LEN($A34)&gt;0,IF(AND(ISNUMBER(VLOOKUP($A34,Rezepte,MATCH(Produktionsmenge!N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N$5,Rezepte!$5:$5,0),0),""),"")</f>
        <v/>
      </c>
      <c r="O34" s="24" t="str">
        <f ca="1">IF(LEN($A34)&gt;0,IF(AND(ISNUMBER(VLOOKUP($A34,Rezepte,MATCH(Produktionsmenge!O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O$5,Rezepte!$5:$5,0),0),""),"")</f>
        <v/>
      </c>
      <c r="P34" s="24" t="str">
        <f ca="1">IF(LEN($A34)&gt;0,IF(AND(ISNUMBER(VLOOKUP($A34,Rezepte,MATCH(Produktionsmenge!P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P$5,Rezepte!$5:$5,0),0),""),"")</f>
        <v/>
      </c>
      <c r="Q34" s="24" t="str">
        <f ca="1">IF(LEN($A34)&gt;0,IF(AND(ISNUMBER(VLOOKUP($A34,Rezepte,MATCH(Produktionsmenge!Q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Q$5,Rezepte!$5:$5,0),0),""),"")</f>
        <v/>
      </c>
      <c r="R34" s="24" t="str">
        <f ca="1">IF(LEN($A34)&gt;0,IF(AND(ISNUMBER(VLOOKUP($A34,Rezepte,MATCH(Produktionsmenge!R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R$5,Rezepte!$5:$5,0),0),""),"")</f>
        <v/>
      </c>
      <c r="S34" s="24" t="str">
        <f ca="1">IF(LEN($A34)&gt;0,IF(AND(ISNUMBER(VLOOKUP($A34,Rezepte,MATCH(Produktionsmenge!S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S$5,Rezepte!$5:$5,0),0),""),"")</f>
        <v/>
      </c>
      <c r="T34" s="24" t="str">
        <f ca="1">IF(LEN($A34)&gt;0,IF(AND(ISNUMBER(VLOOKUP($A34,Rezepte,MATCH(Produktionsmenge!T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T$5,Rezepte!$5:$5,0),0),""),"")</f>
        <v/>
      </c>
      <c r="U34" s="24" t="str">
        <f ca="1">IF(LEN($A34)&gt;0,IF(AND(ISNUMBER(VLOOKUP($A34,Rezepte,MATCH(Produktionsmenge!U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U$5,Rezepte!$5:$5,0),0),""),"")</f>
        <v/>
      </c>
      <c r="V34" s="24" t="str">
        <f ca="1">IF(LEN($A34)&gt;0,IF(AND(ISNUMBER(VLOOKUP($A34,Rezepte,MATCH(Produktionsmenge!V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V$5,Rezepte!$5:$5,0),0),""),"")</f>
        <v/>
      </c>
      <c r="W34" s="24" t="str">
        <f ca="1">IF(LEN($A34)&gt;0,IF(AND(ISNUMBER(VLOOKUP($A34,Rezepte,MATCH(Produktionsmenge!W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W$5,Rezepte!$5:$5,0),0),""),"")</f>
        <v/>
      </c>
      <c r="X34" s="24" t="str">
        <f ca="1">IF(LEN($A34)&gt;0,IF(AND(ISNUMBER(VLOOKUP($A34,Rezepte,MATCH(Produktionsmenge!X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X$5,Rezepte!$5:$5,0),0),""),"")</f>
        <v/>
      </c>
      <c r="Y34" s="24" t="str">
        <f ca="1">IF(LEN($A34)&gt;0,IF(AND(ISNUMBER(VLOOKUP($A34,Rezepte,MATCH(Produktionsmenge!Y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Y$5,Rezepte!$5:$5,0),0),""),"")</f>
        <v/>
      </c>
      <c r="Z34" s="24" t="str">
        <f ca="1">IF(LEN($A34)&gt;0,IF(AND(ISNUMBER(VLOOKUP($A34,Rezepte,MATCH(Produktionsmenge!Z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Z$5,Rezepte!$5:$5,0),0),""),"")</f>
        <v/>
      </c>
      <c r="AA34" s="24" t="str">
        <f ca="1">IF(LEN($A34)&gt;0,IF(AND(ISNUMBER(VLOOKUP($A34,Rezepte,MATCH(Produktionsmenge!AA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AA$5,Rezepte!$5:$5,0),0),""),"")</f>
        <v/>
      </c>
      <c r="AB34" s="24" t="str">
        <f ca="1">IF(LEN($A34)&gt;0,IF(AND(ISNUMBER(VLOOKUP($A34,Rezepte,MATCH(Produktionsmenge!AB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AB$5,Rezepte!$5:$5,0),0),""),"")</f>
        <v/>
      </c>
      <c r="AC34" s="24" t="str">
        <f ca="1">IF(LEN($A34)&gt;0,IF(AND(ISNUMBER(VLOOKUP($A34,Rezepte,MATCH(Produktionsmenge!AC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AC$5,Rezepte!$5:$5,0),0),""),"")</f>
        <v/>
      </c>
      <c r="AD34" s="24" t="str">
        <f ca="1">IF(LEN($A34)&gt;0,IF(AND(ISNUMBER(VLOOKUP($A34,Rezepte,MATCH(Produktionsmenge!AD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AD$5,Rezepte!$5:$5,0),0),""),"")</f>
        <v/>
      </c>
      <c r="AE34" s="24" t="str">
        <f ca="1">IF(LEN($A34)&gt;0,IF(AND(ISNUMBER(VLOOKUP($A34,Rezepte,MATCH(Produktionsmenge!AE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AE$5,Rezepte!$5:$5,0),0),""),"")</f>
        <v/>
      </c>
      <c r="AF34" s="24" t="str">
        <f ca="1">IF(LEN($A34)&gt;0,IF(AND(ISNUMBER(VLOOKUP($A34,Rezepte,MATCH(Produktionsmenge!AF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AF$5,Rezepte!$5:$5,0),0),""),"")</f>
        <v/>
      </c>
      <c r="AG34" s="24" t="str">
        <f ca="1">IF(LEN($A34)&gt;0,IF(AND(ISNUMBER(VLOOKUP($A34,Rezepte,MATCH(Produktionsmenge!AG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AG$5,Rezepte!$5:$5,0),0),""),"")</f>
        <v/>
      </c>
      <c r="AH34" s="24" t="str">
        <f ca="1">IF(LEN($A34)&gt;0,IF(AND(ISNUMBER(VLOOKUP($A34,Rezepte,MATCH(Produktionsmenge!AH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AH$5,Rezepte!$5:$5,0),0),""),"")</f>
        <v/>
      </c>
      <c r="AI34" s="24" t="str">
        <f ca="1">IF(LEN($A34)&gt;0,IF(AND(ISNUMBER(VLOOKUP($A34,Rezepte,MATCH(Produktionsmenge!AI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AI$5,Rezepte!$5:$5,0),0),""),"")</f>
        <v/>
      </c>
      <c r="AJ34" s="24" t="str">
        <f ca="1">IF(LEN($A34)&gt;0,IF(AND(ISNUMBER(VLOOKUP($A34,Rezepte,MATCH(Produktionsmenge!AJ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AJ$5,Rezepte!$5:$5,0),0),""),"")</f>
        <v/>
      </c>
      <c r="AK34" s="24" t="str">
        <f ca="1">IF(LEN($A34)&gt;0,IF(AND(ISNUMBER(VLOOKUP($A34,Rezepte,MATCH(Produktionsmenge!AK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AK$5,Rezepte!$5:$5,0),0),""),"")</f>
        <v/>
      </c>
      <c r="AL34" s="24" t="str">
        <f ca="1">IF(LEN($A34)&gt;0,IF(AND(ISNUMBER(VLOOKUP($A34,Rezepte,MATCH(Produktionsmenge!AL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AL$5,Rezepte!$5:$5,0),0),""),"")</f>
        <v/>
      </c>
      <c r="AM34" s="24" t="str">
        <f ca="1">IF(LEN($A34)&gt;0,IF(AND(ISNUMBER(VLOOKUP($A34,Rezepte,MATCH(Produktionsmenge!AM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AM$5,Rezepte!$5:$5,0),0),""),"")</f>
        <v/>
      </c>
      <c r="AN34" s="24" t="str">
        <f ca="1">IF(LEN($A34)&gt;0,IF(AND(ISNUMBER(VLOOKUP($A34,Rezepte,MATCH(Produktionsmenge!AN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AN$5,Rezepte!$5:$5,0),0),""),"")</f>
        <v/>
      </c>
      <c r="AO34" s="24" t="str">
        <f ca="1">IF(LEN($A34)&gt;0,IF(AND(ISNUMBER(VLOOKUP($A34,Rezepte,MATCH(Produktionsmenge!AO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AO$5,Rezepte!$5:$5,0),0),""),"")</f>
        <v/>
      </c>
      <c r="AP34" s="24" t="str">
        <f ca="1">IF(LEN($A34)&gt;0,IF(AND(ISNUMBER(VLOOKUP($A34,Rezepte,MATCH(Produktionsmenge!AP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AP$5,Rezepte!$5:$5,0),0),""),"")</f>
        <v/>
      </c>
      <c r="AQ34" s="24" t="str">
        <f ca="1">IF(LEN($A34)&gt;0,IF(AND(ISNUMBER(VLOOKUP($A34,Rezepte,MATCH(Produktionsmenge!AQ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AQ$5,Rezepte!$5:$5,0),0),""),"")</f>
        <v/>
      </c>
      <c r="AR34" s="24" t="str">
        <f ca="1">IF(LEN($A34)&gt;0,IF(AND(ISNUMBER(VLOOKUP($A34,Rezepte,MATCH(Produktionsmenge!AR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AR$5,Rezepte!$5:$5,0),0),""),"")</f>
        <v/>
      </c>
      <c r="AS34" s="24" t="str">
        <f ca="1">IF(LEN($A34)&gt;0,IF(AND(ISNUMBER(VLOOKUP($A34,Rezepte,MATCH(Produktionsmenge!AS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AS$5,Rezepte!$5:$5,0),0),""),"")</f>
        <v/>
      </c>
      <c r="AT34" s="24" t="str">
        <f ca="1">IF(LEN($A34)&gt;0,IF(AND(ISNUMBER(VLOOKUP($A34,Rezepte,MATCH(Produktionsmenge!AT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AT$5,Rezepte!$5:$5,0),0),""),"")</f>
        <v/>
      </c>
      <c r="AU34" s="24" t="str">
        <f ca="1">IF(LEN($A34)&gt;0,IF(AND(ISNUMBER(VLOOKUP($A34,Rezepte,MATCH(Produktionsmenge!AU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AU$5,Rezepte!$5:$5,0),0),""),"")</f>
        <v/>
      </c>
      <c r="AV34" s="24" t="str">
        <f ca="1">IF(LEN($A34)&gt;0,IF(AND(ISNUMBER(VLOOKUP($A34,Rezepte,MATCH(Produktionsmenge!AV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AV$5,Rezepte!$5:$5,0),0),""),"")</f>
        <v/>
      </c>
      <c r="AW34" s="24" t="str">
        <f ca="1">IF(LEN($A34)&gt;0,IF(AND(ISNUMBER(VLOOKUP($A34,Rezepte,MATCH(Produktionsmenge!AW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AW$5,Rezepte!$5:$5,0),0),""),"")</f>
        <v/>
      </c>
      <c r="AX34" s="24" t="str">
        <f ca="1">IF(LEN($A34)&gt;0,IF(AND(ISNUMBER(VLOOKUP($A34,Rezepte,MATCH(Produktionsmenge!AX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AX$5,Rezepte!$5:$5,0),0),""),"")</f>
        <v/>
      </c>
      <c r="AY34" s="24" t="str">
        <f ca="1">IF(LEN($A34)&gt;0,IF(AND(ISNUMBER(VLOOKUP($A34,Rezepte,MATCH(Produktionsmenge!AY$5,Rezepte!$5:$5,0),0)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&gt;0),SUM(OFFSET(Bestellungen!$A$5,1,MATCH(IF(ISNUMBER(SEARCH("(",$A34)),LEFT($A34,SEARCH("(",$A34)-2),$A34),Bestellungen!$A$5:$AJ$5,0)-1):OFFSET(Bestellungen!$A$5,COUNTA(Bestellungen!$A$6:$A$1048576),MATCH(IF(ISNUMBER(SEARCH("(",$A34)),LEFT($A34,SEARCH("(",$A34)-2),$A34),Bestellungen!$A$5:$AJ$5,0)-1))*VLOOKUP($A34,Rezepte,MATCH(Produktionsmenge!AY$5,Rezepte!$5:$5,0),0),""),"")</f>
        <v/>
      </c>
    </row>
    <row r="35" spans="1:51" x14ac:dyDescent="0.25">
      <c r="A35" t="str">
        <f t="array" ref="A35">IFERROR(INDEX(Rezepte!$A$6:$A$100,MATCH(1,(COUNTIF(A$6:A34,Rezepte!A$6:A$100)=0)*(Rezepte!A$6:A$100&lt;&gt;""),0)),"")</f>
        <v/>
      </c>
      <c r="B35" s="24" t="str">
        <f ca="1">IF(LEN($A35)&gt;0,IF(AND(ISNUMBER(VLOOKUP($A35,Rezepte,MATCH(Produktionsmenge!B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B$5,Rezepte!$5:$5,0),0),""),"")</f>
        <v/>
      </c>
      <c r="C35" s="24" t="str">
        <f ca="1">IF(LEN($A35)&gt;0,IF(AND(ISNUMBER(VLOOKUP($A35,Rezepte,MATCH(Produktionsmenge!C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C$5,Rezepte!$5:$5,0),0),""),"")</f>
        <v/>
      </c>
      <c r="D35" s="24" t="str">
        <f ca="1">IF(LEN($A35)&gt;0,IF(AND(ISNUMBER(VLOOKUP($A35,Rezepte,MATCH(Produktionsmenge!D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D$5,Rezepte!$5:$5,0),0),""),"")</f>
        <v/>
      </c>
      <c r="E35" s="24" t="str">
        <f ca="1">IF(LEN($A35)&gt;0,IF(AND(ISNUMBER(VLOOKUP($A35,Rezepte,MATCH(Produktionsmenge!E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E$5,Rezepte!$5:$5,0),0),""),"")</f>
        <v/>
      </c>
      <c r="F35" s="24" t="str">
        <f ca="1">IF(LEN($A35)&gt;0,IF(AND(ISNUMBER(VLOOKUP($A35,Rezepte,MATCH(Produktionsmenge!F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F$5,Rezepte!$5:$5,0),0),""),"")</f>
        <v/>
      </c>
      <c r="G35" s="24" t="str">
        <f ca="1">IF(LEN($A35)&gt;0,IF(AND(ISNUMBER(VLOOKUP($A35,Rezepte,MATCH(Produktionsmenge!G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G$5,Rezepte!$5:$5,0),0),""),"")</f>
        <v/>
      </c>
      <c r="H35" s="24" t="str">
        <f ca="1">IF(LEN($A35)&gt;0,IF(AND(ISNUMBER(VLOOKUP($A35,Rezepte,MATCH(Produktionsmenge!H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H$5,Rezepte!$5:$5,0),0),""),"")</f>
        <v/>
      </c>
      <c r="I35" s="24" t="str">
        <f ca="1">IF(LEN($A35)&gt;0,IF(AND(ISNUMBER(VLOOKUP($A35,Rezepte,MATCH(Produktionsmenge!I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I$5,Rezepte!$5:$5,0),0),""),"")</f>
        <v/>
      </c>
      <c r="J35" s="24" t="str">
        <f ca="1">IF(LEN($A35)&gt;0,IF(AND(ISNUMBER(VLOOKUP($A35,Rezepte,MATCH(Produktionsmenge!J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J$5,Rezepte!$5:$5,0),0),""),"")</f>
        <v/>
      </c>
      <c r="K35" s="24" t="str">
        <f ca="1">IF(LEN($A35)&gt;0,IF(AND(ISNUMBER(VLOOKUP($A35,Rezepte,MATCH(Produktionsmenge!K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K$5,Rezepte!$5:$5,0),0),""),"")</f>
        <v/>
      </c>
      <c r="L35" s="24" t="str">
        <f ca="1">IF(LEN($A35)&gt;0,IF(AND(ISNUMBER(VLOOKUP($A35,Rezepte,MATCH(Produktionsmenge!L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L$5,Rezepte!$5:$5,0),0),""),"")</f>
        <v/>
      </c>
      <c r="M35" s="24" t="str">
        <f ca="1">IF(LEN($A35)&gt;0,IF(AND(ISNUMBER(VLOOKUP($A35,Rezepte,MATCH(Produktionsmenge!M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M$5,Rezepte!$5:$5,0),0),""),"")</f>
        <v/>
      </c>
      <c r="N35" s="24" t="str">
        <f ca="1">IF(LEN($A35)&gt;0,IF(AND(ISNUMBER(VLOOKUP($A35,Rezepte,MATCH(Produktionsmenge!N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N$5,Rezepte!$5:$5,0),0),""),"")</f>
        <v/>
      </c>
      <c r="O35" s="24" t="str">
        <f ca="1">IF(LEN($A35)&gt;0,IF(AND(ISNUMBER(VLOOKUP($A35,Rezepte,MATCH(Produktionsmenge!O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O$5,Rezepte!$5:$5,0),0),""),"")</f>
        <v/>
      </c>
      <c r="P35" s="24" t="str">
        <f ca="1">IF(LEN($A35)&gt;0,IF(AND(ISNUMBER(VLOOKUP($A35,Rezepte,MATCH(Produktionsmenge!P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P$5,Rezepte!$5:$5,0),0),""),"")</f>
        <v/>
      </c>
      <c r="Q35" s="24" t="str">
        <f ca="1">IF(LEN($A35)&gt;0,IF(AND(ISNUMBER(VLOOKUP($A35,Rezepte,MATCH(Produktionsmenge!Q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Q$5,Rezepte!$5:$5,0),0),""),"")</f>
        <v/>
      </c>
      <c r="R35" s="24" t="str">
        <f ca="1">IF(LEN($A35)&gt;0,IF(AND(ISNUMBER(VLOOKUP($A35,Rezepte,MATCH(Produktionsmenge!R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R$5,Rezepte!$5:$5,0),0),""),"")</f>
        <v/>
      </c>
      <c r="S35" s="24" t="str">
        <f ca="1">IF(LEN($A35)&gt;0,IF(AND(ISNUMBER(VLOOKUP($A35,Rezepte,MATCH(Produktionsmenge!S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S$5,Rezepte!$5:$5,0),0),""),"")</f>
        <v/>
      </c>
      <c r="T35" s="24" t="str">
        <f ca="1">IF(LEN($A35)&gt;0,IF(AND(ISNUMBER(VLOOKUP($A35,Rezepte,MATCH(Produktionsmenge!T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T$5,Rezepte!$5:$5,0),0),""),"")</f>
        <v/>
      </c>
      <c r="U35" s="24" t="str">
        <f ca="1">IF(LEN($A35)&gt;0,IF(AND(ISNUMBER(VLOOKUP($A35,Rezepte,MATCH(Produktionsmenge!U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U$5,Rezepte!$5:$5,0),0),""),"")</f>
        <v/>
      </c>
      <c r="V35" s="24" t="str">
        <f ca="1">IF(LEN($A35)&gt;0,IF(AND(ISNUMBER(VLOOKUP($A35,Rezepte,MATCH(Produktionsmenge!V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V$5,Rezepte!$5:$5,0),0),""),"")</f>
        <v/>
      </c>
      <c r="W35" s="24" t="str">
        <f ca="1">IF(LEN($A35)&gt;0,IF(AND(ISNUMBER(VLOOKUP($A35,Rezepte,MATCH(Produktionsmenge!W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W$5,Rezepte!$5:$5,0),0),""),"")</f>
        <v/>
      </c>
      <c r="X35" s="24" t="str">
        <f ca="1">IF(LEN($A35)&gt;0,IF(AND(ISNUMBER(VLOOKUP($A35,Rezepte,MATCH(Produktionsmenge!X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X$5,Rezepte!$5:$5,0),0),""),"")</f>
        <v/>
      </c>
      <c r="Y35" s="24" t="str">
        <f ca="1">IF(LEN($A35)&gt;0,IF(AND(ISNUMBER(VLOOKUP($A35,Rezepte,MATCH(Produktionsmenge!Y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Y$5,Rezepte!$5:$5,0),0),""),"")</f>
        <v/>
      </c>
      <c r="Z35" s="24" t="str">
        <f ca="1">IF(LEN($A35)&gt;0,IF(AND(ISNUMBER(VLOOKUP($A35,Rezepte,MATCH(Produktionsmenge!Z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Z$5,Rezepte!$5:$5,0),0),""),"")</f>
        <v/>
      </c>
      <c r="AA35" s="24" t="str">
        <f ca="1">IF(LEN($A35)&gt;0,IF(AND(ISNUMBER(VLOOKUP($A35,Rezepte,MATCH(Produktionsmenge!AA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AA$5,Rezepte!$5:$5,0),0),""),"")</f>
        <v/>
      </c>
      <c r="AB35" s="24" t="str">
        <f ca="1">IF(LEN($A35)&gt;0,IF(AND(ISNUMBER(VLOOKUP($A35,Rezepte,MATCH(Produktionsmenge!AB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AB$5,Rezepte!$5:$5,0),0),""),"")</f>
        <v/>
      </c>
      <c r="AC35" s="24" t="str">
        <f ca="1">IF(LEN($A35)&gt;0,IF(AND(ISNUMBER(VLOOKUP($A35,Rezepte,MATCH(Produktionsmenge!AC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AC$5,Rezepte!$5:$5,0),0),""),"")</f>
        <v/>
      </c>
      <c r="AD35" s="24" t="str">
        <f ca="1">IF(LEN($A35)&gt;0,IF(AND(ISNUMBER(VLOOKUP($A35,Rezepte,MATCH(Produktionsmenge!AD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AD$5,Rezepte!$5:$5,0),0),""),"")</f>
        <v/>
      </c>
      <c r="AE35" s="24" t="str">
        <f ca="1">IF(LEN($A35)&gt;0,IF(AND(ISNUMBER(VLOOKUP($A35,Rezepte,MATCH(Produktionsmenge!AE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AE$5,Rezepte!$5:$5,0),0),""),"")</f>
        <v/>
      </c>
      <c r="AF35" s="24" t="str">
        <f ca="1">IF(LEN($A35)&gt;0,IF(AND(ISNUMBER(VLOOKUP($A35,Rezepte,MATCH(Produktionsmenge!AF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AF$5,Rezepte!$5:$5,0),0),""),"")</f>
        <v/>
      </c>
      <c r="AG35" s="24" t="str">
        <f ca="1">IF(LEN($A35)&gt;0,IF(AND(ISNUMBER(VLOOKUP($A35,Rezepte,MATCH(Produktionsmenge!AG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AG$5,Rezepte!$5:$5,0),0),""),"")</f>
        <v/>
      </c>
      <c r="AH35" s="24" t="str">
        <f ca="1">IF(LEN($A35)&gt;0,IF(AND(ISNUMBER(VLOOKUP($A35,Rezepte,MATCH(Produktionsmenge!AH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AH$5,Rezepte!$5:$5,0),0),""),"")</f>
        <v/>
      </c>
      <c r="AI35" s="24" t="str">
        <f ca="1">IF(LEN($A35)&gt;0,IF(AND(ISNUMBER(VLOOKUP($A35,Rezepte,MATCH(Produktionsmenge!AI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AI$5,Rezepte!$5:$5,0),0),""),"")</f>
        <v/>
      </c>
      <c r="AJ35" s="24" t="str">
        <f ca="1">IF(LEN($A35)&gt;0,IF(AND(ISNUMBER(VLOOKUP($A35,Rezepte,MATCH(Produktionsmenge!AJ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AJ$5,Rezepte!$5:$5,0),0),""),"")</f>
        <v/>
      </c>
      <c r="AK35" s="24" t="str">
        <f ca="1">IF(LEN($A35)&gt;0,IF(AND(ISNUMBER(VLOOKUP($A35,Rezepte,MATCH(Produktionsmenge!AK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AK$5,Rezepte!$5:$5,0),0),""),"")</f>
        <v/>
      </c>
      <c r="AL35" s="24" t="str">
        <f ca="1">IF(LEN($A35)&gt;0,IF(AND(ISNUMBER(VLOOKUP($A35,Rezepte,MATCH(Produktionsmenge!AL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AL$5,Rezepte!$5:$5,0),0),""),"")</f>
        <v/>
      </c>
      <c r="AM35" s="24" t="str">
        <f ca="1">IF(LEN($A35)&gt;0,IF(AND(ISNUMBER(VLOOKUP($A35,Rezepte,MATCH(Produktionsmenge!AM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AM$5,Rezepte!$5:$5,0),0),""),"")</f>
        <v/>
      </c>
      <c r="AN35" s="24" t="str">
        <f ca="1">IF(LEN($A35)&gt;0,IF(AND(ISNUMBER(VLOOKUP($A35,Rezepte,MATCH(Produktionsmenge!AN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AN$5,Rezepte!$5:$5,0),0),""),"")</f>
        <v/>
      </c>
      <c r="AO35" s="24" t="str">
        <f ca="1">IF(LEN($A35)&gt;0,IF(AND(ISNUMBER(VLOOKUP($A35,Rezepte,MATCH(Produktionsmenge!AO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AO$5,Rezepte!$5:$5,0),0),""),"")</f>
        <v/>
      </c>
      <c r="AP35" s="24" t="str">
        <f ca="1">IF(LEN($A35)&gt;0,IF(AND(ISNUMBER(VLOOKUP($A35,Rezepte,MATCH(Produktionsmenge!AP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AP$5,Rezepte!$5:$5,0),0),""),"")</f>
        <v/>
      </c>
      <c r="AQ35" s="24" t="str">
        <f ca="1">IF(LEN($A35)&gt;0,IF(AND(ISNUMBER(VLOOKUP($A35,Rezepte,MATCH(Produktionsmenge!AQ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AQ$5,Rezepte!$5:$5,0),0),""),"")</f>
        <v/>
      </c>
      <c r="AR35" s="24" t="str">
        <f ca="1">IF(LEN($A35)&gt;0,IF(AND(ISNUMBER(VLOOKUP($A35,Rezepte,MATCH(Produktionsmenge!AR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AR$5,Rezepte!$5:$5,0),0),""),"")</f>
        <v/>
      </c>
      <c r="AS35" s="24" t="str">
        <f ca="1">IF(LEN($A35)&gt;0,IF(AND(ISNUMBER(VLOOKUP($A35,Rezepte,MATCH(Produktionsmenge!AS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AS$5,Rezepte!$5:$5,0),0),""),"")</f>
        <v/>
      </c>
      <c r="AT35" s="24" t="str">
        <f ca="1">IF(LEN($A35)&gt;0,IF(AND(ISNUMBER(VLOOKUP($A35,Rezepte,MATCH(Produktionsmenge!AT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AT$5,Rezepte!$5:$5,0),0),""),"")</f>
        <v/>
      </c>
      <c r="AU35" s="24" t="str">
        <f ca="1">IF(LEN($A35)&gt;0,IF(AND(ISNUMBER(VLOOKUP($A35,Rezepte,MATCH(Produktionsmenge!AU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AU$5,Rezepte!$5:$5,0),0),""),"")</f>
        <v/>
      </c>
      <c r="AV35" s="24" t="str">
        <f ca="1">IF(LEN($A35)&gt;0,IF(AND(ISNUMBER(VLOOKUP($A35,Rezepte,MATCH(Produktionsmenge!AV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AV$5,Rezepte!$5:$5,0),0),""),"")</f>
        <v/>
      </c>
      <c r="AW35" s="24" t="str">
        <f ca="1">IF(LEN($A35)&gt;0,IF(AND(ISNUMBER(VLOOKUP($A35,Rezepte,MATCH(Produktionsmenge!AW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AW$5,Rezepte!$5:$5,0),0),""),"")</f>
        <v/>
      </c>
      <c r="AX35" s="24" t="str">
        <f ca="1">IF(LEN($A35)&gt;0,IF(AND(ISNUMBER(VLOOKUP($A35,Rezepte,MATCH(Produktionsmenge!AX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AX$5,Rezepte!$5:$5,0),0),""),"")</f>
        <v/>
      </c>
      <c r="AY35" s="24" t="str">
        <f ca="1">IF(LEN($A35)&gt;0,IF(AND(ISNUMBER(VLOOKUP($A35,Rezepte,MATCH(Produktionsmenge!AY$5,Rezepte!$5:$5,0),0)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&gt;0),SUM(OFFSET(Bestellungen!$A$5,1,MATCH(IF(ISNUMBER(SEARCH("(",$A35)),LEFT($A35,SEARCH("(",$A35)-2),$A35),Bestellungen!$A$5:$AJ$5,0)-1):OFFSET(Bestellungen!$A$5,COUNTA(Bestellungen!$A$6:$A$1048576),MATCH(IF(ISNUMBER(SEARCH("(",$A35)),LEFT($A35,SEARCH("(",$A35)-2),$A35),Bestellungen!$A$5:$AJ$5,0)-1))*VLOOKUP($A35,Rezepte,MATCH(Produktionsmenge!AY$5,Rezepte!$5:$5,0),0),""),"")</f>
        <v/>
      </c>
    </row>
    <row r="36" spans="1:51" x14ac:dyDescent="0.25">
      <c r="A36" t="str">
        <f t="array" ref="A36">IFERROR(INDEX(Rezepte!$A$6:$A$100,MATCH(1,(COUNTIF(A$6:A35,Rezepte!A$6:A$100)=0)*(Rezepte!A$6:A$100&lt;&gt;""),0)),"")</f>
        <v/>
      </c>
      <c r="B36" s="24" t="str">
        <f ca="1">IF(LEN($A36)&gt;0,IF(AND(ISNUMBER(VLOOKUP($A36,Rezepte,MATCH(Produktionsmenge!B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B$5,Rezepte!$5:$5,0),0),""),"")</f>
        <v/>
      </c>
      <c r="C36" s="24" t="str">
        <f ca="1">IF(LEN($A36)&gt;0,IF(AND(ISNUMBER(VLOOKUP($A36,Rezepte,MATCH(Produktionsmenge!C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C$5,Rezepte!$5:$5,0),0),""),"")</f>
        <v/>
      </c>
      <c r="D36" s="24" t="str">
        <f ca="1">IF(LEN($A36)&gt;0,IF(AND(ISNUMBER(VLOOKUP($A36,Rezepte,MATCH(Produktionsmenge!D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D$5,Rezepte!$5:$5,0),0),""),"")</f>
        <v/>
      </c>
      <c r="E36" s="24" t="str">
        <f ca="1">IF(LEN($A36)&gt;0,IF(AND(ISNUMBER(VLOOKUP($A36,Rezepte,MATCH(Produktionsmenge!E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E$5,Rezepte!$5:$5,0),0),""),"")</f>
        <v/>
      </c>
      <c r="F36" s="24" t="str">
        <f ca="1">IF(LEN($A36)&gt;0,IF(AND(ISNUMBER(VLOOKUP($A36,Rezepte,MATCH(Produktionsmenge!F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F$5,Rezepte!$5:$5,0),0),""),"")</f>
        <v/>
      </c>
      <c r="G36" s="24" t="str">
        <f ca="1">IF(LEN($A36)&gt;0,IF(AND(ISNUMBER(VLOOKUP($A36,Rezepte,MATCH(Produktionsmenge!G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G$5,Rezepte!$5:$5,0),0),""),"")</f>
        <v/>
      </c>
      <c r="H36" s="24" t="str">
        <f ca="1">IF(LEN($A36)&gt;0,IF(AND(ISNUMBER(VLOOKUP($A36,Rezepte,MATCH(Produktionsmenge!H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H$5,Rezepte!$5:$5,0),0),""),"")</f>
        <v/>
      </c>
      <c r="I36" s="24" t="str">
        <f ca="1">IF(LEN($A36)&gt;0,IF(AND(ISNUMBER(VLOOKUP($A36,Rezepte,MATCH(Produktionsmenge!I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I$5,Rezepte!$5:$5,0),0),""),"")</f>
        <v/>
      </c>
      <c r="J36" s="24" t="str">
        <f ca="1">IF(LEN($A36)&gt;0,IF(AND(ISNUMBER(VLOOKUP($A36,Rezepte,MATCH(Produktionsmenge!J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J$5,Rezepte!$5:$5,0),0),""),"")</f>
        <v/>
      </c>
      <c r="K36" s="24" t="str">
        <f ca="1">IF(LEN($A36)&gt;0,IF(AND(ISNUMBER(VLOOKUP($A36,Rezepte,MATCH(Produktionsmenge!K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K$5,Rezepte!$5:$5,0),0),""),"")</f>
        <v/>
      </c>
      <c r="L36" s="24" t="str">
        <f ca="1">IF(LEN($A36)&gt;0,IF(AND(ISNUMBER(VLOOKUP($A36,Rezepte,MATCH(Produktionsmenge!L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L$5,Rezepte!$5:$5,0),0),""),"")</f>
        <v/>
      </c>
      <c r="M36" s="24" t="str">
        <f ca="1">IF(LEN($A36)&gt;0,IF(AND(ISNUMBER(VLOOKUP($A36,Rezepte,MATCH(Produktionsmenge!M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M$5,Rezepte!$5:$5,0),0),""),"")</f>
        <v/>
      </c>
      <c r="N36" s="24" t="str">
        <f ca="1">IF(LEN($A36)&gt;0,IF(AND(ISNUMBER(VLOOKUP($A36,Rezepte,MATCH(Produktionsmenge!N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N$5,Rezepte!$5:$5,0),0),""),"")</f>
        <v/>
      </c>
      <c r="O36" s="24" t="str">
        <f ca="1">IF(LEN($A36)&gt;0,IF(AND(ISNUMBER(VLOOKUP($A36,Rezepte,MATCH(Produktionsmenge!O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O$5,Rezepte!$5:$5,0),0),""),"")</f>
        <v/>
      </c>
      <c r="P36" s="24" t="str">
        <f ca="1">IF(LEN($A36)&gt;0,IF(AND(ISNUMBER(VLOOKUP($A36,Rezepte,MATCH(Produktionsmenge!P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P$5,Rezepte!$5:$5,0),0),""),"")</f>
        <v/>
      </c>
      <c r="Q36" s="24" t="str">
        <f ca="1">IF(LEN($A36)&gt;0,IF(AND(ISNUMBER(VLOOKUP($A36,Rezepte,MATCH(Produktionsmenge!Q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Q$5,Rezepte!$5:$5,0),0),""),"")</f>
        <v/>
      </c>
      <c r="R36" s="24" t="str">
        <f ca="1">IF(LEN($A36)&gt;0,IF(AND(ISNUMBER(VLOOKUP($A36,Rezepte,MATCH(Produktionsmenge!R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R$5,Rezepte!$5:$5,0),0),""),"")</f>
        <v/>
      </c>
      <c r="S36" s="24" t="str">
        <f ca="1">IF(LEN($A36)&gt;0,IF(AND(ISNUMBER(VLOOKUP($A36,Rezepte,MATCH(Produktionsmenge!S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S$5,Rezepte!$5:$5,0),0),""),"")</f>
        <v/>
      </c>
      <c r="T36" s="24" t="str">
        <f ca="1">IF(LEN($A36)&gt;0,IF(AND(ISNUMBER(VLOOKUP($A36,Rezepte,MATCH(Produktionsmenge!T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T$5,Rezepte!$5:$5,0),0),""),"")</f>
        <v/>
      </c>
      <c r="U36" s="24" t="str">
        <f ca="1">IF(LEN($A36)&gt;0,IF(AND(ISNUMBER(VLOOKUP($A36,Rezepte,MATCH(Produktionsmenge!U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U$5,Rezepte!$5:$5,0),0),""),"")</f>
        <v/>
      </c>
      <c r="V36" s="24" t="str">
        <f ca="1">IF(LEN($A36)&gt;0,IF(AND(ISNUMBER(VLOOKUP($A36,Rezepte,MATCH(Produktionsmenge!V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V$5,Rezepte!$5:$5,0),0),""),"")</f>
        <v/>
      </c>
      <c r="W36" s="24" t="str">
        <f ca="1">IF(LEN($A36)&gt;0,IF(AND(ISNUMBER(VLOOKUP($A36,Rezepte,MATCH(Produktionsmenge!W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W$5,Rezepte!$5:$5,0),0),""),"")</f>
        <v/>
      </c>
      <c r="X36" s="24" t="str">
        <f ca="1">IF(LEN($A36)&gt;0,IF(AND(ISNUMBER(VLOOKUP($A36,Rezepte,MATCH(Produktionsmenge!X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X$5,Rezepte!$5:$5,0),0),""),"")</f>
        <v/>
      </c>
      <c r="Y36" s="24" t="str">
        <f ca="1">IF(LEN($A36)&gt;0,IF(AND(ISNUMBER(VLOOKUP($A36,Rezepte,MATCH(Produktionsmenge!Y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Y$5,Rezepte!$5:$5,0),0),""),"")</f>
        <v/>
      </c>
      <c r="Z36" s="24" t="str">
        <f ca="1">IF(LEN($A36)&gt;0,IF(AND(ISNUMBER(VLOOKUP($A36,Rezepte,MATCH(Produktionsmenge!Z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Z$5,Rezepte!$5:$5,0),0),""),"")</f>
        <v/>
      </c>
      <c r="AA36" s="24" t="str">
        <f ca="1">IF(LEN($A36)&gt;0,IF(AND(ISNUMBER(VLOOKUP($A36,Rezepte,MATCH(Produktionsmenge!AA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AA$5,Rezepte!$5:$5,0),0),""),"")</f>
        <v/>
      </c>
      <c r="AB36" s="24" t="str">
        <f ca="1">IF(LEN($A36)&gt;0,IF(AND(ISNUMBER(VLOOKUP($A36,Rezepte,MATCH(Produktionsmenge!AB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AB$5,Rezepte!$5:$5,0),0),""),"")</f>
        <v/>
      </c>
      <c r="AC36" s="24" t="str">
        <f ca="1">IF(LEN($A36)&gt;0,IF(AND(ISNUMBER(VLOOKUP($A36,Rezepte,MATCH(Produktionsmenge!AC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AC$5,Rezepte!$5:$5,0),0),""),"")</f>
        <v/>
      </c>
      <c r="AD36" s="24" t="str">
        <f ca="1">IF(LEN($A36)&gt;0,IF(AND(ISNUMBER(VLOOKUP($A36,Rezepte,MATCH(Produktionsmenge!AD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AD$5,Rezepte!$5:$5,0),0),""),"")</f>
        <v/>
      </c>
      <c r="AE36" s="24" t="str">
        <f ca="1">IF(LEN($A36)&gt;0,IF(AND(ISNUMBER(VLOOKUP($A36,Rezepte,MATCH(Produktionsmenge!AE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AE$5,Rezepte!$5:$5,0),0),""),"")</f>
        <v/>
      </c>
      <c r="AF36" s="24" t="str">
        <f ca="1">IF(LEN($A36)&gt;0,IF(AND(ISNUMBER(VLOOKUP($A36,Rezepte,MATCH(Produktionsmenge!AF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AF$5,Rezepte!$5:$5,0),0),""),"")</f>
        <v/>
      </c>
      <c r="AG36" s="24" t="str">
        <f ca="1">IF(LEN($A36)&gt;0,IF(AND(ISNUMBER(VLOOKUP($A36,Rezepte,MATCH(Produktionsmenge!AG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AG$5,Rezepte!$5:$5,0),0),""),"")</f>
        <v/>
      </c>
      <c r="AH36" s="24" t="str">
        <f ca="1">IF(LEN($A36)&gt;0,IF(AND(ISNUMBER(VLOOKUP($A36,Rezepte,MATCH(Produktionsmenge!AH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AH$5,Rezepte!$5:$5,0),0),""),"")</f>
        <v/>
      </c>
      <c r="AI36" s="24" t="str">
        <f ca="1">IF(LEN($A36)&gt;0,IF(AND(ISNUMBER(VLOOKUP($A36,Rezepte,MATCH(Produktionsmenge!AI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AI$5,Rezepte!$5:$5,0),0),""),"")</f>
        <v/>
      </c>
      <c r="AJ36" s="24" t="str">
        <f ca="1">IF(LEN($A36)&gt;0,IF(AND(ISNUMBER(VLOOKUP($A36,Rezepte,MATCH(Produktionsmenge!AJ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AJ$5,Rezepte!$5:$5,0),0),""),"")</f>
        <v/>
      </c>
      <c r="AK36" s="24" t="str">
        <f ca="1">IF(LEN($A36)&gt;0,IF(AND(ISNUMBER(VLOOKUP($A36,Rezepte,MATCH(Produktionsmenge!AK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AK$5,Rezepte!$5:$5,0),0),""),"")</f>
        <v/>
      </c>
      <c r="AL36" s="24" t="str">
        <f ca="1">IF(LEN($A36)&gt;0,IF(AND(ISNUMBER(VLOOKUP($A36,Rezepte,MATCH(Produktionsmenge!AL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AL$5,Rezepte!$5:$5,0),0),""),"")</f>
        <v/>
      </c>
      <c r="AM36" s="24" t="str">
        <f ca="1">IF(LEN($A36)&gt;0,IF(AND(ISNUMBER(VLOOKUP($A36,Rezepte,MATCH(Produktionsmenge!AM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AM$5,Rezepte!$5:$5,0),0),""),"")</f>
        <v/>
      </c>
      <c r="AN36" s="24" t="str">
        <f ca="1">IF(LEN($A36)&gt;0,IF(AND(ISNUMBER(VLOOKUP($A36,Rezepte,MATCH(Produktionsmenge!AN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AN$5,Rezepte!$5:$5,0),0),""),"")</f>
        <v/>
      </c>
      <c r="AO36" s="24" t="str">
        <f ca="1">IF(LEN($A36)&gt;0,IF(AND(ISNUMBER(VLOOKUP($A36,Rezepte,MATCH(Produktionsmenge!AO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AO$5,Rezepte!$5:$5,0),0),""),"")</f>
        <v/>
      </c>
      <c r="AP36" s="24" t="str">
        <f ca="1">IF(LEN($A36)&gt;0,IF(AND(ISNUMBER(VLOOKUP($A36,Rezepte,MATCH(Produktionsmenge!AP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AP$5,Rezepte!$5:$5,0),0),""),"")</f>
        <v/>
      </c>
      <c r="AQ36" s="24" t="str">
        <f ca="1">IF(LEN($A36)&gt;0,IF(AND(ISNUMBER(VLOOKUP($A36,Rezepte,MATCH(Produktionsmenge!AQ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AQ$5,Rezepte!$5:$5,0),0),""),"")</f>
        <v/>
      </c>
      <c r="AR36" s="24" t="str">
        <f ca="1">IF(LEN($A36)&gt;0,IF(AND(ISNUMBER(VLOOKUP($A36,Rezepte,MATCH(Produktionsmenge!AR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AR$5,Rezepte!$5:$5,0),0),""),"")</f>
        <v/>
      </c>
      <c r="AS36" s="24" t="str">
        <f ca="1">IF(LEN($A36)&gt;0,IF(AND(ISNUMBER(VLOOKUP($A36,Rezepte,MATCH(Produktionsmenge!AS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AS$5,Rezepte!$5:$5,0),0),""),"")</f>
        <v/>
      </c>
      <c r="AT36" s="24" t="str">
        <f ca="1">IF(LEN($A36)&gt;0,IF(AND(ISNUMBER(VLOOKUP($A36,Rezepte,MATCH(Produktionsmenge!AT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AT$5,Rezepte!$5:$5,0),0),""),"")</f>
        <v/>
      </c>
      <c r="AU36" s="24" t="str">
        <f ca="1">IF(LEN($A36)&gt;0,IF(AND(ISNUMBER(VLOOKUP($A36,Rezepte,MATCH(Produktionsmenge!AU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AU$5,Rezepte!$5:$5,0),0),""),"")</f>
        <v/>
      </c>
      <c r="AV36" s="24" t="str">
        <f ca="1">IF(LEN($A36)&gt;0,IF(AND(ISNUMBER(VLOOKUP($A36,Rezepte,MATCH(Produktionsmenge!AV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AV$5,Rezepte!$5:$5,0),0),""),"")</f>
        <v/>
      </c>
      <c r="AW36" s="24" t="str">
        <f ca="1">IF(LEN($A36)&gt;0,IF(AND(ISNUMBER(VLOOKUP($A36,Rezepte,MATCH(Produktionsmenge!AW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AW$5,Rezepte!$5:$5,0),0),""),"")</f>
        <v/>
      </c>
      <c r="AX36" s="24" t="str">
        <f ca="1">IF(LEN($A36)&gt;0,IF(AND(ISNUMBER(VLOOKUP($A36,Rezepte,MATCH(Produktionsmenge!AX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AX$5,Rezepte!$5:$5,0),0),""),"")</f>
        <v/>
      </c>
      <c r="AY36" s="24" t="str">
        <f ca="1">IF(LEN($A36)&gt;0,IF(AND(ISNUMBER(VLOOKUP($A36,Rezepte,MATCH(Produktionsmenge!AY$5,Rezepte!$5:$5,0),0)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&gt;0),SUM(OFFSET(Bestellungen!$A$5,1,MATCH(IF(ISNUMBER(SEARCH("(",$A36)),LEFT($A36,SEARCH("(",$A36)-2),$A36),Bestellungen!$A$5:$AJ$5,0)-1):OFFSET(Bestellungen!$A$5,COUNTA(Bestellungen!$A$6:$A$1048576),MATCH(IF(ISNUMBER(SEARCH("(",$A36)),LEFT($A36,SEARCH("(",$A36)-2),$A36),Bestellungen!$A$5:$AJ$5,0)-1))*VLOOKUP($A36,Rezepte,MATCH(Produktionsmenge!AY$5,Rezepte!$5:$5,0),0),""),"")</f>
        <v/>
      </c>
    </row>
    <row r="37" spans="1:51" x14ac:dyDescent="0.25">
      <c r="A37" t="str">
        <f t="array" ref="A37">IFERROR(INDEX(Rezepte!$A$6:$A$100,MATCH(1,(COUNTIF(A$6:A36,Rezepte!A$6:A$100)=0)*(Rezepte!A$6:A$100&lt;&gt;""),0)),"")</f>
        <v/>
      </c>
      <c r="B37" s="24" t="str">
        <f ca="1">IF(LEN($A37)&gt;0,IF(AND(ISNUMBER(VLOOKUP($A37,Rezepte,MATCH(Produktionsmenge!B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B$5,Rezepte!$5:$5,0),0),""),"")</f>
        <v/>
      </c>
      <c r="C37" s="24" t="str">
        <f ca="1">IF(LEN($A37)&gt;0,IF(AND(ISNUMBER(VLOOKUP($A37,Rezepte,MATCH(Produktionsmenge!C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C$5,Rezepte!$5:$5,0),0),""),"")</f>
        <v/>
      </c>
      <c r="D37" s="24" t="str">
        <f ca="1">IF(LEN($A37)&gt;0,IF(AND(ISNUMBER(VLOOKUP($A37,Rezepte,MATCH(Produktionsmenge!D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D$5,Rezepte!$5:$5,0),0),""),"")</f>
        <v/>
      </c>
      <c r="E37" s="24" t="str">
        <f ca="1">IF(LEN($A37)&gt;0,IF(AND(ISNUMBER(VLOOKUP($A37,Rezepte,MATCH(Produktionsmenge!E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E$5,Rezepte!$5:$5,0),0),""),"")</f>
        <v/>
      </c>
      <c r="F37" s="24" t="str">
        <f ca="1">IF(LEN($A37)&gt;0,IF(AND(ISNUMBER(VLOOKUP($A37,Rezepte,MATCH(Produktionsmenge!F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F$5,Rezepte!$5:$5,0),0),""),"")</f>
        <v/>
      </c>
      <c r="G37" s="24" t="str">
        <f ca="1">IF(LEN($A37)&gt;0,IF(AND(ISNUMBER(VLOOKUP($A37,Rezepte,MATCH(Produktionsmenge!G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G$5,Rezepte!$5:$5,0),0),""),"")</f>
        <v/>
      </c>
      <c r="H37" s="24" t="str">
        <f ca="1">IF(LEN($A37)&gt;0,IF(AND(ISNUMBER(VLOOKUP($A37,Rezepte,MATCH(Produktionsmenge!H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H$5,Rezepte!$5:$5,0),0),""),"")</f>
        <v/>
      </c>
      <c r="I37" s="24" t="str">
        <f ca="1">IF(LEN($A37)&gt;0,IF(AND(ISNUMBER(VLOOKUP($A37,Rezepte,MATCH(Produktionsmenge!I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I$5,Rezepte!$5:$5,0),0),""),"")</f>
        <v/>
      </c>
      <c r="J37" s="24" t="str">
        <f ca="1">IF(LEN($A37)&gt;0,IF(AND(ISNUMBER(VLOOKUP($A37,Rezepte,MATCH(Produktionsmenge!J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J$5,Rezepte!$5:$5,0),0),""),"")</f>
        <v/>
      </c>
      <c r="K37" s="24" t="str">
        <f ca="1">IF(LEN($A37)&gt;0,IF(AND(ISNUMBER(VLOOKUP($A37,Rezepte,MATCH(Produktionsmenge!K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K$5,Rezepte!$5:$5,0),0),""),"")</f>
        <v/>
      </c>
      <c r="L37" s="24" t="str">
        <f ca="1">IF(LEN($A37)&gt;0,IF(AND(ISNUMBER(VLOOKUP($A37,Rezepte,MATCH(Produktionsmenge!L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L$5,Rezepte!$5:$5,0),0),""),"")</f>
        <v/>
      </c>
      <c r="M37" s="24" t="str">
        <f ca="1">IF(LEN($A37)&gt;0,IF(AND(ISNUMBER(VLOOKUP($A37,Rezepte,MATCH(Produktionsmenge!M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M$5,Rezepte!$5:$5,0),0),""),"")</f>
        <v/>
      </c>
      <c r="N37" s="24" t="str">
        <f ca="1">IF(LEN($A37)&gt;0,IF(AND(ISNUMBER(VLOOKUP($A37,Rezepte,MATCH(Produktionsmenge!N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N$5,Rezepte!$5:$5,0),0),""),"")</f>
        <v/>
      </c>
      <c r="O37" s="24" t="str">
        <f ca="1">IF(LEN($A37)&gt;0,IF(AND(ISNUMBER(VLOOKUP($A37,Rezepte,MATCH(Produktionsmenge!O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O$5,Rezepte!$5:$5,0),0),""),"")</f>
        <v/>
      </c>
      <c r="P37" s="24" t="str">
        <f ca="1">IF(LEN($A37)&gt;0,IF(AND(ISNUMBER(VLOOKUP($A37,Rezepte,MATCH(Produktionsmenge!P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P$5,Rezepte!$5:$5,0),0),""),"")</f>
        <v/>
      </c>
      <c r="Q37" s="24" t="str">
        <f ca="1">IF(LEN($A37)&gt;0,IF(AND(ISNUMBER(VLOOKUP($A37,Rezepte,MATCH(Produktionsmenge!Q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Q$5,Rezepte!$5:$5,0),0),""),"")</f>
        <v/>
      </c>
      <c r="R37" s="24" t="str">
        <f ca="1">IF(LEN($A37)&gt;0,IF(AND(ISNUMBER(VLOOKUP($A37,Rezepte,MATCH(Produktionsmenge!R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R$5,Rezepte!$5:$5,0),0),""),"")</f>
        <v/>
      </c>
      <c r="S37" s="24" t="str">
        <f ca="1">IF(LEN($A37)&gt;0,IF(AND(ISNUMBER(VLOOKUP($A37,Rezepte,MATCH(Produktionsmenge!S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S$5,Rezepte!$5:$5,0),0),""),"")</f>
        <v/>
      </c>
      <c r="T37" s="24" t="str">
        <f ca="1">IF(LEN($A37)&gt;0,IF(AND(ISNUMBER(VLOOKUP($A37,Rezepte,MATCH(Produktionsmenge!T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T$5,Rezepte!$5:$5,0),0),""),"")</f>
        <v/>
      </c>
      <c r="U37" s="24" t="str">
        <f ca="1">IF(LEN($A37)&gt;0,IF(AND(ISNUMBER(VLOOKUP($A37,Rezepte,MATCH(Produktionsmenge!U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U$5,Rezepte!$5:$5,0),0),""),"")</f>
        <v/>
      </c>
      <c r="V37" s="24" t="str">
        <f ca="1">IF(LEN($A37)&gt;0,IF(AND(ISNUMBER(VLOOKUP($A37,Rezepte,MATCH(Produktionsmenge!V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V$5,Rezepte!$5:$5,0),0),""),"")</f>
        <v/>
      </c>
      <c r="W37" s="24" t="str">
        <f ca="1">IF(LEN($A37)&gt;0,IF(AND(ISNUMBER(VLOOKUP($A37,Rezepte,MATCH(Produktionsmenge!W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W$5,Rezepte!$5:$5,0),0),""),"")</f>
        <v/>
      </c>
      <c r="X37" s="24" t="str">
        <f ca="1">IF(LEN($A37)&gt;0,IF(AND(ISNUMBER(VLOOKUP($A37,Rezepte,MATCH(Produktionsmenge!X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X$5,Rezepte!$5:$5,0),0),""),"")</f>
        <v/>
      </c>
      <c r="Y37" s="24" t="str">
        <f ca="1">IF(LEN($A37)&gt;0,IF(AND(ISNUMBER(VLOOKUP($A37,Rezepte,MATCH(Produktionsmenge!Y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Y$5,Rezepte!$5:$5,0),0),""),"")</f>
        <v/>
      </c>
      <c r="Z37" s="24" t="str">
        <f ca="1">IF(LEN($A37)&gt;0,IF(AND(ISNUMBER(VLOOKUP($A37,Rezepte,MATCH(Produktionsmenge!Z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Z$5,Rezepte!$5:$5,0),0),""),"")</f>
        <v/>
      </c>
      <c r="AA37" s="24" t="str">
        <f ca="1">IF(LEN($A37)&gt;0,IF(AND(ISNUMBER(VLOOKUP($A37,Rezepte,MATCH(Produktionsmenge!AA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AA$5,Rezepte!$5:$5,0),0),""),"")</f>
        <v/>
      </c>
      <c r="AB37" s="24" t="str">
        <f ca="1">IF(LEN($A37)&gt;0,IF(AND(ISNUMBER(VLOOKUP($A37,Rezepte,MATCH(Produktionsmenge!AB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AB$5,Rezepte!$5:$5,0),0),""),"")</f>
        <v/>
      </c>
      <c r="AC37" s="24" t="str">
        <f ca="1">IF(LEN($A37)&gt;0,IF(AND(ISNUMBER(VLOOKUP($A37,Rezepte,MATCH(Produktionsmenge!AC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AC$5,Rezepte!$5:$5,0),0),""),"")</f>
        <v/>
      </c>
      <c r="AD37" s="24" t="str">
        <f ca="1">IF(LEN($A37)&gt;0,IF(AND(ISNUMBER(VLOOKUP($A37,Rezepte,MATCH(Produktionsmenge!AD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AD$5,Rezepte!$5:$5,0),0),""),"")</f>
        <v/>
      </c>
      <c r="AE37" s="24" t="str">
        <f ca="1">IF(LEN($A37)&gt;0,IF(AND(ISNUMBER(VLOOKUP($A37,Rezepte,MATCH(Produktionsmenge!AE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AE$5,Rezepte!$5:$5,0),0),""),"")</f>
        <v/>
      </c>
      <c r="AF37" s="24" t="str">
        <f ca="1">IF(LEN($A37)&gt;0,IF(AND(ISNUMBER(VLOOKUP($A37,Rezepte,MATCH(Produktionsmenge!AF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AF$5,Rezepte!$5:$5,0),0),""),"")</f>
        <v/>
      </c>
      <c r="AG37" s="24" t="str">
        <f ca="1">IF(LEN($A37)&gt;0,IF(AND(ISNUMBER(VLOOKUP($A37,Rezepte,MATCH(Produktionsmenge!AG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AG$5,Rezepte!$5:$5,0),0),""),"")</f>
        <v/>
      </c>
      <c r="AH37" s="24" t="str">
        <f ca="1">IF(LEN($A37)&gt;0,IF(AND(ISNUMBER(VLOOKUP($A37,Rezepte,MATCH(Produktionsmenge!AH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AH$5,Rezepte!$5:$5,0),0),""),"")</f>
        <v/>
      </c>
      <c r="AI37" s="24" t="str">
        <f ca="1">IF(LEN($A37)&gt;0,IF(AND(ISNUMBER(VLOOKUP($A37,Rezepte,MATCH(Produktionsmenge!AI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AI$5,Rezepte!$5:$5,0),0),""),"")</f>
        <v/>
      </c>
      <c r="AJ37" s="24" t="str">
        <f ca="1">IF(LEN($A37)&gt;0,IF(AND(ISNUMBER(VLOOKUP($A37,Rezepte,MATCH(Produktionsmenge!AJ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AJ$5,Rezepte!$5:$5,0),0),""),"")</f>
        <v/>
      </c>
      <c r="AK37" s="24" t="str">
        <f ca="1">IF(LEN($A37)&gt;0,IF(AND(ISNUMBER(VLOOKUP($A37,Rezepte,MATCH(Produktionsmenge!AK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AK$5,Rezepte!$5:$5,0),0),""),"")</f>
        <v/>
      </c>
      <c r="AL37" s="24" t="str">
        <f ca="1">IF(LEN($A37)&gt;0,IF(AND(ISNUMBER(VLOOKUP($A37,Rezepte,MATCH(Produktionsmenge!AL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AL$5,Rezepte!$5:$5,0),0),""),"")</f>
        <v/>
      </c>
      <c r="AM37" s="24" t="str">
        <f ca="1">IF(LEN($A37)&gt;0,IF(AND(ISNUMBER(VLOOKUP($A37,Rezepte,MATCH(Produktionsmenge!AM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AM$5,Rezepte!$5:$5,0),0),""),"")</f>
        <v/>
      </c>
      <c r="AN37" s="24" t="str">
        <f ca="1">IF(LEN($A37)&gt;0,IF(AND(ISNUMBER(VLOOKUP($A37,Rezepte,MATCH(Produktionsmenge!AN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AN$5,Rezepte!$5:$5,0),0),""),"")</f>
        <v/>
      </c>
      <c r="AO37" s="24" t="str">
        <f ca="1">IF(LEN($A37)&gt;0,IF(AND(ISNUMBER(VLOOKUP($A37,Rezepte,MATCH(Produktionsmenge!AO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AO$5,Rezepte!$5:$5,0),0),""),"")</f>
        <v/>
      </c>
      <c r="AP37" s="24" t="str">
        <f ca="1">IF(LEN($A37)&gt;0,IF(AND(ISNUMBER(VLOOKUP($A37,Rezepte,MATCH(Produktionsmenge!AP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AP$5,Rezepte!$5:$5,0),0),""),"")</f>
        <v/>
      </c>
      <c r="AQ37" s="24" t="str">
        <f ca="1">IF(LEN($A37)&gt;0,IF(AND(ISNUMBER(VLOOKUP($A37,Rezepte,MATCH(Produktionsmenge!AQ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AQ$5,Rezepte!$5:$5,0),0),""),"")</f>
        <v/>
      </c>
      <c r="AR37" s="24" t="str">
        <f ca="1">IF(LEN($A37)&gt;0,IF(AND(ISNUMBER(VLOOKUP($A37,Rezepte,MATCH(Produktionsmenge!AR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AR$5,Rezepte!$5:$5,0),0),""),"")</f>
        <v/>
      </c>
      <c r="AS37" s="24" t="str">
        <f ca="1">IF(LEN($A37)&gt;0,IF(AND(ISNUMBER(VLOOKUP($A37,Rezepte,MATCH(Produktionsmenge!AS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AS$5,Rezepte!$5:$5,0),0),""),"")</f>
        <v/>
      </c>
      <c r="AT37" s="24" t="str">
        <f ca="1">IF(LEN($A37)&gt;0,IF(AND(ISNUMBER(VLOOKUP($A37,Rezepte,MATCH(Produktionsmenge!AT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AT$5,Rezepte!$5:$5,0),0),""),"")</f>
        <v/>
      </c>
      <c r="AU37" s="24" t="str">
        <f ca="1">IF(LEN($A37)&gt;0,IF(AND(ISNUMBER(VLOOKUP($A37,Rezepte,MATCH(Produktionsmenge!AU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AU$5,Rezepte!$5:$5,0),0),""),"")</f>
        <v/>
      </c>
      <c r="AV37" s="24" t="str">
        <f ca="1">IF(LEN($A37)&gt;0,IF(AND(ISNUMBER(VLOOKUP($A37,Rezepte,MATCH(Produktionsmenge!AV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AV$5,Rezepte!$5:$5,0),0),""),"")</f>
        <v/>
      </c>
      <c r="AW37" s="24" t="str">
        <f ca="1">IF(LEN($A37)&gt;0,IF(AND(ISNUMBER(VLOOKUP($A37,Rezepte,MATCH(Produktionsmenge!AW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AW$5,Rezepte!$5:$5,0),0),""),"")</f>
        <v/>
      </c>
      <c r="AX37" s="24" t="str">
        <f ca="1">IF(LEN($A37)&gt;0,IF(AND(ISNUMBER(VLOOKUP($A37,Rezepte,MATCH(Produktionsmenge!AX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AX$5,Rezepte!$5:$5,0),0),""),"")</f>
        <v/>
      </c>
      <c r="AY37" s="24" t="str">
        <f ca="1">IF(LEN($A37)&gt;0,IF(AND(ISNUMBER(VLOOKUP($A37,Rezepte,MATCH(Produktionsmenge!AY$5,Rezepte!$5:$5,0),0)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&gt;0),SUM(OFFSET(Bestellungen!$A$5,1,MATCH(IF(ISNUMBER(SEARCH("(",$A37)),LEFT($A37,SEARCH("(",$A37)-2),$A37),Bestellungen!$A$5:$AJ$5,0)-1):OFFSET(Bestellungen!$A$5,COUNTA(Bestellungen!$A$6:$A$1048576),MATCH(IF(ISNUMBER(SEARCH("(",$A37)),LEFT($A37,SEARCH("(",$A37)-2),$A37),Bestellungen!$A$5:$AJ$5,0)-1))*VLOOKUP($A37,Rezepte,MATCH(Produktionsmenge!AY$5,Rezepte!$5:$5,0),0),""),"")</f>
        <v/>
      </c>
    </row>
    <row r="38" spans="1:51" x14ac:dyDescent="0.25">
      <c r="A38" t="str">
        <f t="array" ref="A38">IFERROR(INDEX(Rezepte!$A$6:$A$100,MATCH(1,(COUNTIF(A$6:A37,Rezepte!A$6:A$100)=0)*(Rezepte!A$6:A$100&lt;&gt;""),0)),"")</f>
        <v/>
      </c>
      <c r="B38" s="24" t="str">
        <f ca="1">IF(LEN($A38)&gt;0,IF(AND(ISNUMBER(VLOOKUP($A38,Rezepte,MATCH(Produktionsmenge!B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B$5,Rezepte!$5:$5,0),0),""),"")</f>
        <v/>
      </c>
      <c r="C38" s="24" t="str">
        <f ca="1">IF(LEN($A38)&gt;0,IF(AND(ISNUMBER(VLOOKUP($A38,Rezepte,MATCH(Produktionsmenge!C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C$5,Rezepte!$5:$5,0),0),""),"")</f>
        <v/>
      </c>
      <c r="D38" s="24" t="str">
        <f ca="1">IF(LEN($A38)&gt;0,IF(AND(ISNUMBER(VLOOKUP($A38,Rezepte,MATCH(Produktionsmenge!D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D$5,Rezepte!$5:$5,0),0),""),"")</f>
        <v/>
      </c>
      <c r="E38" s="24" t="str">
        <f ca="1">IF(LEN($A38)&gt;0,IF(AND(ISNUMBER(VLOOKUP($A38,Rezepte,MATCH(Produktionsmenge!E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E$5,Rezepte!$5:$5,0),0),""),"")</f>
        <v/>
      </c>
      <c r="F38" s="24" t="str">
        <f ca="1">IF(LEN($A38)&gt;0,IF(AND(ISNUMBER(VLOOKUP($A38,Rezepte,MATCH(Produktionsmenge!F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F$5,Rezepte!$5:$5,0),0),""),"")</f>
        <v/>
      </c>
      <c r="G38" s="24" t="str">
        <f ca="1">IF(LEN($A38)&gt;0,IF(AND(ISNUMBER(VLOOKUP($A38,Rezepte,MATCH(Produktionsmenge!G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G$5,Rezepte!$5:$5,0),0),""),"")</f>
        <v/>
      </c>
      <c r="H38" s="24" t="str">
        <f ca="1">IF(LEN($A38)&gt;0,IF(AND(ISNUMBER(VLOOKUP($A38,Rezepte,MATCH(Produktionsmenge!H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H$5,Rezepte!$5:$5,0),0),""),"")</f>
        <v/>
      </c>
      <c r="I38" s="24" t="str">
        <f ca="1">IF(LEN($A38)&gt;0,IF(AND(ISNUMBER(VLOOKUP($A38,Rezepte,MATCH(Produktionsmenge!I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I$5,Rezepte!$5:$5,0),0),""),"")</f>
        <v/>
      </c>
      <c r="J38" s="24" t="str">
        <f ca="1">IF(LEN($A38)&gt;0,IF(AND(ISNUMBER(VLOOKUP($A38,Rezepte,MATCH(Produktionsmenge!J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J$5,Rezepte!$5:$5,0),0),""),"")</f>
        <v/>
      </c>
      <c r="K38" s="24" t="str">
        <f ca="1">IF(LEN($A38)&gt;0,IF(AND(ISNUMBER(VLOOKUP($A38,Rezepte,MATCH(Produktionsmenge!K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K$5,Rezepte!$5:$5,0),0),""),"")</f>
        <v/>
      </c>
      <c r="L38" s="24" t="str">
        <f ca="1">IF(LEN($A38)&gt;0,IF(AND(ISNUMBER(VLOOKUP($A38,Rezepte,MATCH(Produktionsmenge!L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L$5,Rezepte!$5:$5,0),0),""),"")</f>
        <v/>
      </c>
      <c r="M38" s="24" t="str">
        <f ca="1">IF(LEN($A38)&gt;0,IF(AND(ISNUMBER(VLOOKUP($A38,Rezepte,MATCH(Produktionsmenge!M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M$5,Rezepte!$5:$5,0),0),""),"")</f>
        <v/>
      </c>
      <c r="N38" s="24" t="str">
        <f ca="1">IF(LEN($A38)&gt;0,IF(AND(ISNUMBER(VLOOKUP($A38,Rezepte,MATCH(Produktionsmenge!N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N$5,Rezepte!$5:$5,0),0),""),"")</f>
        <v/>
      </c>
      <c r="O38" s="24" t="str">
        <f ca="1">IF(LEN($A38)&gt;0,IF(AND(ISNUMBER(VLOOKUP($A38,Rezepte,MATCH(Produktionsmenge!O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O$5,Rezepte!$5:$5,0),0),""),"")</f>
        <v/>
      </c>
      <c r="P38" s="24" t="str">
        <f ca="1">IF(LEN($A38)&gt;0,IF(AND(ISNUMBER(VLOOKUP($A38,Rezepte,MATCH(Produktionsmenge!P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P$5,Rezepte!$5:$5,0),0),""),"")</f>
        <v/>
      </c>
      <c r="Q38" s="24" t="str">
        <f ca="1">IF(LEN($A38)&gt;0,IF(AND(ISNUMBER(VLOOKUP($A38,Rezepte,MATCH(Produktionsmenge!Q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Q$5,Rezepte!$5:$5,0),0),""),"")</f>
        <v/>
      </c>
      <c r="R38" s="24" t="str">
        <f ca="1">IF(LEN($A38)&gt;0,IF(AND(ISNUMBER(VLOOKUP($A38,Rezepte,MATCH(Produktionsmenge!R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R$5,Rezepte!$5:$5,0),0),""),"")</f>
        <v/>
      </c>
      <c r="S38" s="24" t="str">
        <f ca="1">IF(LEN($A38)&gt;0,IF(AND(ISNUMBER(VLOOKUP($A38,Rezepte,MATCH(Produktionsmenge!S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S$5,Rezepte!$5:$5,0),0),""),"")</f>
        <v/>
      </c>
      <c r="T38" s="24" t="str">
        <f ca="1">IF(LEN($A38)&gt;0,IF(AND(ISNUMBER(VLOOKUP($A38,Rezepte,MATCH(Produktionsmenge!T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T$5,Rezepte!$5:$5,0),0),""),"")</f>
        <v/>
      </c>
      <c r="U38" s="24" t="str">
        <f ca="1">IF(LEN($A38)&gt;0,IF(AND(ISNUMBER(VLOOKUP($A38,Rezepte,MATCH(Produktionsmenge!U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U$5,Rezepte!$5:$5,0),0),""),"")</f>
        <v/>
      </c>
      <c r="V38" s="24" t="str">
        <f ca="1">IF(LEN($A38)&gt;0,IF(AND(ISNUMBER(VLOOKUP($A38,Rezepte,MATCH(Produktionsmenge!V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V$5,Rezepte!$5:$5,0),0),""),"")</f>
        <v/>
      </c>
      <c r="W38" s="24" t="str">
        <f ca="1">IF(LEN($A38)&gt;0,IF(AND(ISNUMBER(VLOOKUP($A38,Rezepte,MATCH(Produktionsmenge!W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W$5,Rezepte!$5:$5,0),0),""),"")</f>
        <v/>
      </c>
      <c r="X38" s="24" t="str">
        <f ca="1">IF(LEN($A38)&gt;0,IF(AND(ISNUMBER(VLOOKUP($A38,Rezepte,MATCH(Produktionsmenge!X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X$5,Rezepte!$5:$5,0),0),""),"")</f>
        <v/>
      </c>
      <c r="Y38" s="24" t="str">
        <f ca="1">IF(LEN($A38)&gt;0,IF(AND(ISNUMBER(VLOOKUP($A38,Rezepte,MATCH(Produktionsmenge!Y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Y$5,Rezepte!$5:$5,0),0),""),"")</f>
        <v/>
      </c>
      <c r="Z38" s="24" t="str">
        <f ca="1">IF(LEN($A38)&gt;0,IF(AND(ISNUMBER(VLOOKUP($A38,Rezepte,MATCH(Produktionsmenge!Z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Z$5,Rezepte!$5:$5,0),0),""),"")</f>
        <v/>
      </c>
      <c r="AA38" s="24" t="str">
        <f ca="1">IF(LEN($A38)&gt;0,IF(AND(ISNUMBER(VLOOKUP($A38,Rezepte,MATCH(Produktionsmenge!AA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AA$5,Rezepte!$5:$5,0),0),""),"")</f>
        <v/>
      </c>
      <c r="AB38" s="24" t="str">
        <f ca="1">IF(LEN($A38)&gt;0,IF(AND(ISNUMBER(VLOOKUP($A38,Rezepte,MATCH(Produktionsmenge!AB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AB$5,Rezepte!$5:$5,0),0),""),"")</f>
        <v/>
      </c>
      <c r="AC38" s="24" t="str">
        <f ca="1">IF(LEN($A38)&gt;0,IF(AND(ISNUMBER(VLOOKUP($A38,Rezepte,MATCH(Produktionsmenge!AC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AC$5,Rezepte!$5:$5,0),0),""),"")</f>
        <v/>
      </c>
      <c r="AD38" s="24" t="str">
        <f ca="1">IF(LEN($A38)&gt;0,IF(AND(ISNUMBER(VLOOKUP($A38,Rezepte,MATCH(Produktionsmenge!AD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AD$5,Rezepte!$5:$5,0),0),""),"")</f>
        <v/>
      </c>
      <c r="AE38" s="24" t="str">
        <f ca="1">IF(LEN($A38)&gt;0,IF(AND(ISNUMBER(VLOOKUP($A38,Rezepte,MATCH(Produktionsmenge!AE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AE$5,Rezepte!$5:$5,0),0),""),"")</f>
        <v/>
      </c>
      <c r="AF38" s="24" t="str">
        <f ca="1">IF(LEN($A38)&gt;0,IF(AND(ISNUMBER(VLOOKUP($A38,Rezepte,MATCH(Produktionsmenge!AF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AF$5,Rezepte!$5:$5,0),0),""),"")</f>
        <v/>
      </c>
      <c r="AG38" s="24" t="str">
        <f ca="1">IF(LEN($A38)&gt;0,IF(AND(ISNUMBER(VLOOKUP($A38,Rezepte,MATCH(Produktionsmenge!AG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AG$5,Rezepte!$5:$5,0),0),""),"")</f>
        <v/>
      </c>
      <c r="AH38" s="24" t="str">
        <f ca="1">IF(LEN($A38)&gt;0,IF(AND(ISNUMBER(VLOOKUP($A38,Rezepte,MATCH(Produktionsmenge!AH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AH$5,Rezepte!$5:$5,0),0),""),"")</f>
        <v/>
      </c>
      <c r="AI38" s="24" t="str">
        <f ca="1">IF(LEN($A38)&gt;0,IF(AND(ISNUMBER(VLOOKUP($A38,Rezepte,MATCH(Produktionsmenge!AI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AI$5,Rezepte!$5:$5,0),0),""),"")</f>
        <v/>
      </c>
      <c r="AJ38" s="24" t="str">
        <f ca="1">IF(LEN($A38)&gt;0,IF(AND(ISNUMBER(VLOOKUP($A38,Rezepte,MATCH(Produktionsmenge!AJ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AJ$5,Rezepte!$5:$5,0),0),""),"")</f>
        <v/>
      </c>
      <c r="AK38" s="24" t="str">
        <f ca="1">IF(LEN($A38)&gt;0,IF(AND(ISNUMBER(VLOOKUP($A38,Rezepte,MATCH(Produktionsmenge!AK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AK$5,Rezepte!$5:$5,0),0),""),"")</f>
        <v/>
      </c>
      <c r="AL38" s="24" t="str">
        <f ca="1">IF(LEN($A38)&gt;0,IF(AND(ISNUMBER(VLOOKUP($A38,Rezepte,MATCH(Produktionsmenge!AL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AL$5,Rezepte!$5:$5,0),0),""),"")</f>
        <v/>
      </c>
      <c r="AM38" s="24" t="str">
        <f ca="1">IF(LEN($A38)&gt;0,IF(AND(ISNUMBER(VLOOKUP($A38,Rezepte,MATCH(Produktionsmenge!AM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AM$5,Rezepte!$5:$5,0),0),""),"")</f>
        <v/>
      </c>
      <c r="AN38" s="24" t="str">
        <f ca="1">IF(LEN($A38)&gt;0,IF(AND(ISNUMBER(VLOOKUP($A38,Rezepte,MATCH(Produktionsmenge!AN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AN$5,Rezepte!$5:$5,0),0),""),"")</f>
        <v/>
      </c>
      <c r="AO38" s="24" t="str">
        <f ca="1">IF(LEN($A38)&gt;0,IF(AND(ISNUMBER(VLOOKUP($A38,Rezepte,MATCH(Produktionsmenge!AO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AO$5,Rezepte!$5:$5,0),0),""),"")</f>
        <v/>
      </c>
      <c r="AP38" s="24" t="str">
        <f ca="1">IF(LEN($A38)&gt;0,IF(AND(ISNUMBER(VLOOKUP($A38,Rezepte,MATCH(Produktionsmenge!AP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AP$5,Rezepte!$5:$5,0),0),""),"")</f>
        <v/>
      </c>
      <c r="AQ38" s="24" t="str">
        <f ca="1">IF(LEN($A38)&gt;0,IF(AND(ISNUMBER(VLOOKUP($A38,Rezepte,MATCH(Produktionsmenge!AQ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AQ$5,Rezepte!$5:$5,0),0),""),"")</f>
        <v/>
      </c>
      <c r="AR38" s="24" t="str">
        <f ca="1">IF(LEN($A38)&gt;0,IF(AND(ISNUMBER(VLOOKUP($A38,Rezepte,MATCH(Produktionsmenge!AR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AR$5,Rezepte!$5:$5,0),0),""),"")</f>
        <v/>
      </c>
      <c r="AS38" s="24" t="str">
        <f ca="1">IF(LEN($A38)&gt;0,IF(AND(ISNUMBER(VLOOKUP($A38,Rezepte,MATCH(Produktionsmenge!AS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AS$5,Rezepte!$5:$5,0),0),""),"")</f>
        <v/>
      </c>
      <c r="AT38" s="24" t="str">
        <f ca="1">IF(LEN($A38)&gt;0,IF(AND(ISNUMBER(VLOOKUP($A38,Rezepte,MATCH(Produktionsmenge!AT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AT$5,Rezepte!$5:$5,0),0),""),"")</f>
        <v/>
      </c>
      <c r="AU38" s="24" t="str">
        <f ca="1">IF(LEN($A38)&gt;0,IF(AND(ISNUMBER(VLOOKUP($A38,Rezepte,MATCH(Produktionsmenge!AU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AU$5,Rezepte!$5:$5,0),0),""),"")</f>
        <v/>
      </c>
      <c r="AV38" s="24" t="str">
        <f ca="1">IF(LEN($A38)&gt;0,IF(AND(ISNUMBER(VLOOKUP($A38,Rezepte,MATCH(Produktionsmenge!AV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AV$5,Rezepte!$5:$5,0),0),""),"")</f>
        <v/>
      </c>
      <c r="AW38" s="24" t="str">
        <f ca="1">IF(LEN($A38)&gt;0,IF(AND(ISNUMBER(VLOOKUP($A38,Rezepte,MATCH(Produktionsmenge!AW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AW$5,Rezepte!$5:$5,0),0),""),"")</f>
        <v/>
      </c>
      <c r="AX38" s="24" t="str">
        <f ca="1">IF(LEN($A38)&gt;0,IF(AND(ISNUMBER(VLOOKUP($A38,Rezepte,MATCH(Produktionsmenge!AX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AX$5,Rezepte!$5:$5,0),0),""),"")</f>
        <v/>
      </c>
      <c r="AY38" s="24" t="str">
        <f ca="1">IF(LEN($A38)&gt;0,IF(AND(ISNUMBER(VLOOKUP($A38,Rezepte,MATCH(Produktionsmenge!AY$5,Rezepte!$5:$5,0),0)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&gt;0),SUM(OFFSET(Bestellungen!$A$5,1,MATCH(IF(ISNUMBER(SEARCH("(",$A38)),LEFT($A38,SEARCH("(",$A38)-2),$A38),Bestellungen!$A$5:$AJ$5,0)-1):OFFSET(Bestellungen!$A$5,COUNTA(Bestellungen!$A$6:$A$1048576),MATCH(IF(ISNUMBER(SEARCH("(",$A38)),LEFT($A38,SEARCH("(",$A38)-2),$A38),Bestellungen!$A$5:$AJ$5,0)-1))*VLOOKUP($A38,Rezepte,MATCH(Produktionsmenge!AY$5,Rezepte!$5:$5,0),0),""),"")</f>
        <v/>
      </c>
    </row>
    <row r="39" spans="1:51" x14ac:dyDescent="0.25">
      <c r="A39" t="str">
        <f t="array" ref="A39">IFERROR(INDEX(Rezepte!$A$6:$A$100,MATCH(1,(COUNTIF(A$6:A38,Rezepte!A$6:A$100)=0)*(Rezepte!A$6:A$100&lt;&gt;""),0)),"")</f>
        <v/>
      </c>
      <c r="B39" s="24" t="str">
        <f ca="1">IF(LEN($A39)&gt;0,IF(AND(ISNUMBER(VLOOKUP($A39,Rezepte,MATCH(Produktionsmenge!B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B$5,Rezepte!$5:$5,0),0),""),"")</f>
        <v/>
      </c>
      <c r="C39" s="24" t="str">
        <f ca="1">IF(LEN($A39)&gt;0,IF(AND(ISNUMBER(VLOOKUP($A39,Rezepte,MATCH(Produktionsmenge!C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C$5,Rezepte!$5:$5,0),0),""),"")</f>
        <v/>
      </c>
      <c r="D39" s="24" t="str">
        <f ca="1">IF(LEN($A39)&gt;0,IF(AND(ISNUMBER(VLOOKUP($A39,Rezepte,MATCH(Produktionsmenge!D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D$5,Rezepte!$5:$5,0),0),""),"")</f>
        <v/>
      </c>
      <c r="E39" s="24" t="str">
        <f ca="1">IF(LEN($A39)&gt;0,IF(AND(ISNUMBER(VLOOKUP($A39,Rezepte,MATCH(Produktionsmenge!E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E$5,Rezepte!$5:$5,0),0),""),"")</f>
        <v/>
      </c>
      <c r="F39" s="24" t="str">
        <f ca="1">IF(LEN($A39)&gt;0,IF(AND(ISNUMBER(VLOOKUP($A39,Rezepte,MATCH(Produktionsmenge!F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F$5,Rezepte!$5:$5,0),0),""),"")</f>
        <v/>
      </c>
      <c r="G39" s="24" t="str">
        <f ca="1">IF(LEN($A39)&gt;0,IF(AND(ISNUMBER(VLOOKUP($A39,Rezepte,MATCH(Produktionsmenge!G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G$5,Rezepte!$5:$5,0),0),""),"")</f>
        <v/>
      </c>
      <c r="H39" s="24" t="str">
        <f ca="1">IF(LEN($A39)&gt;0,IF(AND(ISNUMBER(VLOOKUP($A39,Rezepte,MATCH(Produktionsmenge!H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H$5,Rezepte!$5:$5,0),0),""),"")</f>
        <v/>
      </c>
      <c r="I39" s="24" t="str">
        <f ca="1">IF(LEN($A39)&gt;0,IF(AND(ISNUMBER(VLOOKUP($A39,Rezepte,MATCH(Produktionsmenge!I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I$5,Rezepte!$5:$5,0),0),""),"")</f>
        <v/>
      </c>
      <c r="J39" s="24" t="str">
        <f ca="1">IF(LEN($A39)&gt;0,IF(AND(ISNUMBER(VLOOKUP($A39,Rezepte,MATCH(Produktionsmenge!J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J$5,Rezepte!$5:$5,0),0),""),"")</f>
        <v/>
      </c>
      <c r="K39" s="24" t="str">
        <f ca="1">IF(LEN($A39)&gt;0,IF(AND(ISNUMBER(VLOOKUP($A39,Rezepte,MATCH(Produktionsmenge!K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K$5,Rezepte!$5:$5,0),0),""),"")</f>
        <v/>
      </c>
      <c r="L39" s="24" t="str">
        <f ca="1">IF(LEN($A39)&gt;0,IF(AND(ISNUMBER(VLOOKUP($A39,Rezepte,MATCH(Produktionsmenge!L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L$5,Rezepte!$5:$5,0),0),""),"")</f>
        <v/>
      </c>
      <c r="M39" s="24" t="str">
        <f ca="1">IF(LEN($A39)&gt;0,IF(AND(ISNUMBER(VLOOKUP($A39,Rezepte,MATCH(Produktionsmenge!M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M$5,Rezepte!$5:$5,0),0),""),"")</f>
        <v/>
      </c>
      <c r="N39" s="24" t="str">
        <f ca="1">IF(LEN($A39)&gt;0,IF(AND(ISNUMBER(VLOOKUP($A39,Rezepte,MATCH(Produktionsmenge!N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N$5,Rezepte!$5:$5,0),0),""),"")</f>
        <v/>
      </c>
      <c r="O39" s="24" t="str">
        <f ca="1">IF(LEN($A39)&gt;0,IF(AND(ISNUMBER(VLOOKUP($A39,Rezepte,MATCH(Produktionsmenge!O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O$5,Rezepte!$5:$5,0),0),""),"")</f>
        <v/>
      </c>
      <c r="P39" s="24" t="str">
        <f ca="1">IF(LEN($A39)&gt;0,IF(AND(ISNUMBER(VLOOKUP($A39,Rezepte,MATCH(Produktionsmenge!P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P$5,Rezepte!$5:$5,0),0),""),"")</f>
        <v/>
      </c>
      <c r="Q39" s="24" t="str">
        <f ca="1">IF(LEN($A39)&gt;0,IF(AND(ISNUMBER(VLOOKUP($A39,Rezepte,MATCH(Produktionsmenge!Q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Q$5,Rezepte!$5:$5,0),0),""),"")</f>
        <v/>
      </c>
      <c r="R39" s="24" t="str">
        <f ca="1">IF(LEN($A39)&gt;0,IF(AND(ISNUMBER(VLOOKUP($A39,Rezepte,MATCH(Produktionsmenge!R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R$5,Rezepte!$5:$5,0),0),""),"")</f>
        <v/>
      </c>
      <c r="S39" s="24" t="str">
        <f ca="1">IF(LEN($A39)&gt;0,IF(AND(ISNUMBER(VLOOKUP($A39,Rezepte,MATCH(Produktionsmenge!S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S$5,Rezepte!$5:$5,0),0),""),"")</f>
        <v/>
      </c>
      <c r="T39" s="24" t="str">
        <f ca="1">IF(LEN($A39)&gt;0,IF(AND(ISNUMBER(VLOOKUP($A39,Rezepte,MATCH(Produktionsmenge!T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T$5,Rezepte!$5:$5,0),0),""),"")</f>
        <v/>
      </c>
      <c r="U39" s="24" t="str">
        <f ca="1">IF(LEN($A39)&gt;0,IF(AND(ISNUMBER(VLOOKUP($A39,Rezepte,MATCH(Produktionsmenge!U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U$5,Rezepte!$5:$5,0),0),""),"")</f>
        <v/>
      </c>
      <c r="V39" s="24" t="str">
        <f ca="1">IF(LEN($A39)&gt;0,IF(AND(ISNUMBER(VLOOKUP($A39,Rezepte,MATCH(Produktionsmenge!V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V$5,Rezepte!$5:$5,0),0),""),"")</f>
        <v/>
      </c>
      <c r="W39" s="24" t="str">
        <f ca="1">IF(LEN($A39)&gt;0,IF(AND(ISNUMBER(VLOOKUP($A39,Rezepte,MATCH(Produktionsmenge!W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W$5,Rezepte!$5:$5,0),0),""),"")</f>
        <v/>
      </c>
      <c r="X39" s="24" t="str">
        <f ca="1">IF(LEN($A39)&gt;0,IF(AND(ISNUMBER(VLOOKUP($A39,Rezepte,MATCH(Produktionsmenge!X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X$5,Rezepte!$5:$5,0),0),""),"")</f>
        <v/>
      </c>
      <c r="Y39" s="24" t="str">
        <f ca="1">IF(LEN($A39)&gt;0,IF(AND(ISNUMBER(VLOOKUP($A39,Rezepte,MATCH(Produktionsmenge!Y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Y$5,Rezepte!$5:$5,0),0),""),"")</f>
        <v/>
      </c>
      <c r="Z39" s="24" t="str">
        <f ca="1">IF(LEN($A39)&gt;0,IF(AND(ISNUMBER(VLOOKUP($A39,Rezepte,MATCH(Produktionsmenge!Z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Z$5,Rezepte!$5:$5,0),0),""),"")</f>
        <v/>
      </c>
      <c r="AA39" s="24" t="str">
        <f ca="1">IF(LEN($A39)&gt;0,IF(AND(ISNUMBER(VLOOKUP($A39,Rezepte,MATCH(Produktionsmenge!AA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AA$5,Rezepte!$5:$5,0),0),""),"")</f>
        <v/>
      </c>
      <c r="AB39" s="24" t="str">
        <f ca="1">IF(LEN($A39)&gt;0,IF(AND(ISNUMBER(VLOOKUP($A39,Rezepte,MATCH(Produktionsmenge!AB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AB$5,Rezepte!$5:$5,0),0),""),"")</f>
        <v/>
      </c>
      <c r="AC39" s="24" t="str">
        <f ca="1">IF(LEN($A39)&gt;0,IF(AND(ISNUMBER(VLOOKUP($A39,Rezepte,MATCH(Produktionsmenge!AC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AC$5,Rezepte!$5:$5,0),0),""),"")</f>
        <v/>
      </c>
      <c r="AD39" s="24" t="str">
        <f ca="1">IF(LEN($A39)&gt;0,IF(AND(ISNUMBER(VLOOKUP($A39,Rezepte,MATCH(Produktionsmenge!AD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AD$5,Rezepte!$5:$5,0),0),""),"")</f>
        <v/>
      </c>
      <c r="AE39" s="24" t="str">
        <f ca="1">IF(LEN($A39)&gt;0,IF(AND(ISNUMBER(VLOOKUP($A39,Rezepte,MATCH(Produktionsmenge!AE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AE$5,Rezepte!$5:$5,0),0),""),"")</f>
        <v/>
      </c>
      <c r="AF39" s="24" t="str">
        <f ca="1">IF(LEN($A39)&gt;0,IF(AND(ISNUMBER(VLOOKUP($A39,Rezepte,MATCH(Produktionsmenge!AF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AF$5,Rezepte!$5:$5,0),0),""),"")</f>
        <v/>
      </c>
      <c r="AG39" s="24" t="str">
        <f ca="1">IF(LEN($A39)&gt;0,IF(AND(ISNUMBER(VLOOKUP($A39,Rezepte,MATCH(Produktionsmenge!AG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AG$5,Rezepte!$5:$5,0),0),""),"")</f>
        <v/>
      </c>
      <c r="AH39" s="24" t="str">
        <f ca="1">IF(LEN($A39)&gt;0,IF(AND(ISNUMBER(VLOOKUP($A39,Rezepte,MATCH(Produktionsmenge!AH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AH$5,Rezepte!$5:$5,0),0),""),"")</f>
        <v/>
      </c>
      <c r="AI39" s="24" t="str">
        <f ca="1">IF(LEN($A39)&gt;0,IF(AND(ISNUMBER(VLOOKUP($A39,Rezepte,MATCH(Produktionsmenge!AI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AI$5,Rezepte!$5:$5,0),0),""),"")</f>
        <v/>
      </c>
      <c r="AJ39" s="24" t="str">
        <f ca="1">IF(LEN($A39)&gt;0,IF(AND(ISNUMBER(VLOOKUP($A39,Rezepte,MATCH(Produktionsmenge!AJ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AJ$5,Rezepte!$5:$5,0),0),""),"")</f>
        <v/>
      </c>
      <c r="AK39" s="24" t="str">
        <f ca="1">IF(LEN($A39)&gt;0,IF(AND(ISNUMBER(VLOOKUP($A39,Rezepte,MATCH(Produktionsmenge!AK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AK$5,Rezepte!$5:$5,0),0),""),"")</f>
        <v/>
      </c>
      <c r="AL39" s="24" t="str">
        <f ca="1">IF(LEN($A39)&gt;0,IF(AND(ISNUMBER(VLOOKUP($A39,Rezepte,MATCH(Produktionsmenge!AL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AL$5,Rezepte!$5:$5,0),0),""),"")</f>
        <v/>
      </c>
      <c r="AM39" s="24" t="str">
        <f ca="1">IF(LEN($A39)&gt;0,IF(AND(ISNUMBER(VLOOKUP($A39,Rezepte,MATCH(Produktionsmenge!AM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AM$5,Rezepte!$5:$5,0),0),""),"")</f>
        <v/>
      </c>
      <c r="AN39" s="24" t="str">
        <f ca="1">IF(LEN($A39)&gt;0,IF(AND(ISNUMBER(VLOOKUP($A39,Rezepte,MATCH(Produktionsmenge!AN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AN$5,Rezepte!$5:$5,0),0),""),"")</f>
        <v/>
      </c>
      <c r="AO39" s="24" t="str">
        <f ca="1">IF(LEN($A39)&gt;0,IF(AND(ISNUMBER(VLOOKUP($A39,Rezepte,MATCH(Produktionsmenge!AO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AO$5,Rezepte!$5:$5,0),0),""),"")</f>
        <v/>
      </c>
      <c r="AP39" s="24" t="str">
        <f ca="1">IF(LEN($A39)&gt;0,IF(AND(ISNUMBER(VLOOKUP($A39,Rezepte,MATCH(Produktionsmenge!AP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AP$5,Rezepte!$5:$5,0),0),""),"")</f>
        <v/>
      </c>
      <c r="AQ39" s="24" t="str">
        <f ca="1">IF(LEN($A39)&gt;0,IF(AND(ISNUMBER(VLOOKUP($A39,Rezepte,MATCH(Produktionsmenge!AQ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AQ$5,Rezepte!$5:$5,0),0),""),"")</f>
        <v/>
      </c>
      <c r="AR39" s="24" t="str">
        <f ca="1">IF(LEN($A39)&gt;0,IF(AND(ISNUMBER(VLOOKUP($A39,Rezepte,MATCH(Produktionsmenge!AR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AR$5,Rezepte!$5:$5,0),0),""),"")</f>
        <v/>
      </c>
      <c r="AS39" s="24" t="str">
        <f ca="1">IF(LEN($A39)&gt;0,IF(AND(ISNUMBER(VLOOKUP($A39,Rezepte,MATCH(Produktionsmenge!AS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AS$5,Rezepte!$5:$5,0),0),""),"")</f>
        <v/>
      </c>
      <c r="AT39" s="24" t="str">
        <f ca="1">IF(LEN($A39)&gt;0,IF(AND(ISNUMBER(VLOOKUP($A39,Rezepte,MATCH(Produktionsmenge!AT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AT$5,Rezepte!$5:$5,0),0),""),"")</f>
        <v/>
      </c>
      <c r="AU39" s="24" t="str">
        <f ca="1">IF(LEN($A39)&gt;0,IF(AND(ISNUMBER(VLOOKUP($A39,Rezepte,MATCH(Produktionsmenge!AU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AU$5,Rezepte!$5:$5,0),0),""),"")</f>
        <v/>
      </c>
      <c r="AV39" s="24" t="str">
        <f ca="1">IF(LEN($A39)&gt;0,IF(AND(ISNUMBER(VLOOKUP($A39,Rezepte,MATCH(Produktionsmenge!AV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AV$5,Rezepte!$5:$5,0),0),""),"")</f>
        <v/>
      </c>
      <c r="AW39" s="24" t="str">
        <f ca="1">IF(LEN($A39)&gt;0,IF(AND(ISNUMBER(VLOOKUP($A39,Rezepte,MATCH(Produktionsmenge!AW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AW$5,Rezepte!$5:$5,0),0),""),"")</f>
        <v/>
      </c>
      <c r="AX39" s="24" t="str">
        <f ca="1">IF(LEN($A39)&gt;0,IF(AND(ISNUMBER(VLOOKUP($A39,Rezepte,MATCH(Produktionsmenge!AX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AX$5,Rezepte!$5:$5,0),0),""),"")</f>
        <v/>
      </c>
      <c r="AY39" s="24" t="str">
        <f ca="1">IF(LEN($A39)&gt;0,IF(AND(ISNUMBER(VLOOKUP($A39,Rezepte,MATCH(Produktionsmenge!AY$5,Rezepte!$5:$5,0),0)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&gt;0),SUM(OFFSET(Bestellungen!$A$5,1,MATCH(IF(ISNUMBER(SEARCH("(",$A39)),LEFT($A39,SEARCH("(",$A39)-2),$A39),Bestellungen!$A$5:$AJ$5,0)-1):OFFSET(Bestellungen!$A$5,COUNTA(Bestellungen!$A$6:$A$1048576),MATCH(IF(ISNUMBER(SEARCH("(",$A39)),LEFT($A39,SEARCH("(",$A39)-2),$A39),Bestellungen!$A$5:$AJ$5,0)-1))*VLOOKUP($A39,Rezepte,MATCH(Produktionsmenge!AY$5,Rezepte!$5:$5,0),0),""),"")</f>
        <v/>
      </c>
    </row>
    <row r="40" spans="1:51" x14ac:dyDescent="0.25">
      <c r="A40" t="str">
        <f t="array" ref="A40">IFERROR(INDEX(Rezepte!$A$6:$A$100,MATCH(1,(COUNTIF(A$6:A39,Rezepte!A$6:A$100)=0)*(Rezepte!A$6:A$100&lt;&gt;""),0)),"")</f>
        <v/>
      </c>
      <c r="B40" s="24" t="str">
        <f ca="1">IF(LEN($A40)&gt;0,IF(AND(ISNUMBER(VLOOKUP($A40,Rezepte,MATCH(Produktionsmenge!B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B$5,Rezepte!$5:$5,0),0),""),"")</f>
        <v/>
      </c>
      <c r="C40" s="24" t="str">
        <f ca="1">IF(LEN($A40)&gt;0,IF(AND(ISNUMBER(VLOOKUP($A40,Rezepte,MATCH(Produktionsmenge!C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C$5,Rezepte!$5:$5,0),0),""),"")</f>
        <v/>
      </c>
      <c r="D40" s="24" t="str">
        <f ca="1">IF(LEN($A40)&gt;0,IF(AND(ISNUMBER(VLOOKUP($A40,Rezepte,MATCH(Produktionsmenge!D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D$5,Rezepte!$5:$5,0),0),""),"")</f>
        <v/>
      </c>
      <c r="E40" s="24" t="str">
        <f ca="1">IF(LEN($A40)&gt;0,IF(AND(ISNUMBER(VLOOKUP($A40,Rezepte,MATCH(Produktionsmenge!E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E$5,Rezepte!$5:$5,0),0),""),"")</f>
        <v/>
      </c>
      <c r="F40" s="24" t="str">
        <f ca="1">IF(LEN($A40)&gt;0,IF(AND(ISNUMBER(VLOOKUP($A40,Rezepte,MATCH(Produktionsmenge!F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F$5,Rezepte!$5:$5,0),0),""),"")</f>
        <v/>
      </c>
      <c r="G40" s="24" t="str">
        <f ca="1">IF(LEN($A40)&gt;0,IF(AND(ISNUMBER(VLOOKUP($A40,Rezepte,MATCH(Produktionsmenge!G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G$5,Rezepte!$5:$5,0),0),""),"")</f>
        <v/>
      </c>
      <c r="H40" s="24" t="str">
        <f ca="1">IF(LEN($A40)&gt;0,IF(AND(ISNUMBER(VLOOKUP($A40,Rezepte,MATCH(Produktionsmenge!H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H$5,Rezepte!$5:$5,0),0),""),"")</f>
        <v/>
      </c>
      <c r="I40" s="24" t="str">
        <f ca="1">IF(LEN($A40)&gt;0,IF(AND(ISNUMBER(VLOOKUP($A40,Rezepte,MATCH(Produktionsmenge!I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I$5,Rezepte!$5:$5,0),0),""),"")</f>
        <v/>
      </c>
      <c r="J40" s="24" t="str">
        <f ca="1">IF(LEN($A40)&gt;0,IF(AND(ISNUMBER(VLOOKUP($A40,Rezepte,MATCH(Produktionsmenge!J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J$5,Rezepte!$5:$5,0),0),""),"")</f>
        <v/>
      </c>
      <c r="K40" s="24" t="str">
        <f ca="1">IF(LEN($A40)&gt;0,IF(AND(ISNUMBER(VLOOKUP($A40,Rezepte,MATCH(Produktionsmenge!K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K$5,Rezepte!$5:$5,0),0),""),"")</f>
        <v/>
      </c>
      <c r="L40" s="24" t="str">
        <f ca="1">IF(LEN($A40)&gt;0,IF(AND(ISNUMBER(VLOOKUP($A40,Rezepte,MATCH(Produktionsmenge!L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L$5,Rezepte!$5:$5,0),0),""),"")</f>
        <v/>
      </c>
      <c r="M40" s="24" t="str">
        <f ca="1">IF(LEN($A40)&gt;0,IF(AND(ISNUMBER(VLOOKUP($A40,Rezepte,MATCH(Produktionsmenge!M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M$5,Rezepte!$5:$5,0),0),""),"")</f>
        <v/>
      </c>
      <c r="N40" s="24" t="str">
        <f ca="1">IF(LEN($A40)&gt;0,IF(AND(ISNUMBER(VLOOKUP($A40,Rezepte,MATCH(Produktionsmenge!N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N$5,Rezepte!$5:$5,0),0),""),"")</f>
        <v/>
      </c>
      <c r="O40" s="24" t="str">
        <f ca="1">IF(LEN($A40)&gt;0,IF(AND(ISNUMBER(VLOOKUP($A40,Rezepte,MATCH(Produktionsmenge!O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O$5,Rezepte!$5:$5,0),0),""),"")</f>
        <v/>
      </c>
      <c r="P40" s="24" t="str">
        <f ca="1">IF(LEN($A40)&gt;0,IF(AND(ISNUMBER(VLOOKUP($A40,Rezepte,MATCH(Produktionsmenge!P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P$5,Rezepte!$5:$5,0),0),""),"")</f>
        <v/>
      </c>
      <c r="Q40" s="24" t="str">
        <f ca="1">IF(LEN($A40)&gt;0,IF(AND(ISNUMBER(VLOOKUP($A40,Rezepte,MATCH(Produktionsmenge!Q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Q$5,Rezepte!$5:$5,0),0),""),"")</f>
        <v/>
      </c>
      <c r="R40" s="24" t="str">
        <f ca="1">IF(LEN($A40)&gt;0,IF(AND(ISNUMBER(VLOOKUP($A40,Rezepte,MATCH(Produktionsmenge!R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R$5,Rezepte!$5:$5,0),0),""),"")</f>
        <v/>
      </c>
      <c r="S40" s="24" t="str">
        <f ca="1">IF(LEN($A40)&gt;0,IF(AND(ISNUMBER(VLOOKUP($A40,Rezepte,MATCH(Produktionsmenge!S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S$5,Rezepte!$5:$5,0),0),""),"")</f>
        <v/>
      </c>
      <c r="T40" s="24" t="str">
        <f ca="1">IF(LEN($A40)&gt;0,IF(AND(ISNUMBER(VLOOKUP($A40,Rezepte,MATCH(Produktionsmenge!T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T$5,Rezepte!$5:$5,0),0),""),"")</f>
        <v/>
      </c>
      <c r="U40" s="24" t="str">
        <f ca="1">IF(LEN($A40)&gt;0,IF(AND(ISNUMBER(VLOOKUP($A40,Rezepte,MATCH(Produktionsmenge!U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U$5,Rezepte!$5:$5,0),0),""),"")</f>
        <v/>
      </c>
      <c r="V40" s="24" t="str">
        <f ca="1">IF(LEN($A40)&gt;0,IF(AND(ISNUMBER(VLOOKUP($A40,Rezepte,MATCH(Produktionsmenge!V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V$5,Rezepte!$5:$5,0),0),""),"")</f>
        <v/>
      </c>
      <c r="W40" s="24" t="str">
        <f ca="1">IF(LEN($A40)&gt;0,IF(AND(ISNUMBER(VLOOKUP($A40,Rezepte,MATCH(Produktionsmenge!W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W$5,Rezepte!$5:$5,0),0),""),"")</f>
        <v/>
      </c>
      <c r="X40" s="24" t="str">
        <f ca="1">IF(LEN($A40)&gt;0,IF(AND(ISNUMBER(VLOOKUP($A40,Rezepte,MATCH(Produktionsmenge!X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X$5,Rezepte!$5:$5,0),0),""),"")</f>
        <v/>
      </c>
      <c r="Y40" s="24" t="str">
        <f ca="1">IF(LEN($A40)&gt;0,IF(AND(ISNUMBER(VLOOKUP($A40,Rezepte,MATCH(Produktionsmenge!Y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Y$5,Rezepte!$5:$5,0),0),""),"")</f>
        <v/>
      </c>
      <c r="Z40" s="24" t="str">
        <f ca="1">IF(LEN($A40)&gt;0,IF(AND(ISNUMBER(VLOOKUP($A40,Rezepte,MATCH(Produktionsmenge!Z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Z$5,Rezepte!$5:$5,0),0),""),"")</f>
        <v/>
      </c>
      <c r="AA40" s="24" t="str">
        <f ca="1">IF(LEN($A40)&gt;0,IF(AND(ISNUMBER(VLOOKUP($A40,Rezepte,MATCH(Produktionsmenge!AA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AA$5,Rezepte!$5:$5,0),0),""),"")</f>
        <v/>
      </c>
      <c r="AB40" s="24" t="str">
        <f ca="1">IF(LEN($A40)&gt;0,IF(AND(ISNUMBER(VLOOKUP($A40,Rezepte,MATCH(Produktionsmenge!AB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AB$5,Rezepte!$5:$5,0),0),""),"")</f>
        <v/>
      </c>
      <c r="AC40" s="24" t="str">
        <f ca="1">IF(LEN($A40)&gt;0,IF(AND(ISNUMBER(VLOOKUP($A40,Rezepte,MATCH(Produktionsmenge!AC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AC$5,Rezepte!$5:$5,0),0),""),"")</f>
        <v/>
      </c>
      <c r="AD40" s="24" t="str">
        <f ca="1">IF(LEN($A40)&gt;0,IF(AND(ISNUMBER(VLOOKUP($A40,Rezepte,MATCH(Produktionsmenge!AD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AD$5,Rezepte!$5:$5,0),0),""),"")</f>
        <v/>
      </c>
      <c r="AE40" s="24" t="str">
        <f ca="1">IF(LEN($A40)&gt;0,IF(AND(ISNUMBER(VLOOKUP($A40,Rezepte,MATCH(Produktionsmenge!AE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AE$5,Rezepte!$5:$5,0),0),""),"")</f>
        <v/>
      </c>
      <c r="AF40" s="24" t="str">
        <f ca="1">IF(LEN($A40)&gt;0,IF(AND(ISNUMBER(VLOOKUP($A40,Rezepte,MATCH(Produktionsmenge!AF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AF$5,Rezepte!$5:$5,0),0),""),"")</f>
        <v/>
      </c>
      <c r="AG40" s="24" t="str">
        <f ca="1">IF(LEN($A40)&gt;0,IF(AND(ISNUMBER(VLOOKUP($A40,Rezepte,MATCH(Produktionsmenge!AG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AG$5,Rezepte!$5:$5,0),0),""),"")</f>
        <v/>
      </c>
      <c r="AH40" s="24" t="str">
        <f ca="1">IF(LEN($A40)&gt;0,IF(AND(ISNUMBER(VLOOKUP($A40,Rezepte,MATCH(Produktionsmenge!AH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AH$5,Rezepte!$5:$5,0),0),""),"")</f>
        <v/>
      </c>
      <c r="AI40" s="24" t="str">
        <f ca="1">IF(LEN($A40)&gt;0,IF(AND(ISNUMBER(VLOOKUP($A40,Rezepte,MATCH(Produktionsmenge!AI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AI$5,Rezepte!$5:$5,0),0),""),"")</f>
        <v/>
      </c>
      <c r="AJ40" s="24" t="str">
        <f ca="1">IF(LEN($A40)&gt;0,IF(AND(ISNUMBER(VLOOKUP($A40,Rezepte,MATCH(Produktionsmenge!AJ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AJ$5,Rezepte!$5:$5,0),0),""),"")</f>
        <v/>
      </c>
      <c r="AK40" s="24" t="str">
        <f ca="1">IF(LEN($A40)&gt;0,IF(AND(ISNUMBER(VLOOKUP($A40,Rezepte,MATCH(Produktionsmenge!AK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AK$5,Rezepte!$5:$5,0),0),""),"")</f>
        <v/>
      </c>
      <c r="AL40" s="24" t="str">
        <f ca="1">IF(LEN($A40)&gt;0,IF(AND(ISNUMBER(VLOOKUP($A40,Rezepte,MATCH(Produktionsmenge!AL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AL$5,Rezepte!$5:$5,0),0),""),"")</f>
        <v/>
      </c>
      <c r="AM40" s="24" t="str">
        <f ca="1">IF(LEN($A40)&gt;0,IF(AND(ISNUMBER(VLOOKUP($A40,Rezepte,MATCH(Produktionsmenge!AM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AM$5,Rezepte!$5:$5,0),0),""),"")</f>
        <v/>
      </c>
      <c r="AN40" s="24" t="str">
        <f ca="1">IF(LEN($A40)&gt;0,IF(AND(ISNUMBER(VLOOKUP($A40,Rezepte,MATCH(Produktionsmenge!AN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AN$5,Rezepte!$5:$5,0),0),""),"")</f>
        <v/>
      </c>
      <c r="AO40" s="24" t="str">
        <f ca="1">IF(LEN($A40)&gt;0,IF(AND(ISNUMBER(VLOOKUP($A40,Rezepte,MATCH(Produktionsmenge!AO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AO$5,Rezepte!$5:$5,0),0),""),"")</f>
        <v/>
      </c>
      <c r="AP40" s="24" t="str">
        <f ca="1">IF(LEN($A40)&gt;0,IF(AND(ISNUMBER(VLOOKUP($A40,Rezepte,MATCH(Produktionsmenge!AP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AP$5,Rezepte!$5:$5,0),0),""),"")</f>
        <v/>
      </c>
      <c r="AQ40" s="24" t="str">
        <f ca="1">IF(LEN($A40)&gt;0,IF(AND(ISNUMBER(VLOOKUP($A40,Rezepte,MATCH(Produktionsmenge!AQ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AQ$5,Rezepte!$5:$5,0),0),""),"")</f>
        <v/>
      </c>
      <c r="AR40" s="24" t="str">
        <f ca="1">IF(LEN($A40)&gt;0,IF(AND(ISNUMBER(VLOOKUP($A40,Rezepte,MATCH(Produktionsmenge!AR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AR$5,Rezepte!$5:$5,0),0),""),"")</f>
        <v/>
      </c>
      <c r="AS40" s="24" t="str">
        <f ca="1">IF(LEN($A40)&gt;0,IF(AND(ISNUMBER(VLOOKUP($A40,Rezepte,MATCH(Produktionsmenge!AS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AS$5,Rezepte!$5:$5,0),0),""),"")</f>
        <v/>
      </c>
      <c r="AT40" s="24" t="str">
        <f ca="1">IF(LEN($A40)&gt;0,IF(AND(ISNUMBER(VLOOKUP($A40,Rezepte,MATCH(Produktionsmenge!AT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AT$5,Rezepte!$5:$5,0),0),""),"")</f>
        <v/>
      </c>
      <c r="AU40" s="24" t="str">
        <f ca="1">IF(LEN($A40)&gt;0,IF(AND(ISNUMBER(VLOOKUP($A40,Rezepte,MATCH(Produktionsmenge!AU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AU$5,Rezepte!$5:$5,0),0),""),"")</f>
        <v/>
      </c>
      <c r="AV40" s="24" t="str">
        <f ca="1">IF(LEN($A40)&gt;0,IF(AND(ISNUMBER(VLOOKUP($A40,Rezepte,MATCH(Produktionsmenge!AV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AV$5,Rezepte!$5:$5,0),0),""),"")</f>
        <v/>
      </c>
      <c r="AW40" s="24" t="str">
        <f ca="1">IF(LEN($A40)&gt;0,IF(AND(ISNUMBER(VLOOKUP($A40,Rezepte,MATCH(Produktionsmenge!AW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AW$5,Rezepte!$5:$5,0),0),""),"")</f>
        <v/>
      </c>
      <c r="AX40" s="24" t="str">
        <f ca="1">IF(LEN($A40)&gt;0,IF(AND(ISNUMBER(VLOOKUP($A40,Rezepte,MATCH(Produktionsmenge!AX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AX$5,Rezepte!$5:$5,0),0),""),"")</f>
        <v/>
      </c>
      <c r="AY40" s="24" t="str">
        <f ca="1">IF(LEN($A40)&gt;0,IF(AND(ISNUMBER(VLOOKUP($A40,Rezepte,MATCH(Produktionsmenge!AY$5,Rezepte!$5:$5,0),0)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&gt;0),SUM(OFFSET(Bestellungen!$A$5,1,MATCH(IF(ISNUMBER(SEARCH("(",$A40)),LEFT($A40,SEARCH("(",$A40)-2),$A40),Bestellungen!$A$5:$AJ$5,0)-1):OFFSET(Bestellungen!$A$5,COUNTA(Bestellungen!$A$6:$A$1048576),MATCH(IF(ISNUMBER(SEARCH("(",$A40)),LEFT($A40,SEARCH("(",$A40)-2),$A40),Bestellungen!$A$5:$AJ$5,0)-1))*VLOOKUP($A40,Rezepte,MATCH(Produktionsmenge!AY$5,Rezepte!$5:$5,0),0),""),"")</f>
        <v/>
      </c>
    </row>
    <row r="41" spans="1:51" x14ac:dyDescent="0.25">
      <c r="A41" t="str">
        <f t="array" ref="A41">IFERROR(INDEX(Rezepte!$A$6:$A$100,MATCH(1,(COUNTIF(A$6:A40,Rezepte!A$6:A$100)=0)*(Rezepte!A$6:A$100&lt;&gt;""),0)),"")</f>
        <v/>
      </c>
      <c r="B41" s="24" t="str">
        <f ca="1">IF(LEN($A41)&gt;0,IF(AND(ISNUMBER(VLOOKUP($A41,Rezepte,MATCH(Produktionsmenge!B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B$5,Rezepte!$5:$5,0),0),""),"")</f>
        <v/>
      </c>
      <c r="C41" s="24" t="str">
        <f ca="1">IF(LEN($A41)&gt;0,IF(AND(ISNUMBER(VLOOKUP($A41,Rezepte,MATCH(Produktionsmenge!C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C$5,Rezepte!$5:$5,0),0),""),"")</f>
        <v/>
      </c>
      <c r="D41" s="24" t="str">
        <f ca="1">IF(LEN($A41)&gt;0,IF(AND(ISNUMBER(VLOOKUP($A41,Rezepte,MATCH(Produktionsmenge!D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D$5,Rezepte!$5:$5,0),0),""),"")</f>
        <v/>
      </c>
      <c r="E41" s="24" t="str">
        <f ca="1">IF(LEN($A41)&gt;0,IF(AND(ISNUMBER(VLOOKUP($A41,Rezepte,MATCH(Produktionsmenge!E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E$5,Rezepte!$5:$5,0),0),""),"")</f>
        <v/>
      </c>
      <c r="F41" s="24" t="str">
        <f ca="1">IF(LEN($A41)&gt;0,IF(AND(ISNUMBER(VLOOKUP($A41,Rezepte,MATCH(Produktionsmenge!F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F$5,Rezepte!$5:$5,0),0),""),"")</f>
        <v/>
      </c>
      <c r="G41" s="24" t="str">
        <f ca="1">IF(LEN($A41)&gt;0,IF(AND(ISNUMBER(VLOOKUP($A41,Rezepte,MATCH(Produktionsmenge!G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G$5,Rezepte!$5:$5,0),0),""),"")</f>
        <v/>
      </c>
      <c r="H41" s="24" t="str">
        <f ca="1">IF(LEN($A41)&gt;0,IF(AND(ISNUMBER(VLOOKUP($A41,Rezepte,MATCH(Produktionsmenge!H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H$5,Rezepte!$5:$5,0),0),""),"")</f>
        <v/>
      </c>
      <c r="I41" s="24" t="str">
        <f ca="1">IF(LEN($A41)&gt;0,IF(AND(ISNUMBER(VLOOKUP($A41,Rezepte,MATCH(Produktionsmenge!I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I$5,Rezepte!$5:$5,0),0),""),"")</f>
        <v/>
      </c>
      <c r="J41" s="24" t="str">
        <f ca="1">IF(LEN($A41)&gt;0,IF(AND(ISNUMBER(VLOOKUP($A41,Rezepte,MATCH(Produktionsmenge!J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J$5,Rezepte!$5:$5,0),0),""),"")</f>
        <v/>
      </c>
      <c r="K41" s="24" t="str">
        <f ca="1">IF(LEN($A41)&gt;0,IF(AND(ISNUMBER(VLOOKUP($A41,Rezepte,MATCH(Produktionsmenge!K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K$5,Rezepte!$5:$5,0),0),""),"")</f>
        <v/>
      </c>
      <c r="L41" s="24" t="str">
        <f ca="1">IF(LEN($A41)&gt;0,IF(AND(ISNUMBER(VLOOKUP($A41,Rezepte,MATCH(Produktionsmenge!L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L$5,Rezepte!$5:$5,0),0),""),"")</f>
        <v/>
      </c>
      <c r="M41" s="24" t="str">
        <f ca="1">IF(LEN($A41)&gt;0,IF(AND(ISNUMBER(VLOOKUP($A41,Rezepte,MATCH(Produktionsmenge!M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M$5,Rezepte!$5:$5,0),0),""),"")</f>
        <v/>
      </c>
      <c r="N41" s="24" t="str">
        <f ca="1">IF(LEN($A41)&gt;0,IF(AND(ISNUMBER(VLOOKUP($A41,Rezepte,MATCH(Produktionsmenge!N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N$5,Rezepte!$5:$5,0),0),""),"")</f>
        <v/>
      </c>
      <c r="O41" s="24" t="str">
        <f ca="1">IF(LEN($A41)&gt;0,IF(AND(ISNUMBER(VLOOKUP($A41,Rezepte,MATCH(Produktionsmenge!O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O$5,Rezepte!$5:$5,0),0),""),"")</f>
        <v/>
      </c>
      <c r="P41" s="24" t="str">
        <f ca="1">IF(LEN($A41)&gt;0,IF(AND(ISNUMBER(VLOOKUP($A41,Rezepte,MATCH(Produktionsmenge!P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P$5,Rezepte!$5:$5,0),0),""),"")</f>
        <v/>
      </c>
      <c r="Q41" s="24" t="str">
        <f ca="1">IF(LEN($A41)&gt;0,IF(AND(ISNUMBER(VLOOKUP($A41,Rezepte,MATCH(Produktionsmenge!Q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Q$5,Rezepte!$5:$5,0),0),""),"")</f>
        <v/>
      </c>
      <c r="R41" s="24" t="str">
        <f ca="1">IF(LEN($A41)&gt;0,IF(AND(ISNUMBER(VLOOKUP($A41,Rezepte,MATCH(Produktionsmenge!R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R$5,Rezepte!$5:$5,0),0),""),"")</f>
        <v/>
      </c>
      <c r="S41" s="24" t="str">
        <f ca="1">IF(LEN($A41)&gt;0,IF(AND(ISNUMBER(VLOOKUP($A41,Rezepte,MATCH(Produktionsmenge!S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S$5,Rezepte!$5:$5,0),0),""),"")</f>
        <v/>
      </c>
      <c r="T41" s="24" t="str">
        <f ca="1">IF(LEN($A41)&gt;0,IF(AND(ISNUMBER(VLOOKUP($A41,Rezepte,MATCH(Produktionsmenge!T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T$5,Rezepte!$5:$5,0),0),""),"")</f>
        <v/>
      </c>
      <c r="U41" s="24" t="str">
        <f ca="1">IF(LEN($A41)&gt;0,IF(AND(ISNUMBER(VLOOKUP($A41,Rezepte,MATCH(Produktionsmenge!U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U$5,Rezepte!$5:$5,0),0),""),"")</f>
        <v/>
      </c>
      <c r="V41" s="24" t="str">
        <f ca="1">IF(LEN($A41)&gt;0,IF(AND(ISNUMBER(VLOOKUP($A41,Rezepte,MATCH(Produktionsmenge!V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V$5,Rezepte!$5:$5,0),0),""),"")</f>
        <v/>
      </c>
      <c r="W41" s="24" t="str">
        <f ca="1">IF(LEN($A41)&gt;0,IF(AND(ISNUMBER(VLOOKUP($A41,Rezepte,MATCH(Produktionsmenge!W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W$5,Rezepte!$5:$5,0),0),""),"")</f>
        <v/>
      </c>
      <c r="X41" s="24" t="str">
        <f ca="1">IF(LEN($A41)&gt;0,IF(AND(ISNUMBER(VLOOKUP($A41,Rezepte,MATCH(Produktionsmenge!X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X$5,Rezepte!$5:$5,0),0),""),"")</f>
        <v/>
      </c>
      <c r="Y41" s="24" t="str">
        <f ca="1">IF(LEN($A41)&gt;0,IF(AND(ISNUMBER(VLOOKUP($A41,Rezepte,MATCH(Produktionsmenge!Y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Y$5,Rezepte!$5:$5,0),0),""),"")</f>
        <v/>
      </c>
      <c r="Z41" s="24" t="str">
        <f ca="1">IF(LEN($A41)&gt;0,IF(AND(ISNUMBER(VLOOKUP($A41,Rezepte,MATCH(Produktionsmenge!Z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Z$5,Rezepte!$5:$5,0),0),""),"")</f>
        <v/>
      </c>
      <c r="AA41" s="24" t="str">
        <f ca="1">IF(LEN($A41)&gt;0,IF(AND(ISNUMBER(VLOOKUP($A41,Rezepte,MATCH(Produktionsmenge!AA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AA$5,Rezepte!$5:$5,0),0),""),"")</f>
        <v/>
      </c>
      <c r="AB41" s="24" t="str">
        <f ca="1">IF(LEN($A41)&gt;0,IF(AND(ISNUMBER(VLOOKUP($A41,Rezepte,MATCH(Produktionsmenge!AB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AB$5,Rezepte!$5:$5,0),0),""),"")</f>
        <v/>
      </c>
      <c r="AC41" s="24" t="str">
        <f ca="1">IF(LEN($A41)&gt;0,IF(AND(ISNUMBER(VLOOKUP($A41,Rezepte,MATCH(Produktionsmenge!AC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AC$5,Rezepte!$5:$5,0),0),""),"")</f>
        <v/>
      </c>
      <c r="AD41" s="24" t="str">
        <f ca="1">IF(LEN($A41)&gt;0,IF(AND(ISNUMBER(VLOOKUP($A41,Rezepte,MATCH(Produktionsmenge!AD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AD$5,Rezepte!$5:$5,0),0),""),"")</f>
        <v/>
      </c>
      <c r="AE41" s="24" t="str">
        <f ca="1">IF(LEN($A41)&gt;0,IF(AND(ISNUMBER(VLOOKUP($A41,Rezepte,MATCH(Produktionsmenge!AE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AE$5,Rezepte!$5:$5,0),0),""),"")</f>
        <v/>
      </c>
      <c r="AF41" s="24" t="str">
        <f ca="1">IF(LEN($A41)&gt;0,IF(AND(ISNUMBER(VLOOKUP($A41,Rezepte,MATCH(Produktionsmenge!AF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AF$5,Rezepte!$5:$5,0),0),""),"")</f>
        <v/>
      </c>
      <c r="AG41" s="24" t="str">
        <f ca="1">IF(LEN($A41)&gt;0,IF(AND(ISNUMBER(VLOOKUP($A41,Rezepte,MATCH(Produktionsmenge!AG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AG$5,Rezepte!$5:$5,0),0),""),"")</f>
        <v/>
      </c>
      <c r="AH41" s="24" t="str">
        <f ca="1">IF(LEN($A41)&gt;0,IF(AND(ISNUMBER(VLOOKUP($A41,Rezepte,MATCH(Produktionsmenge!AH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AH$5,Rezepte!$5:$5,0),0),""),"")</f>
        <v/>
      </c>
      <c r="AI41" s="24" t="str">
        <f ca="1">IF(LEN($A41)&gt;0,IF(AND(ISNUMBER(VLOOKUP($A41,Rezepte,MATCH(Produktionsmenge!AI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AI$5,Rezepte!$5:$5,0),0),""),"")</f>
        <v/>
      </c>
      <c r="AJ41" s="24" t="str">
        <f ca="1">IF(LEN($A41)&gt;0,IF(AND(ISNUMBER(VLOOKUP($A41,Rezepte,MATCH(Produktionsmenge!AJ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AJ$5,Rezepte!$5:$5,0),0),""),"")</f>
        <v/>
      </c>
      <c r="AK41" s="24" t="str">
        <f ca="1">IF(LEN($A41)&gt;0,IF(AND(ISNUMBER(VLOOKUP($A41,Rezepte,MATCH(Produktionsmenge!AK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AK$5,Rezepte!$5:$5,0),0),""),"")</f>
        <v/>
      </c>
      <c r="AL41" s="24" t="str">
        <f ca="1">IF(LEN($A41)&gt;0,IF(AND(ISNUMBER(VLOOKUP($A41,Rezepte,MATCH(Produktionsmenge!AL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AL$5,Rezepte!$5:$5,0),0),""),"")</f>
        <v/>
      </c>
      <c r="AM41" s="24" t="str">
        <f ca="1">IF(LEN($A41)&gt;0,IF(AND(ISNUMBER(VLOOKUP($A41,Rezepte,MATCH(Produktionsmenge!AM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AM$5,Rezepte!$5:$5,0),0),""),"")</f>
        <v/>
      </c>
      <c r="AN41" s="24" t="str">
        <f ca="1">IF(LEN($A41)&gt;0,IF(AND(ISNUMBER(VLOOKUP($A41,Rezepte,MATCH(Produktionsmenge!AN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AN$5,Rezepte!$5:$5,0),0),""),"")</f>
        <v/>
      </c>
      <c r="AO41" s="24" t="str">
        <f ca="1">IF(LEN($A41)&gt;0,IF(AND(ISNUMBER(VLOOKUP($A41,Rezepte,MATCH(Produktionsmenge!AO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AO$5,Rezepte!$5:$5,0),0),""),"")</f>
        <v/>
      </c>
      <c r="AP41" s="24" t="str">
        <f ca="1">IF(LEN($A41)&gt;0,IF(AND(ISNUMBER(VLOOKUP($A41,Rezepte,MATCH(Produktionsmenge!AP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AP$5,Rezepte!$5:$5,0),0),""),"")</f>
        <v/>
      </c>
      <c r="AQ41" s="24" t="str">
        <f ca="1">IF(LEN($A41)&gt;0,IF(AND(ISNUMBER(VLOOKUP($A41,Rezepte,MATCH(Produktionsmenge!AQ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AQ$5,Rezepte!$5:$5,0),0),""),"")</f>
        <v/>
      </c>
      <c r="AR41" s="24" t="str">
        <f ca="1">IF(LEN($A41)&gt;0,IF(AND(ISNUMBER(VLOOKUP($A41,Rezepte,MATCH(Produktionsmenge!AR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AR$5,Rezepte!$5:$5,0),0),""),"")</f>
        <v/>
      </c>
      <c r="AS41" s="24" t="str">
        <f ca="1">IF(LEN($A41)&gt;0,IF(AND(ISNUMBER(VLOOKUP($A41,Rezepte,MATCH(Produktionsmenge!AS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AS$5,Rezepte!$5:$5,0),0),""),"")</f>
        <v/>
      </c>
      <c r="AT41" s="24" t="str">
        <f ca="1">IF(LEN($A41)&gt;0,IF(AND(ISNUMBER(VLOOKUP($A41,Rezepte,MATCH(Produktionsmenge!AT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AT$5,Rezepte!$5:$5,0),0),""),"")</f>
        <v/>
      </c>
      <c r="AU41" s="24" t="str">
        <f ca="1">IF(LEN($A41)&gt;0,IF(AND(ISNUMBER(VLOOKUP($A41,Rezepte,MATCH(Produktionsmenge!AU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AU$5,Rezepte!$5:$5,0),0),""),"")</f>
        <v/>
      </c>
      <c r="AV41" s="24" t="str">
        <f ca="1">IF(LEN($A41)&gt;0,IF(AND(ISNUMBER(VLOOKUP($A41,Rezepte,MATCH(Produktionsmenge!AV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AV$5,Rezepte!$5:$5,0),0),""),"")</f>
        <v/>
      </c>
      <c r="AW41" s="24" t="str">
        <f ca="1">IF(LEN($A41)&gt;0,IF(AND(ISNUMBER(VLOOKUP($A41,Rezepte,MATCH(Produktionsmenge!AW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AW$5,Rezepte!$5:$5,0),0),""),"")</f>
        <v/>
      </c>
      <c r="AX41" s="24" t="str">
        <f ca="1">IF(LEN($A41)&gt;0,IF(AND(ISNUMBER(VLOOKUP($A41,Rezepte,MATCH(Produktionsmenge!AX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AX$5,Rezepte!$5:$5,0),0),""),"")</f>
        <v/>
      </c>
      <c r="AY41" s="24" t="str">
        <f ca="1">IF(LEN($A41)&gt;0,IF(AND(ISNUMBER(VLOOKUP($A41,Rezepte,MATCH(Produktionsmenge!AY$5,Rezepte!$5:$5,0),0)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&gt;0),SUM(OFFSET(Bestellungen!$A$5,1,MATCH(IF(ISNUMBER(SEARCH("(",$A41)),LEFT($A41,SEARCH("(",$A41)-2),$A41),Bestellungen!$A$5:$AJ$5,0)-1):OFFSET(Bestellungen!$A$5,COUNTA(Bestellungen!$A$6:$A$1048576),MATCH(IF(ISNUMBER(SEARCH("(",$A41)),LEFT($A41,SEARCH("(",$A41)-2),$A41),Bestellungen!$A$5:$AJ$5,0)-1))*VLOOKUP($A41,Rezepte,MATCH(Produktionsmenge!AY$5,Rezepte!$5:$5,0),0),""),"")</f>
        <v/>
      </c>
    </row>
    <row r="42" spans="1:51" x14ac:dyDescent="0.25">
      <c r="A42" t="str">
        <f t="array" ref="A42">IFERROR(INDEX(Rezepte!$A$6:$A$100,MATCH(1,(COUNTIF(A$6:A41,Rezepte!A$6:A$100)=0)*(Rezepte!A$6:A$100&lt;&gt;""),0)),"")</f>
        <v/>
      </c>
    </row>
    <row r="43" spans="1:51" x14ac:dyDescent="0.25">
      <c r="A43" t="str">
        <f t="array" ref="A43">IFERROR(INDEX(Rezepte!$A$6:$A$100,MATCH(1,(COUNTIF(A$6:A42,Rezepte!A$6:A$100)=0)*(Rezepte!A$6:A$100&lt;&gt;""),0)),"")</f>
        <v/>
      </c>
    </row>
    <row r="44" spans="1:51" x14ac:dyDescent="0.25">
      <c r="A44" t="str">
        <f t="array" ref="A44">IFERROR(INDEX(Rezepte!$A$6:$A$100,MATCH(1,(COUNTIF(A$6:A43,Rezepte!A$6:A$100)=0)*(Rezepte!A$6:A$100&lt;&gt;""),0)),"")</f>
        <v/>
      </c>
    </row>
    <row r="45" spans="1:51" x14ac:dyDescent="0.25">
      <c r="A45" t="str">
        <f t="array" ref="A45">IFERROR(INDEX(Rezepte!$A$6:$A$100,MATCH(1,(COUNTIF(A$6:A44,Rezepte!A$6:A$100)=0)*(Rezepte!A$6:A$100&lt;&gt;""),0)),"")</f>
        <v/>
      </c>
    </row>
    <row r="46" spans="1:51" x14ac:dyDescent="0.25">
      <c r="A46" t="str">
        <f t="array" ref="A46">IFERROR(INDEX(Rezepte!$A$6:$A$100,MATCH(1,(COUNTIF(A$6:A45,Rezepte!A$6:A$100)=0)*(Rezepte!A$6:A$100&lt;&gt;""),0)),"")</f>
        <v/>
      </c>
    </row>
    <row r="47" spans="1:51" x14ac:dyDescent="0.25">
      <c r="A47" t="str">
        <f t="array" ref="A47">IFERROR(INDEX(Rezepte!$A$6:$A$100,MATCH(1,(COUNTIF(A$6:A46,Rezepte!A$6:A$100)=0)*(Rezepte!A$6:A$100&lt;&gt;""),0)),"")</f>
        <v/>
      </c>
    </row>
    <row r="48" spans="1:51" x14ac:dyDescent="0.25">
      <c r="A48" t="str">
        <f t="array" ref="A48">IFERROR(INDEX(Rezepte!$A$6:$A$100,MATCH(1,(COUNTIF(A$6:A47,Rezepte!A$6:A$100)=0)*(Rezepte!A$6:A$100&lt;&gt;""),0)),"")</f>
        <v/>
      </c>
    </row>
    <row r="49" spans="1:1" x14ac:dyDescent="0.25">
      <c r="A49" t="str">
        <f t="array" ref="A49">IFERROR(INDEX(Rezepte!$A$6:$A$100,MATCH(1,(COUNTIF(A$6:A48,Rezepte!A$6:A$100)=0)*(Rezepte!A$6:A$100&lt;&gt;""),0)),"")</f>
        <v/>
      </c>
    </row>
    <row r="50" spans="1:1" x14ac:dyDescent="0.25">
      <c r="A50" t="str">
        <f t="array" ref="A50">IFERROR(INDEX(Rezepte!$A$6:$A$100,MATCH(1,(COUNTIF(A$6:A49,Rezepte!A$6:A$100)=0)*(Rezepte!A$6:A$100&lt;&gt;""),0)),"")</f>
        <v/>
      </c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AA427"/>
  <sheetViews>
    <sheetView workbookViewId="0">
      <selection activeCell="D15" sqref="D15"/>
    </sheetView>
  </sheetViews>
  <sheetFormatPr baseColWidth="10" defaultRowHeight="15" x14ac:dyDescent="0.25"/>
  <cols>
    <col min="1" max="1" width="25.85546875" customWidth="1"/>
    <col min="2" max="5" width="10.7109375" style="26"/>
    <col min="6" max="6" width="17.85546875" style="26" bestFit="1" customWidth="1"/>
    <col min="7" max="7" width="13.28515625" style="26" bestFit="1" customWidth="1"/>
    <col min="8" max="8" width="13.5703125" style="26" bestFit="1" customWidth="1"/>
    <col min="9" max="9" width="13" style="26" bestFit="1" customWidth="1"/>
    <col min="10" max="10" width="12.5703125" style="26" bestFit="1" customWidth="1"/>
    <col min="11" max="11" width="16.7109375" style="26" customWidth="1"/>
    <col min="12" max="12" width="14.140625" style="26" bestFit="1" customWidth="1"/>
    <col min="13" max="13" width="10.28515625" style="26" bestFit="1" customWidth="1"/>
    <col min="14" max="20" width="11.42578125" style="26" hidden="1" customWidth="1"/>
    <col min="21" max="21" width="15.7109375" style="26" customWidth="1"/>
    <col min="22" max="23" width="10.7109375" style="26"/>
  </cols>
  <sheetData>
    <row r="1" spans="1:27" x14ac:dyDescent="0.25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</row>
    <row r="2" spans="1:27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</row>
    <row r="3" spans="1:27" x14ac:dyDescent="0.25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</row>
    <row r="4" spans="1:27" x14ac:dyDescent="0.25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</row>
    <row r="5" spans="1:27" x14ac:dyDescent="0.25">
      <c r="A5" s="22" t="s">
        <v>47</v>
      </c>
      <c r="B5" s="25" t="str">
        <f>IF(LEN(Bestellungen!B$5)&gt;0,Bestellungen!B$5,"")</f>
        <v>Zwiebelbrot</v>
      </c>
      <c r="C5" s="25" t="str">
        <f>IF(LEN(Bestellungen!C$5)&gt;0,Bestellungen!C$5,"")</f>
        <v>Mischbrot</v>
      </c>
      <c r="D5" s="25" t="str">
        <f>IF(LEN(Bestellungen!D$5)&gt;0,Bestellungen!D$5,"")</f>
        <v>Roggenbrot</v>
      </c>
      <c r="E5" s="25" t="str">
        <f>IF(LEN(Bestellungen!E$5)&gt;0,Bestellungen!E$5,"")</f>
        <v>Speckbrot</v>
      </c>
      <c r="F5" s="25" t="str">
        <f>IF(LEN(Bestellungen!F$5)&gt;0,Bestellungen!F$5,"")</f>
        <v>Roggen-Vollkornbrot</v>
      </c>
      <c r="G5" s="25" t="str">
        <f>IF(LEN(Bestellungen!G$5)&gt;0,Bestellungen!G$5,"")</f>
        <v>Dinkelbrötchen</v>
      </c>
      <c r="H5" s="25" t="str">
        <f>IF(LEN(Bestellungen!H$5)&gt;0,Bestellungen!H$5,"")</f>
        <v>Rosmarinfladen</v>
      </c>
      <c r="I5" s="25" t="str">
        <f>IF(LEN(Bestellungen!I$5)&gt;0,Bestellungen!I$5,"")</f>
        <v>Kümmelstange</v>
      </c>
      <c r="J5" s="25" t="str">
        <f>IF(LEN(Bestellungen!J$5)&gt;0,Bestellungen!J$5,"")</f>
        <v>Milchbrötchen</v>
      </c>
      <c r="K5" s="25" t="str">
        <f>IF(LEN(Bestellungen!K$5)&gt;0,Bestellungen!K$5,"")</f>
        <v>Quarktasche</v>
      </c>
      <c r="L5" s="25" t="str">
        <f>IF(LEN(Bestellungen!L$5)&gt;0,Bestellungen!L$5,"")</f>
        <v>Roggenbrötchen</v>
      </c>
      <c r="M5" s="25" t="str">
        <f>IF(LEN(Bestellungen!M$5)&gt;0,Bestellungen!M$5,"")</f>
        <v>Amerikaner</v>
      </c>
      <c r="N5" s="25" t="str">
        <f>IF(LEN(Bestellungen!N$5)&gt;0,Bestellungen!N$5,"")</f>
        <v/>
      </c>
      <c r="O5" s="25" t="str">
        <f>IF(LEN(Bestellungen!O$5)&gt;0,Bestellungen!O$5,"")</f>
        <v/>
      </c>
      <c r="P5" s="25" t="str">
        <f>IF(LEN(Bestellungen!P$5)&gt;0,Bestellungen!P$5,"")</f>
        <v/>
      </c>
      <c r="Q5" s="25" t="str">
        <f>IF(LEN(Bestellungen!Q$5)&gt;0,Bestellungen!Q$5,"")</f>
        <v/>
      </c>
      <c r="R5" s="25" t="str">
        <f>IF(LEN(Bestellungen!R$5)&gt;0,Bestellungen!R$5,"")</f>
        <v/>
      </c>
      <c r="S5" s="25" t="str">
        <f>IF(LEN(Bestellungen!S$5)&gt;0,Bestellungen!S$5,"")</f>
        <v/>
      </c>
      <c r="T5" s="22"/>
      <c r="U5" s="22" t="s">
        <v>66</v>
      </c>
      <c r="V5" s="22" t="s">
        <v>68</v>
      </c>
      <c r="W5" s="22" t="s">
        <v>69</v>
      </c>
    </row>
    <row r="6" spans="1:27" x14ac:dyDescent="0.25">
      <c r="A6" t="str">
        <f>IF(LEN(Bestellungen!$A6)&gt;0,Bestellungen!$A6,"")</f>
        <v>Cornelia Kuschke</v>
      </c>
      <c r="B6" s="26">
        <f>IF(ISERROR(VLOOKUP($A6,Bestellungen!$6:$1048576,MATCH(Kasse!B$5,Bestellungen!$A$5:$X$5,0),0))=FALSE,SUMIF(Kalkulation!$A$6:$A$40,Kasse!B$5&amp;"*",Kalkulation!$C$6:$C$40)*VLOOKUP($A6,Bestellungen!$6:$1048576,MATCH(Kasse!B$5,Bestellungen!$A$5:$X$5,0),0),"")</f>
        <v>6.6668186181818188</v>
      </c>
      <c r="C6" s="26">
        <f>IF(ISERROR(VLOOKUP($A6,Bestellungen!$6:$1048576,MATCH(Kasse!C$5,Bestellungen!$A$5:$X$5,0),0))=FALSE,SUMIF(Kalkulation!$A$6:$A$40,Kasse!C$5&amp;"*",Kalkulation!$C$6:$C$40)*VLOOKUP($A6,Bestellungen!$6:$1048576,MATCH(Kasse!C$5,Bestellungen!$A$5:$X$5,0),0),"")</f>
        <v>3.5983439127272732</v>
      </c>
      <c r="D6" s="26">
        <f>IF(ISERROR(VLOOKUP($A6,Bestellungen!$6:$1048576,MATCH(Kasse!D$5,Bestellungen!$A$5:$X$5,0),0))=FALSE,SUMIF(Kalkulation!$A$6:$A$40,Kasse!D$5&amp;"*",Kalkulation!$C$6:$C$40)*VLOOKUP($A6,Bestellungen!$6:$1048576,MATCH(Kasse!D$5,Bestellungen!$A$5:$X$5,0),0),"")</f>
        <v>3.2346654476190473</v>
      </c>
      <c r="E6" s="26">
        <f>IF(ISERROR(VLOOKUP($A6,Bestellungen!$6:$1048576,MATCH(Kasse!E$5,Bestellungen!$A$5:$X$5,0),0))=FALSE,SUMIF(Kalkulation!$A$6:$A$40,Kasse!E$5&amp;"*",Kalkulation!$C$6:$C$40)*VLOOKUP($A6,Bestellungen!$6:$1048576,MATCH(Kasse!E$5,Bestellungen!$A$5:$X$5,0),0),"")</f>
        <v>2.1291287272727271</v>
      </c>
      <c r="F6" s="26">
        <f>IF(ISERROR(VLOOKUP($A6,Bestellungen!$6:$1048576,MATCH(Kasse!F$5,Bestellungen!$A$5:$X$5,0),0))=FALSE,SUMIF(Kalkulation!$A$6:$A$40,Kasse!F$5&amp;"*",Kalkulation!$C$6:$C$40)*VLOOKUP($A6,Bestellungen!$6:$1048576,MATCH(Kasse!F$5,Bestellungen!$A$5:$X$5,0),0),"")</f>
        <v>6.7905700305882348</v>
      </c>
      <c r="G6" s="26">
        <f>IF(ISERROR(VLOOKUP($A6,Bestellungen!$6:$1048576,MATCH(Kasse!G$5,Bestellungen!$A$5:$X$5,0),0))=FALSE,SUMIF(Kalkulation!$A$6:$A$40,Kasse!G$5&amp;"*",Kalkulation!$C$6:$C$40)*VLOOKUP($A6,Bestellungen!$6:$1048576,MATCH(Kasse!G$5,Bestellungen!$A$5:$X$5,0),0),"")</f>
        <v>0.17982149032258066</v>
      </c>
      <c r="H6" s="26">
        <f>IF(ISERROR(VLOOKUP($A6,Bestellungen!$6:$1048576,MATCH(Kasse!H$5,Bestellungen!$A$5:$X$5,0),0))=FALSE,SUMIF(Kalkulation!$A$6:$A$40,Kasse!H$5&amp;"*",Kalkulation!$C$6:$C$40)*VLOOKUP($A6,Bestellungen!$6:$1048576,MATCH(Kasse!H$5,Bestellungen!$A$5:$X$5,0),0),"")</f>
        <v>0.59632857142857154</v>
      </c>
      <c r="I6" s="26">
        <f>IF(ISERROR(VLOOKUP($A6,Bestellungen!$6:$1048576,MATCH(Kasse!I$5,Bestellungen!$A$5:$X$5,0),0))=FALSE,SUMIF(Kalkulation!$A$6:$A$40,Kasse!I$5&amp;"*",Kalkulation!$C$6:$C$40)*VLOOKUP($A6,Bestellungen!$6:$1048576,MATCH(Kasse!I$5,Bestellungen!$A$5:$X$5,0),0),"")</f>
        <v>1.1926571428571431</v>
      </c>
      <c r="J6" s="26">
        <f>IF(ISERROR(VLOOKUP($A6,Bestellungen!$6:$1048576,MATCH(Kasse!J$5,Bestellungen!$A$5:$X$5,0),0))=FALSE,SUMIF(Kalkulation!$A$6:$A$40,Kasse!J$5&amp;"*",Kalkulation!$C$6:$C$40)*VLOOKUP($A6,Bestellungen!$6:$1048576,MATCH(Kasse!J$5,Bestellungen!$A$5:$X$5,0),0),"")</f>
        <v>0.51946999999999988</v>
      </c>
      <c r="K6" s="26">
        <f>IF(ISERROR(VLOOKUP($A6,Bestellungen!$6:$1048576,MATCH(Kasse!K$5,Bestellungen!$A$5:$X$5,0),0))=FALSE,SUMIF(Kalkulation!$A$6:$A$40,Kasse!K$5&amp;"*",Kalkulation!$C$6:$C$40)*VLOOKUP($A6,Bestellungen!$6:$1048576,MATCH(Kasse!K$5,Bestellungen!$A$5:$X$5,0),0),"")</f>
        <v>0.37128660000000002</v>
      </c>
      <c r="L6" s="26">
        <f>IF(ISERROR(VLOOKUP($A6,Bestellungen!$6:$1048576,MATCH(Kasse!L$5,Bestellungen!$A$5:$X$5,0),0))=FALSE,SUMIF(Kalkulation!$A$6:$A$40,Kasse!L$5&amp;"*",Kalkulation!$C$6:$C$40)*VLOOKUP($A6,Bestellungen!$6:$1048576,MATCH(Kasse!L$5,Bestellungen!$A$5:$X$5,0),0),"")</f>
        <v>0.2713251878787879</v>
      </c>
      <c r="M6" s="26">
        <f ca="1">IF(ISERROR(VLOOKUP($A6,Bestellungen!$6:$1048576,MATCH(Kasse!M$5,Bestellungen!$A$5:$X$5,0),0))=FALSE,SUMIF(Kalkulation!$A$6:$A$40,Kasse!M$5&amp;"*",Kalkulation!$C$6:$C$40)*VLOOKUP($A6,Bestellungen!$6:$1048576,MATCH(Kasse!M$5,Bestellungen!$A$5:$X$5,0),0),"")</f>
        <v>0</v>
      </c>
      <c r="N6" s="26" t="str">
        <f>IF(ISERROR(VLOOKUP($A6,Bestellungen!$6:$1048576,MATCH(Kasse!N$5,Bestellungen!$A$5:$X$5,0),0))=FALSE,SUMIF(Kalkulation!$A$6:$A$40,Kasse!N$5&amp;"*",Kalkulation!$C$6:$C$40)*VLOOKUP($A6,Bestellungen!$6:$1048576,MATCH(Kasse!N$5,Bestellungen!$A$5:$X$5,0),0),"")</f>
        <v/>
      </c>
      <c r="O6" s="26" t="str">
        <f>IF(ISERROR(VLOOKUP($A6,Bestellungen!$6:$1048576,MATCH(Kasse!O$5,Bestellungen!$A$5:$X$5,0),0))=FALSE,SUMIF(Kalkulation!$A$6:$A$40,Kasse!O$5&amp;"*",Kalkulation!$C$6:$C$40)*VLOOKUP($A6,Bestellungen!$6:$1048576,MATCH(Kasse!O$5,Bestellungen!$A$5:$X$5,0),0),"")</f>
        <v/>
      </c>
      <c r="P6" s="26" t="str">
        <f>IF(ISERROR(VLOOKUP($A6,Bestellungen!$6:$1048576,MATCH(Kasse!P$5,Bestellungen!$A$5:$X$5,0),0))=FALSE,SUMIF(Kalkulation!$A$6:$A$40,Kasse!P$5&amp;"*",Kalkulation!$C$6:$C$40)*VLOOKUP($A6,Bestellungen!$6:$1048576,MATCH(Kasse!P$5,Bestellungen!$A$5:$X$5,0),0),"")</f>
        <v/>
      </c>
      <c r="Q6" s="26" t="str">
        <f>IF(ISERROR(VLOOKUP($A6,Bestellungen!$6:$1048576,MATCH(Kasse!Q$5,Bestellungen!$A$5:$X$5,0),0))=FALSE,SUMIF(Kalkulation!$A$6:$A$40,Kasse!Q$5&amp;"*",Kalkulation!$C$6:$C$40)*VLOOKUP($A6,Bestellungen!$6:$1048576,MATCH(Kasse!Q$5,Bestellungen!$A$5:$X$5,0),0),"")</f>
        <v/>
      </c>
      <c r="R6" s="26" t="str">
        <f>IF(ISERROR(VLOOKUP($A6,Bestellungen!$6:$1048576,MATCH(Kasse!R$5,Bestellungen!$A$5:$X$5,0),0))=FALSE,SUMIF(Kalkulation!$A$6:$A$40,Kasse!R$5&amp;"*",Kalkulation!$C$6:$C$40)*VLOOKUP($A6,Bestellungen!$6:$1048576,MATCH(Kasse!R$5,Bestellungen!$A$5:$X$5,0),0),"")</f>
        <v/>
      </c>
      <c r="S6" s="26" t="str">
        <f>IF(ISERROR(VLOOKUP($A6,Bestellungen!$6:$1048576,MATCH(Kasse!S$5,Bestellungen!$A$5:$X$5,0),0))=FALSE,SUMIF(Kalkulation!$A$6:$A$40,Kasse!S$5&amp;"*",Kalkulation!$C$6:$C$40)*VLOOKUP($A6,Bestellungen!$6:$1048576,MATCH(Kasse!S$5,Bestellungen!$A$5:$X$5,0),0),"")</f>
        <v/>
      </c>
      <c r="T6" s="26" t="str">
        <f>IF(ISERROR(VLOOKUP($A6,Bestellungen!$6:$1048576,MATCH(Kasse!T$5,Bestellungen!$A$5:$X$5,0),0))=FALSE,SUMIF(Kalkulation!$A$6:$A$40,Kasse!T$5&amp;"*",Kalkulation!$C$6:$C$40)*VLOOKUP($A6,Bestellungen!$6:$1048576,MATCH(Kasse!T$5,Bestellungen!$A$5:$X$5,0),0),"")</f>
        <v/>
      </c>
      <c r="U6" s="26">
        <f ca="1">IF(COUNT(B6:M6)&gt;0,SUM(B6:M6),"")</f>
        <v>25.550415728876185</v>
      </c>
      <c r="V6" s="26" t="s">
        <v>70</v>
      </c>
      <c r="W6" s="26">
        <f ca="1">IF(AND(ISNUMBER(U6),ISNUMBER(VALUE(V6))),VALUE(V6)-U6,"")</f>
        <v>-0.55041572887618528</v>
      </c>
      <c r="X6" s="26"/>
      <c r="Y6" s="26"/>
      <c r="Z6" s="26"/>
      <c r="AA6" s="26"/>
    </row>
    <row r="7" spans="1:27" x14ac:dyDescent="0.25">
      <c r="A7" t="str">
        <f>IF(LEN(Bestellungen!$A7)&gt;0,Bestellungen!$A7,"")</f>
        <v>Caro Dreier</v>
      </c>
      <c r="B7" s="26">
        <f>IF(ISERROR(VLOOKUP($A7,Bestellungen!$6:$1048576,MATCH(Kasse!B$5,Bestellungen!$A$5:$X$5,0),0))=FALSE,SUMIF(Kalkulation!$A$6:$A$40,Kasse!B$5&amp;"*",Kalkulation!$C$6:$C$40)*VLOOKUP($A7,Bestellungen!$6:$1048576,MATCH(Kasse!B$5,Bestellungen!$A$5:$X$5,0),0),"")</f>
        <v>73.335004800000007</v>
      </c>
      <c r="C7" s="26">
        <f>IF(ISERROR(VLOOKUP($A7,Bestellungen!$6:$1048576,MATCH(Kasse!C$5,Bestellungen!$A$5:$X$5,0),0))=FALSE,SUMIF(Kalkulation!$A$6:$A$40,Kasse!C$5&amp;"*",Kalkulation!$C$6:$C$40)*VLOOKUP($A7,Bestellungen!$6:$1048576,MATCH(Kasse!C$5,Bestellungen!$A$5:$X$5,0),0),"")</f>
        <v>0</v>
      </c>
      <c r="D7" s="26">
        <f>IF(ISERROR(VLOOKUP($A7,Bestellungen!$6:$1048576,MATCH(Kasse!D$5,Bestellungen!$A$5:$X$5,0),0))=FALSE,SUMIF(Kalkulation!$A$6:$A$40,Kasse!D$5&amp;"*",Kalkulation!$C$6:$C$40)*VLOOKUP($A7,Bestellungen!$6:$1048576,MATCH(Kasse!D$5,Bestellungen!$A$5:$X$5,0),0),"")</f>
        <v>0</v>
      </c>
      <c r="E7" s="26">
        <f>IF(ISERROR(VLOOKUP($A7,Bestellungen!$6:$1048576,MATCH(Kasse!E$5,Bestellungen!$A$5:$X$5,0),0))=FALSE,SUMIF(Kalkulation!$A$6:$A$40,Kasse!E$5&amp;"*",Kalkulation!$C$6:$C$40)*VLOOKUP($A7,Bestellungen!$6:$1048576,MATCH(Kasse!E$5,Bestellungen!$A$5:$X$5,0),0),"")</f>
        <v>0</v>
      </c>
      <c r="F7" s="26">
        <f>IF(ISERROR(VLOOKUP($A7,Bestellungen!$6:$1048576,MATCH(Kasse!F$5,Bestellungen!$A$5:$X$5,0),0))=FALSE,SUMIF(Kalkulation!$A$6:$A$40,Kasse!F$5&amp;"*",Kalkulation!$C$6:$C$40)*VLOOKUP($A7,Bestellungen!$6:$1048576,MATCH(Kasse!F$5,Bestellungen!$A$5:$X$5,0),0),"")</f>
        <v>0</v>
      </c>
      <c r="G7" s="26">
        <f>IF(ISERROR(VLOOKUP($A7,Bestellungen!$6:$1048576,MATCH(Kasse!G$5,Bestellungen!$A$5:$X$5,0),0))=FALSE,SUMIF(Kalkulation!$A$6:$A$40,Kasse!G$5&amp;"*",Kalkulation!$C$6:$C$40)*VLOOKUP($A7,Bestellungen!$6:$1048576,MATCH(Kasse!G$5,Bestellungen!$A$5:$X$5,0),0),"")</f>
        <v>0.53946447096774197</v>
      </c>
      <c r="H7" s="26">
        <f>IF(ISERROR(VLOOKUP($A7,Bestellungen!$6:$1048576,MATCH(Kasse!H$5,Bestellungen!$A$5:$X$5,0),0))=FALSE,SUMIF(Kalkulation!$A$6:$A$40,Kasse!H$5&amp;"*",Kalkulation!$C$6:$C$40)*VLOOKUP($A7,Bestellungen!$6:$1048576,MATCH(Kasse!H$5,Bestellungen!$A$5:$X$5,0),0),"")</f>
        <v>0.95412571428571447</v>
      </c>
      <c r="I7" s="26">
        <f>IF(ISERROR(VLOOKUP($A7,Bestellungen!$6:$1048576,MATCH(Kasse!I$5,Bestellungen!$A$5:$X$5,0),0))=FALSE,SUMIF(Kalkulation!$A$6:$A$40,Kasse!I$5&amp;"*",Kalkulation!$C$6:$C$40)*VLOOKUP($A7,Bestellungen!$6:$1048576,MATCH(Kasse!I$5,Bestellungen!$A$5:$X$5,0),0),"")</f>
        <v>0.71559428571428585</v>
      </c>
      <c r="J7" s="26">
        <f>IF(ISERROR(VLOOKUP($A7,Bestellungen!$6:$1048576,MATCH(Kasse!J$5,Bestellungen!$A$5:$X$5,0),0))=FALSE,SUMIF(Kalkulation!$A$6:$A$40,Kasse!J$5&amp;"*",Kalkulation!$C$6:$C$40)*VLOOKUP($A7,Bestellungen!$6:$1048576,MATCH(Kasse!J$5,Bestellungen!$A$5:$X$5,0),0),"")</f>
        <v>0</v>
      </c>
      <c r="K7" s="26">
        <f>IF(ISERROR(VLOOKUP($A7,Bestellungen!$6:$1048576,MATCH(Kasse!K$5,Bestellungen!$A$5:$X$5,0),0))=FALSE,SUMIF(Kalkulation!$A$6:$A$40,Kasse!K$5&amp;"*",Kalkulation!$C$6:$C$40)*VLOOKUP($A7,Bestellungen!$6:$1048576,MATCH(Kasse!K$5,Bestellungen!$A$5:$X$5,0),0),"")</f>
        <v>0</v>
      </c>
      <c r="L7" s="26">
        <f>IF(ISERROR(VLOOKUP($A7,Bestellungen!$6:$1048576,MATCH(Kasse!L$5,Bestellungen!$A$5:$X$5,0),0))=FALSE,SUMIF(Kalkulation!$A$6:$A$40,Kasse!L$5&amp;"*",Kalkulation!$C$6:$C$40)*VLOOKUP($A7,Bestellungen!$6:$1048576,MATCH(Kasse!L$5,Bestellungen!$A$5:$X$5,0),0),"")</f>
        <v>0.30524083636363641</v>
      </c>
      <c r="M7" s="26">
        <f>IF(ISERROR(VLOOKUP($A7,Bestellungen!$6:$1048576,MATCH(Kasse!M$5,Bestellungen!$A$5:$X$5,0),0))=FALSE,SUMIF(Kalkulation!$A$6:$A$40,Kasse!M$5&amp;"*",Kalkulation!$C$6:$C$40)*VLOOKUP($A7,Bestellungen!$6:$1048576,MATCH(Kasse!M$5,Bestellungen!$A$5:$X$5,0),0),"")</f>
        <v>0</v>
      </c>
      <c r="N7" s="26" t="str">
        <f>IF(ISERROR(VLOOKUP($A7,Bestellungen!$6:$1048576,MATCH(Kasse!N$5,Bestellungen!$A$5:$X$5,0),0))=FALSE,SUMIF(Kalkulation!$A$6:$A$40,Kasse!N$5&amp;"*",Kalkulation!$C$6:$C$40)*VLOOKUP($A7,Bestellungen!$6:$1048576,MATCH(Kasse!N$5,Bestellungen!$A$5:$X$5,0),0),"")</f>
        <v/>
      </c>
      <c r="O7" s="26" t="str">
        <f>IF(ISERROR(VLOOKUP($A7,Bestellungen!$6:$1048576,MATCH(Kasse!O$5,Bestellungen!$A$5:$X$5,0),0))=FALSE,SUMIF(Kalkulation!$A$6:$A$40,Kasse!O$5&amp;"*",Kalkulation!$C$6:$C$40)*VLOOKUP($A7,Bestellungen!$6:$1048576,MATCH(Kasse!O$5,Bestellungen!$A$5:$X$5,0),0),"")</f>
        <v/>
      </c>
      <c r="P7" s="26" t="str">
        <f>IF(ISERROR(VLOOKUP($A7,Bestellungen!$6:$1048576,MATCH(Kasse!P$5,Bestellungen!$A$5:$X$5,0),0))=FALSE,SUMIF(Kalkulation!$A$6:$A$40,Kasse!P$5&amp;"*",Kalkulation!$C$6:$C$40)*VLOOKUP($A7,Bestellungen!$6:$1048576,MATCH(Kasse!P$5,Bestellungen!$A$5:$X$5,0),0),"")</f>
        <v/>
      </c>
      <c r="Q7" s="26" t="str">
        <f>IF(ISERROR(VLOOKUP($A7,Bestellungen!$6:$1048576,MATCH(Kasse!Q$5,Bestellungen!$A$5:$X$5,0),0))=FALSE,SUMIF(Kalkulation!$A$6:$A$40,Kasse!Q$5&amp;"*",Kalkulation!$C$6:$C$40)*VLOOKUP($A7,Bestellungen!$6:$1048576,MATCH(Kasse!Q$5,Bestellungen!$A$5:$X$5,0),0),"")</f>
        <v/>
      </c>
      <c r="R7" s="26" t="str">
        <f>IF(ISERROR(VLOOKUP($A7,Bestellungen!$6:$1048576,MATCH(Kasse!R$5,Bestellungen!$A$5:$X$5,0),0))=FALSE,SUMIF(Kalkulation!$A$6:$A$40,Kasse!R$5&amp;"*",Kalkulation!$C$6:$C$40)*VLOOKUP($A7,Bestellungen!$6:$1048576,MATCH(Kasse!R$5,Bestellungen!$A$5:$X$5,0),0),"")</f>
        <v/>
      </c>
      <c r="S7" s="26" t="str">
        <f>IF(ISERROR(VLOOKUP($A7,Bestellungen!$6:$1048576,MATCH(Kasse!S$5,Bestellungen!$A$5:$X$5,0),0))=FALSE,SUMIF(Kalkulation!$A$6:$A$40,Kasse!S$5&amp;"*",Kalkulation!$C$6:$C$40)*VLOOKUP($A7,Bestellungen!$6:$1048576,MATCH(Kasse!S$5,Bestellungen!$A$5:$X$5,0),0),"")</f>
        <v/>
      </c>
      <c r="T7" s="26" t="str">
        <f>IF(ISERROR(VLOOKUP($A7,Bestellungen!$6:$1048576,MATCH(Kasse!T$5,Bestellungen!$A$5:$X$5,0),0))=FALSE,SUMIF(Kalkulation!$A$6:$A$40,Kasse!T$5&amp;"*",Kalkulation!$C$6:$C$40)*VLOOKUP($A7,Bestellungen!$6:$1048576,MATCH(Kasse!T$5,Bestellungen!$A$5:$X$5,0),0),"")</f>
        <v/>
      </c>
      <c r="U7" s="26">
        <f t="shared" ref="U7:U70" si="0">IF(COUNT(B7:M7)&gt;0,SUM(B7:M7),"")</f>
        <v>75.849430107331386</v>
      </c>
      <c r="W7" s="26">
        <f t="shared" ref="W7:W70" si="1">IF(AND(ISNUMBER(U7),ISNUMBER(VALUE(V7))),VALUE(V7)-U7,"")</f>
        <v>-75.849430107331386</v>
      </c>
      <c r="X7" s="26"/>
      <c r="Y7" s="26"/>
      <c r="Z7" s="26"/>
      <c r="AA7" s="26"/>
    </row>
    <row r="8" spans="1:27" x14ac:dyDescent="0.25">
      <c r="A8" t="str">
        <f>IF(LEN(Bestellungen!$A8)&gt;0,Bestellungen!$A8,"")</f>
        <v/>
      </c>
      <c r="B8" s="26" t="str">
        <f>IF(ISERROR(VLOOKUP($A8,Bestellungen!$6:$1048576,MATCH(Kasse!B$5,Bestellungen!$A$5:$X$5,0),0))=FALSE,SUMIF(Kalkulation!$A$6:$A$40,Kasse!B$5&amp;"*",Kalkulation!$C$6:$C$40)*VLOOKUP($A8,Bestellungen!$6:$1048576,MATCH(Kasse!B$5,Bestellungen!$A$5:$X$5,0),0),"")</f>
        <v/>
      </c>
      <c r="C8" s="26" t="str">
        <f>IF(ISERROR(VLOOKUP($A8,Bestellungen!$6:$1048576,MATCH(Kasse!C$5,Bestellungen!$A$5:$X$5,0),0))=FALSE,SUMIF(Kalkulation!$A$6:$A$40,Kasse!C$5&amp;"*",Kalkulation!$C$6:$C$40)*VLOOKUP($A8,Bestellungen!$6:$1048576,MATCH(Kasse!C$5,Bestellungen!$A$5:$X$5,0),0),"")</f>
        <v/>
      </c>
      <c r="D8" s="26" t="str">
        <f>IF(ISERROR(VLOOKUP($A8,Bestellungen!$6:$1048576,MATCH(Kasse!D$5,Bestellungen!$A$5:$X$5,0),0))=FALSE,SUMIF(Kalkulation!$A$6:$A$40,Kasse!D$5&amp;"*",Kalkulation!$C$6:$C$40)*VLOOKUP($A8,Bestellungen!$6:$1048576,MATCH(Kasse!D$5,Bestellungen!$A$5:$X$5,0),0),"")</f>
        <v/>
      </c>
      <c r="E8" s="26" t="str">
        <f>IF(ISERROR(VLOOKUP($A8,Bestellungen!$6:$1048576,MATCH(Kasse!E$5,Bestellungen!$A$5:$X$5,0),0))=FALSE,SUMIF(Kalkulation!$A$6:$A$40,Kasse!E$5&amp;"*",Kalkulation!$C$6:$C$40)*VLOOKUP($A8,Bestellungen!$6:$1048576,MATCH(Kasse!E$5,Bestellungen!$A$5:$X$5,0),0),"")</f>
        <v/>
      </c>
      <c r="F8" s="26" t="str">
        <f>IF(ISERROR(VLOOKUP($A8,Bestellungen!$6:$1048576,MATCH(Kasse!F$5,Bestellungen!$A$5:$X$5,0),0))=FALSE,SUMIF(Kalkulation!$A$6:$A$40,Kasse!F$5&amp;"*",Kalkulation!$C$6:$C$40)*VLOOKUP($A8,Bestellungen!$6:$1048576,MATCH(Kasse!F$5,Bestellungen!$A$5:$X$5,0),0),"")</f>
        <v/>
      </c>
      <c r="G8" s="26" t="str">
        <f>IF(ISERROR(VLOOKUP($A8,Bestellungen!$6:$1048576,MATCH(Kasse!G$5,Bestellungen!$A$5:$X$5,0),0))=FALSE,SUMIF(Kalkulation!$A$6:$A$40,Kasse!G$5&amp;"*",Kalkulation!$C$6:$C$40)*VLOOKUP($A8,Bestellungen!$6:$1048576,MATCH(Kasse!G$5,Bestellungen!$A$5:$X$5,0),0),"")</f>
        <v/>
      </c>
      <c r="H8" s="26" t="str">
        <f>IF(ISERROR(VLOOKUP($A8,Bestellungen!$6:$1048576,MATCH(Kasse!H$5,Bestellungen!$A$5:$X$5,0),0))=FALSE,SUMIF(Kalkulation!$A$6:$A$40,Kasse!H$5&amp;"*",Kalkulation!$C$6:$C$40)*VLOOKUP($A8,Bestellungen!$6:$1048576,MATCH(Kasse!H$5,Bestellungen!$A$5:$X$5,0),0),"")</f>
        <v/>
      </c>
      <c r="I8" s="26" t="str">
        <f>IF(ISERROR(VLOOKUP($A8,Bestellungen!$6:$1048576,MATCH(Kasse!I$5,Bestellungen!$A$5:$X$5,0),0))=FALSE,SUMIF(Kalkulation!$A$6:$A$40,Kasse!I$5&amp;"*",Kalkulation!$C$6:$C$40)*VLOOKUP($A8,Bestellungen!$6:$1048576,MATCH(Kasse!I$5,Bestellungen!$A$5:$X$5,0),0),"")</f>
        <v/>
      </c>
      <c r="J8" s="26" t="str">
        <f>IF(ISERROR(VLOOKUP($A8,Bestellungen!$6:$1048576,MATCH(Kasse!J$5,Bestellungen!$A$5:$X$5,0),0))=FALSE,SUMIF(Kalkulation!$A$6:$A$40,Kasse!J$5&amp;"*",Kalkulation!$C$6:$C$40)*VLOOKUP($A8,Bestellungen!$6:$1048576,MATCH(Kasse!J$5,Bestellungen!$A$5:$X$5,0),0),"")</f>
        <v/>
      </c>
      <c r="K8" s="26" t="str">
        <f>IF(ISERROR(VLOOKUP($A8,Bestellungen!$6:$1048576,MATCH(Kasse!K$5,Bestellungen!$A$5:$X$5,0),0))=FALSE,SUMIF(Kalkulation!$A$6:$A$40,Kasse!K$5&amp;"*",Kalkulation!$C$6:$C$40)*VLOOKUP($A8,Bestellungen!$6:$1048576,MATCH(Kasse!K$5,Bestellungen!$A$5:$X$5,0),0),"")</f>
        <v/>
      </c>
      <c r="L8" s="26" t="str">
        <f>IF(ISERROR(VLOOKUP($A8,Bestellungen!$6:$1048576,MATCH(Kasse!L$5,Bestellungen!$A$5:$X$5,0),0))=FALSE,SUMIF(Kalkulation!$A$6:$A$40,Kasse!L$5&amp;"*",Kalkulation!$C$6:$C$40)*VLOOKUP($A8,Bestellungen!$6:$1048576,MATCH(Kasse!L$5,Bestellungen!$A$5:$X$5,0),0),"")</f>
        <v/>
      </c>
      <c r="M8" s="26" t="str">
        <f>IF(ISERROR(VLOOKUP($A8,Bestellungen!$6:$1048576,MATCH(Kasse!M$5,Bestellungen!$A$5:$X$5,0),0))=FALSE,SUMIF(Kalkulation!$A$6:$A$40,Kasse!M$5&amp;"*",Kalkulation!$C$6:$C$40)*VLOOKUP($A8,Bestellungen!$6:$1048576,MATCH(Kasse!M$5,Bestellungen!$A$5:$X$5,0),0),"")</f>
        <v/>
      </c>
      <c r="N8" s="26" t="str">
        <f>IF(ISERROR(VLOOKUP($A8,Bestellungen!$6:$1048576,MATCH(Kasse!N$5,Bestellungen!$A$5:$X$5,0),0))=FALSE,SUMIF(Kalkulation!$A$6:$A$40,Kasse!N$5&amp;"*",Kalkulation!$C$6:$C$40)*VLOOKUP($A8,Bestellungen!$6:$1048576,MATCH(Kasse!N$5,Bestellungen!$A$5:$X$5,0),0),"")</f>
        <v/>
      </c>
      <c r="O8" s="26" t="str">
        <f>IF(ISERROR(VLOOKUP($A8,Bestellungen!$6:$1048576,MATCH(Kasse!O$5,Bestellungen!$A$5:$X$5,0),0))=FALSE,SUMIF(Kalkulation!$A$6:$A$40,Kasse!O$5&amp;"*",Kalkulation!$C$6:$C$40)*VLOOKUP($A8,Bestellungen!$6:$1048576,MATCH(Kasse!O$5,Bestellungen!$A$5:$X$5,0),0),"")</f>
        <v/>
      </c>
      <c r="P8" s="26" t="str">
        <f>IF(ISERROR(VLOOKUP($A8,Bestellungen!$6:$1048576,MATCH(Kasse!P$5,Bestellungen!$A$5:$X$5,0),0))=FALSE,SUMIF(Kalkulation!$A$6:$A$40,Kasse!P$5&amp;"*",Kalkulation!$C$6:$C$40)*VLOOKUP($A8,Bestellungen!$6:$1048576,MATCH(Kasse!P$5,Bestellungen!$A$5:$X$5,0),0),"")</f>
        <v/>
      </c>
      <c r="Q8" s="26" t="str">
        <f>IF(ISERROR(VLOOKUP($A8,Bestellungen!$6:$1048576,MATCH(Kasse!Q$5,Bestellungen!$A$5:$X$5,0),0))=FALSE,SUMIF(Kalkulation!$A$6:$A$40,Kasse!Q$5&amp;"*",Kalkulation!$C$6:$C$40)*VLOOKUP($A8,Bestellungen!$6:$1048576,MATCH(Kasse!Q$5,Bestellungen!$A$5:$X$5,0),0),"")</f>
        <v/>
      </c>
      <c r="R8" s="26" t="str">
        <f>IF(ISERROR(VLOOKUP($A8,Bestellungen!$6:$1048576,MATCH(Kasse!R$5,Bestellungen!$A$5:$X$5,0),0))=FALSE,SUMIF(Kalkulation!$A$6:$A$40,Kasse!R$5&amp;"*",Kalkulation!$C$6:$C$40)*VLOOKUP($A8,Bestellungen!$6:$1048576,MATCH(Kasse!R$5,Bestellungen!$A$5:$X$5,0),0),"")</f>
        <v/>
      </c>
      <c r="S8" s="26" t="str">
        <f>IF(ISERROR(VLOOKUP($A8,Bestellungen!$6:$1048576,MATCH(Kasse!S$5,Bestellungen!$A$5:$X$5,0),0))=FALSE,SUMIF(Kalkulation!$A$6:$A$40,Kasse!S$5&amp;"*",Kalkulation!$C$6:$C$40)*VLOOKUP($A8,Bestellungen!$6:$1048576,MATCH(Kasse!S$5,Bestellungen!$A$5:$X$5,0),0),"")</f>
        <v/>
      </c>
      <c r="T8" s="26" t="str">
        <f>IF(ISERROR(VLOOKUP($A8,Bestellungen!$6:$1048576,MATCH(Kasse!T$5,Bestellungen!$A$5:$X$5,0),0))=FALSE,SUMIF(Kalkulation!$A$6:$A$40,Kasse!T$5&amp;"*",Kalkulation!$C$6:$C$40)*VLOOKUP($A8,Bestellungen!$6:$1048576,MATCH(Kasse!T$5,Bestellungen!$A$5:$X$5,0),0),"")</f>
        <v/>
      </c>
      <c r="U8" s="26" t="str">
        <f t="shared" si="0"/>
        <v/>
      </c>
      <c r="W8" s="26" t="str">
        <f t="shared" si="1"/>
        <v/>
      </c>
      <c r="X8" s="26"/>
      <c r="Y8" s="26"/>
      <c r="Z8" s="26"/>
      <c r="AA8" s="26"/>
    </row>
    <row r="9" spans="1:27" x14ac:dyDescent="0.25">
      <c r="A9" t="str">
        <f>IF(LEN(Bestellungen!$A9)&gt;0,Bestellungen!$A9,"")</f>
        <v/>
      </c>
      <c r="B9" s="26" t="str">
        <f>IF(ISERROR(VLOOKUP($A9,Bestellungen!$6:$1048576,MATCH(Kasse!B$5,Bestellungen!$A$5:$X$5,0),0))=FALSE,SUMIF(Kalkulation!$A$6:$A$40,Kasse!B$5&amp;"*",Kalkulation!$C$6:$C$40)*VLOOKUP($A9,Bestellungen!$6:$1048576,MATCH(Kasse!B$5,Bestellungen!$A$5:$X$5,0),0),"")</f>
        <v/>
      </c>
      <c r="C9" s="26" t="str">
        <f>IF(ISERROR(VLOOKUP($A9,Bestellungen!$6:$1048576,MATCH(Kasse!C$5,Bestellungen!$A$5:$X$5,0),0))=FALSE,SUMIF(Kalkulation!$A$6:$A$40,Kasse!C$5&amp;"*",Kalkulation!$C$6:$C$40)*VLOOKUP($A9,Bestellungen!$6:$1048576,MATCH(Kasse!C$5,Bestellungen!$A$5:$X$5,0),0),"")</f>
        <v/>
      </c>
      <c r="D9" s="26" t="str">
        <f>IF(ISERROR(VLOOKUP($A9,Bestellungen!$6:$1048576,MATCH(Kasse!D$5,Bestellungen!$A$5:$X$5,0),0))=FALSE,SUMIF(Kalkulation!$A$6:$A$40,Kasse!D$5&amp;"*",Kalkulation!$C$6:$C$40)*VLOOKUP($A9,Bestellungen!$6:$1048576,MATCH(Kasse!D$5,Bestellungen!$A$5:$X$5,0),0),"")</f>
        <v/>
      </c>
      <c r="E9" s="26" t="str">
        <f>IF(ISERROR(VLOOKUP($A9,Bestellungen!$6:$1048576,MATCH(Kasse!E$5,Bestellungen!$A$5:$X$5,0),0))=FALSE,SUMIF(Kalkulation!$A$6:$A$40,Kasse!E$5&amp;"*",Kalkulation!$C$6:$C$40)*VLOOKUP($A9,Bestellungen!$6:$1048576,MATCH(Kasse!E$5,Bestellungen!$A$5:$X$5,0),0),"")</f>
        <v/>
      </c>
      <c r="F9" s="26" t="str">
        <f>IF(ISERROR(VLOOKUP($A9,Bestellungen!$6:$1048576,MATCH(Kasse!F$5,Bestellungen!$A$5:$X$5,0),0))=FALSE,SUMIF(Kalkulation!$A$6:$A$40,Kasse!F$5&amp;"*",Kalkulation!$C$6:$C$40)*VLOOKUP($A9,Bestellungen!$6:$1048576,MATCH(Kasse!F$5,Bestellungen!$A$5:$X$5,0),0),"")</f>
        <v/>
      </c>
      <c r="G9" s="26" t="str">
        <f>IF(ISERROR(VLOOKUP($A9,Bestellungen!$6:$1048576,MATCH(Kasse!G$5,Bestellungen!$A$5:$X$5,0),0))=FALSE,SUMIF(Kalkulation!$A$6:$A$40,Kasse!G$5&amp;"*",Kalkulation!$C$6:$C$40)*VLOOKUP($A9,Bestellungen!$6:$1048576,MATCH(Kasse!G$5,Bestellungen!$A$5:$X$5,0),0),"")</f>
        <v/>
      </c>
      <c r="H9" s="26" t="str">
        <f>IF(ISERROR(VLOOKUP($A9,Bestellungen!$6:$1048576,MATCH(Kasse!H$5,Bestellungen!$A$5:$X$5,0),0))=FALSE,SUMIF(Kalkulation!$A$6:$A$40,Kasse!H$5&amp;"*",Kalkulation!$C$6:$C$40)*VLOOKUP($A9,Bestellungen!$6:$1048576,MATCH(Kasse!H$5,Bestellungen!$A$5:$X$5,0),0),"")</f>
        <v/>
      </c>
      <c r="I9" s="26" t="str">
        <f>IF(ISERROR(VLOOKUP($A9,Bestellungen!$6:$1048576,MATCH(Kasse!I$5,Bestellungen!$A$5:$X$5,0),0))=FALSE,SUMIF(Kalkulation!$A$6:$A$40,Kasse!I$5&amp;"*",Kalkulation!$C$6:$C$40)*VLOOKUP($A9,Bestellungen!$6:$1048576,MATCH(Kasse!I$5,Bestellungen!$A$5:$X$5,0),0),"")</f>
        <v/>
      </c>
      <c r="J9" s="26" t="str">
        <f>IF(ISERROR(VLOOKUP($A9,Bestellungen!$6:$1048576,MATCH(Kasse!J$5,Bestellungen!$A$5:$X$5,0),0))=FALSE,SUMIF(Kalkulation!$A$6:$A$40,Kasse!J$5&amp;"*",Kalkulation!$C$6:$C$40)*VLOOKUP($A9,Bestellungen!$6:$1048576,MATCH(Kasse!J$5,Bestellungen!$A$5:$X$5,0),0),"")</f>
        <v/>
      </c>
      <c r="K9" s="26" t="str">
        <f>IF(ISERROR(VLOOKUP($A9,Bestellungen!$6:$1048576,MATCH(Kasse!K$5,Bestellungen!$A$5:$X$5,0),0))=FALSE,SUMIF(Kalkulation!$A$6:$A$40,Kasse!K$5&amp;"*",Kalkulation!$C$6:$C$40)*VLOOKUP($A9,Bestellungen!$6:$1048576,MATCH(Kasse!K$5,Bestellungen!$A$5:$X$5,0),0),"")</f>
        <v/>
      </c>
      <c r="L9" s="26" t="str">
        <f>IF(ISERROR(VLOOKUP($A9,Bestellungen!$6:$1048576,MATCH(Kasse!L$5,Bestellungen!$A$5:$X$5,0),0))=FALSE,SUMIF(Kalkulation!$A$6:$A$40,Kasse!L$5&amp;"*",Kalkulation!$C$6:$C$40)*VLOOKUP($A9,Bestellungen!$6:$1048576,MATCH(Kasse!L$5,Bestellungen!$A$5:$X$5,0),0),"")</f>
        <v/>
      </c>
      <c r="M9" s="26" t="str">
        <f>IF(ISERROR(VLOOKUP($A9,Bestellungen!$6:$1048576,MATCH(Kasse!M$5,Bestellungen!$A$5:$X$5,0),0))=FALSE,SUMIF(Kalkulation!$A$6:$A$40,Kasse!M$5&amp;"*",Kalkulation!$C$6:$C$40)*VLOOKUP($A9,Bestellungen!$6:$1048576,MATCH(Kasse!M$5,Bestellungen!$A$5:$X$5,0),0),"")</f>
        <v/>
      </c>
      <c r="N9" s="26" t="str">
        <f>IF(ISERROR(VLOOKUP($A9,Bestellungen!$6:$1048576,MATCH(Kasse!N$5,Bestellungen!$A$5:$X$5,0),0))=FALSE,SUMIF(Kalkulation!$A$6:$A$40,Kasse!N$5&amp;"*",Kalkulation!$C$6:$C$40)*VLOOKUP($A9,Bestellungen!$6:$1048576,MATCH(Kasse!N$5,Bestellungen!$A$5:$X$5,0),0),"")</f>
        <v/>
      </c>
      <c r="O9" s="26" t="str">
        <f>IF(ISERROR(VLOOKUP($A9,Bestellungen!$6:$1048576,MATCH(Kasse!O$5,Bestellungen!$A$5:$X$5,0),0))=FALSE,SUMIF(Kalkulation!$A$6:$A$40,Kasse!O$5&amp;"*",Kalkulation!$C$6:$C$40)*VLOOKUP($A9,Bestellungen!$6:$1048576,MATCH(Kasse!O$5,Bestellungen!$A$5:$X$5,0),0),"")</f>
        <v/>
      </c>
      <c r="P9" s="26" t="str">
        <f>IF(ISERROR(VLOOKUP($A9,Bestellungen!$6:$1048576,MATCH(Kasse!P$5,Bestellungen!$A$5:$X$5,0),0))=FALSE,SUMIF(Kalkulation!$A$6:$A$40,Kasse!P$5&amp;"*",Kalkulation!$C$6:$C$40)*VLOOKUP($A9,Bestellungen!$6:$1048576,MATCH(Kasse!P$5,Bestellungen!$A$5:$X$5,0),0),"")</f>
        <v/>
      </c>
      <c r="Q9" s="26" t="str">
        <f>IF(ISERROR(VLOOKUP($A9,Bestellungen!$6:$1048576,MATCH(Kasse!Q$5,Bestellungen!$A$5:$X$5,0),0))=FALSE,SUMIF(Kalkulation!$A$6:$A$40,Kasse!Q$5&amp;"*",Kalkulation!$C$6:$C$40)*VLOOKUP($A9,Bestellungen!$6:$1048576,MATCH(Kasse!Q$5,Bestellungen!$A$5:$X$5,0),0),"")</f>
        <v/>
      </c>
      <c r="R9" s="26" t="str">
        <f>IF(ISERROR(VLOOKUP($A9,Bestellungen!$6:$1048576,MATCH(Kasse!R$5,Bestellungen!$A$5:$X$5,0),0))=FALSE,SUMIF(Kalkulation!$A$6:$A$40,Kasse!R$5&amp;"*",Kalkulation!$C$6:$C$40)*VLOOKUP($A9,Bestellungen!$6:$1048576,MATCH(Kasse!R$5,Bestellungen!$A$5:$X$5,0),0),"")</f>
        <v/>
      </c>
      <c r="S9" s="26" t="str">
        <f>IF(ISERROR(VLOOKUP($A9,Bestellungen!$6:$1048576,MATCH(Kasse!S$5,Bestellungen!$A$5:$X$5,0),0))=FALSE,SUMIF(Kalkulation!$A$6:$A$40,Kasse!S$5&amp;"*",Kalkulation!$C$6:$C$40)*VLOOKUP($A9,Bestellungen!$6:$1048576,MATCH(Kasse!S$5,Bestellungen!$A$5:$X$5,0),0),"")</f>
        <v/>
      </c>
      <c r="T9" s="26" t="str">
        <f>IF(ISERROR(VLOOKUP($A9,Bestellungen!$6:$1048576,MATCH(Kasse!T$5,Bestellungen!$A$5:$X$5,0),0))=FALSE,SUMIF(Kalkulation!$A$6:$A$40,Kasse!T$5&amp;"*",Kalkulation!$C$6:$C$40)*VLOOKUP($A9,Bestellungen!$6:$1048576,MATCH(Kasse!T$5,Bestellungen!$A$5:$X$5,0),0),"")</f>
        <v/>
      </c>
      <c r="U9" s="26" t="str">
        <f t="shared" si="0"/>
        <v/>
      </c>
      <c r="W9" s="26" t="str">
        <f t="shared" si="1"/>
        <v/>
      </c>
      <c r="X9" s="26"/>
      <c r="Y9" s="26"/>
      <c r="Z9" s="26"/>
      <c r="AA9" s="26"/>
    </row>
    <row r="10" spans="1:27" x14ac:dyDescent="0.25">
      <c r="A10" t="str">
        <f>IF(LEN(Bestellungen!$A10)&gt;0,Bestellungen!$A10,"")</f>
        <v/>
      </c>
      <c r="B10" s="26" t="str">
        <f>IF(ISERROR(VLOOKUP($A10,Bestellungen!$6:$1048576,MATCH(Kasse!B$5,Bestellungen!$A$5:$X$5,0),0))=FALSE,SUMIF(Kalkulation!$A$6:$A$40,Kasse!B$5&amp;"*",Kalkulation!$C$6:$C$40)*VLOOKUP($A10,Bestellungen!$6:$1048576,MATCH(Kasse!B$5,Bestellungen!$A$5:$X$5,0),0),"")</f>
        <v/>
      </c>
      <c r="C10" s="26" t="str">
        <f>IF(ISERROR(VLOOKUP($A10,Bestellungen!$6:$1048576,MATCH(Kasse!C$5,Bestellungen!$A$5:$X$5,0),0))=FALSE,SUMIF(Kalkulation!$A$6:$A$40,Kasse!C$5&amp;"*",Kalkulation!$C$6:$C$40)*VLOOKUP($A10,Bestellungen!$6:$1048576,MATCH(Kasse!C$5,Bestellungen!$A$5:$X$5,0),0),"")</f>
        <v/>
      </c>
      <c r="D10" s="26" t="str">
        <f>IF(ISERROR(VLOOKUP($A10,Bestellungen!$6:$1048576,MATCH(Kasse!D$5,Bestellungen!$A$5:$X$5,0),0))=FALSE,SUMIF(Kalkulation!$A$6:$A$40,Kasse!D$5&amp;"*",Kalkulation!$C$6:$C$40)*VLOOKUP($A10,Bestellungen!$6:$1048576,MATCH(Kasse!D$5,Bestellungen!$A$5:$X$5,0),0),"")</f>
        <v/>
      </c>
      <c r="E10" s="26" t="str">
        <f>IF(ISERROR(VLOOKUP($A10,Bestellungen!$6:$1048576,MATCH(Kasse!E$5,Bestellungen!$A$5:$X$5,0),0))=FALSE,SUMIF(Kalkulation!$A$6:$A$40,Kasse!E$5&amp;"*",Kalkulation!$C$6:$C$40)*VLOOKUP($A10,Bestellungen!$6:$1048576,MATCH(Kasse!E$5,Bestellungen!$A$5:$X$5,0),0),"")</f>
        <v/>
      </c>
      <c r="F10" s="26" t="str">
        <f>IF(ISERROR(VLOOKUP($A10,Bestellungen!$6:$1048576,MATCH(Kasse!F$5,Bestellungen!$A$5:$X$5,0),0))=FALSE,SUMIF(Kalkulation!$A$6:$A$40,Kasse!F$5&amp;"*",Kalkulation!$C$6:$C$40)*VLOOKUP($A10,Bestellungen!$6:$1048576,MATCH(Kasse!F$5,Bestellungen!$A$5:$X$5,0),0),"")</f>
        <v/>
      </c>
      <c r="G10" s="26" t="str">
        <f>IF(ISERROR(VLOOKUP($A10,Bestellungen!$6:$1048576,MATCH(Kasse!G$5,Bestellungen!$A$5:$X$5,0),0))=FALSE,SUMIF(Kalkulation!$A$6:$A$40,Kasse!G$5&amp;"*",Kalkulation!$C$6:$C$40)*VLOOKUP($A10,Bestellungen!$6:$1048576,MATCH(Kasse!G$5,Bestellungen!$A$5:$X$5,0),0),"")</f>
        <v/>
      </c>
      <c r="H10" s="26" t="str">
        <f>IF(ISERROR(VLOOKUP($A10,Bestellungen!$6:$1048576,MATCH(Kasse!H$5,Bestellungen!$A$5:$X$5,0),0))=FALSE,SUMIF(Kalkulation!$A$6:$A$40,Kasse!H$5&amp;"*",Kalkulation!$C$6:$C$40)*VLOOKUP($A10,Bestellungen!$6:$1048576,MATCH(Kasse!H$5,Bestellungen!$A$5:$X$5,0),0),"")</f>
        <v/>
      </c>
      <c r="I10" s="26" t="str">
        <f>IF(ISERROR(VLOOKUP($A10,Bestellungen!$6:$1048576,MATCH(Kasse!I$5,Bestellungen!$A$5:$X$5,0),0))=FALSE,SUMIF(Kalkulation!$A$6:$A$40,Kasse!I$5&amp;"*",Kalkulation!$C$6:$C$40)*VLOOKUP($A10,Bestellungen!$6:$1048576,MATCH(Kasse!I$5,Bestellungen!$A$5:$X$5,0),0),"")</f>
        <v/>
      </c>
      <c r="J10" s="26" t="str">
        <f>IF(ISERROR(VLOOKUP($A10,Bestellungen!$6:$1048576,MATCH(Kasse!J$5,Bestellungen!$A$5:$X$5,0),0))=FALSE,SUMIF(Kalkulation!$A$6:$A$40,Kasse!J$5&amp;"*",Kalkulation!$C$6:$C$40)*VLOOKUP($A10,Bestellungen!$6:$1048576,MATCH(Kasse!J$5,Bestellungen!$A$5:$X$5,0),0),"")</f>
        <v/>
      </c>
      <c r="K10" s="26" t="str">
        <f>IF(ISERROR(VLOOKUP($A10,Bestellungen!$6:$1048576,MATCH(Kasse!K$5,Bestellungen!$A$5:$X$5,0),0))=FALSE,SUMIF(Kalkulation!$A$6:$A$40,Kasse!K$5&amp;"*",Kalkulation!$C$6:$C$40)*VLOOKUP($A10,Bestellungen!$6:$1048576,MATCH(Kasse!K$5,Bestellungen!$A$5:$X$5,0),0),"")</f>
        <v/>
      </c>
      <c r="L10" s="26" t="str">
        <f>IF(ISERROR(VLOOKUP($A10,Bestellungen!$6:$1048576,MATCH(Kasse!L$5,Bestellungen!$A$5:$X$5,0),0))=FALSE,SUMIF(Kalkulation!$A$6:$A$40,Kasse!L$5&amp;"*",Kalkulation!$C$6:$C$40)*VLOOKUP($A10,Bestellungen!$6:$1048576,MATCH(Kasse!L$5,Bestellungen!$A$5:$X$5,0),0),"")</f>
        <v/>
      </c>
      <c r="M10" s="26" t="str">
        <f>IF(ISERROR(VLOOKUP($A10,Bestellungen!$6:$1048576,MATCH(Kasse!M$5,Bestellungen!$A$5:$X$5,0),0))=FALSE,SUMIF(Kalkulation!$A$6:$A$40,Kasse!M$5&amp;"*",Kalkulation!$C$6:$C$40)*VLOOKUP($A10,Bestellungen!$6:$1048576,MATCH(Kasse!M$5,Bestellungen!$A$5:$X$5,0),0),"")</f>
        <v/>
      </c>
      <c r="N10" s="26" t="str">
        <f>IF(ISERROR(VLOOKUP($A10,Bestellungen!$6:$1048576,MATCH(Kasse!N$5,Bestellungen!$A$5:$X$5,0),0))=FALSE,SUMIF(Kalkulation!$A$6:$A$40,Kasse!N$5&amp;"*",Kalkulation!$C$6:$C$40)*VLOOKUP($A10,Bestellungen!$6:$1048576,MATCH(Kasse!N$5,Bestellungen!$A$5:$X$5,0),0),"")</f>
        <v/>
      </c>
      <c r="O10" s="26" t="str">
        <f>IF(ISERROR(VLOOKUP($A10,Bestellungen!$6:$1048576,MATCH(Kasse!O$5,Bestellungen!$A$5:$X$5,0),0))=FALSE,SUMIF(Kalkulation!$A$6:$A$40,Kasse!O$5&amp;"*",Kalkulation!$C$6:$C$40)*VLOOKUP($A10,Bestellungen!$6:$1048576,MATCH(Kasse!O$5,Bestellungen!$A$5:$X$5,0),0),"")</f>
        <v/>
      </c>
      <c r="P10" s="26" t="str">
        <f>IF(ISERROR(VLOOKUP($A10,Bestellungen!$6:$1048576,MATCH(Kasse!P$5,Bestellungen!$A$5:$X$5,0),0))=FALSE,SUMIF(Kalkulation!$A$6:$A$40,Kasse!P$5&amp;"*",Kalkulation!$C$6:$C$40)*VLOOKUP($A10,Bestellungen!$6:$1048576,MATCH(Kasse!P$5,Bestellungen!$A$5:$X$5,0),0),"")</f>
        <v/>
      </c>
      <c r="Q10" s="26" t="str">
        <f>IF(ISERROR(VLOOKUP($A10,Bestellungen!$6:$1048576,MATCH(Kasse!Q$5,Bestellungen!$A$5:$X$5,0),0))=FALSE,SUMIF(Kalkulation!$A$6:$A$40,Kasse!Q$5&amp;"*",Kalkulation!$C$6:$C$40)*VLOOKUP($A10,Bestellungen!$6:$1048576,MATCH(Kasse!Q$5,Bestellungen!$A$5:$X$5,0),0),"")</f>
        <v/>
      </c>
      <c r="R10" s="26" t="str">
        <f>IF(ISERROR(VLOOKUP($A10,Bestellungen!$6:$1048576,MATCH(Kasse!R$5,Bestellungen!$A$5:$X$5,0),0))=FALSE,SUMIF(Kalkulation!$A$6:$A$40,Kasse!R$5&amp;"*",Kalkulation!$C$6:$C$40)*VLOOKUP($A10,Bestellungen!$6:$1048576,MATCH(Kasse!R$5,Bestellungen!$A$5:$X$5,0),0),"")</f>
        <v/>
      </c>
      <c r="S10" s="26" t="str">
        <f>IF(ISERROR(VLOOKUP($A10,Bestellungen!$6:$1048576,MATCH(Kasse!S$5,Bestellungen!$A$5:$X$5,0),0))=FALSE,SUMIF(Kalkulation!$A$6:$A$40,Kasse!S$5&amp;"*",Kalkulation!$C$6:$C$40)*VLOOKUP($A10,Bestellungen!$6:$1048576,MATCH(Kasse!S$5,Bestellungen!$A$5:$X$5,0),0),"")</f>
        <v/>
      </c>
      <c r="T10" s="26" t="str">
        <f>IF(ISERROR(VLOOKUP($A10,Bestellungen!$6:$1048576,MATCH(Kasse!T$5,Bestellungen!$A$5:$X$5,0),0))=FALSE,SUMIF(Kalkulation!$A$6:$A$40,Kasse!T$5&amp;"*",Kalkulation!$C$6:$C$40)*VLOOKUP($A10,Bestellungen!$6:$1048576,MATCH(Kasse!T$5,Bestellungen!$A$5:$X$5,0),0),"")</f>
        <v/>
      </c>
      <c r="U10" s="26" t="str">
        <f t="shared" si="0"/>
        <v/>
      </c>
      <c r="W10" s="26" t="str">
        <f t="shared" si="1"/>
        <v/>
      </c>
      <c r="X10" s="26"/>
      <c r="Y10" s="26"/>
      <c r="Z10" s="26"/>
      <c r="AA10" s="26"/>
    </row>
    <row r="11" spans="1:27" x14ac:dyDescent="0.25">
      <c r="A11" t="str">
        <f>IF(LEN(Bestellungen!$A11)&gt;0,Bestellungen!$A11,"")</f>
        <v/>
      </c>
      <c r="B11" s="26" t="str">
        <f>IF(ISERROR(VLOOKUP($A11,Bestellungen!$6:$1048576,MATCH(Kasse!B$5,Bestellungen!$A$5:$X$5,0),0))=FALSE,SUMIF(Kalkulation!$A$6:$A$40,Kasse!B$5&amp;"*",Kalkulation!$C$6:$C$40)*VLOOKUP($A11,Bestellungen!$6:$1048576,MATCH(Kasse!B$5,Bestellungen!$A$5:$X$5,0),0),"")</f>
        <v/>
      </c>
      <c r="C11" s="26" t="str">
        <f>IF(ISERROR(VLOOKUP($A11,Bestellungen!$6:$1048576,MATCH(Kasse!C$5,Bestellungen!$A$5:$X$5,0),0))=FALSE,SUMIF(Kalkulation!$A$6:$A$40,Kasse!C$5&amp;"*",Kalkulation!$C$6:$C$40)*VLOOKUP($A11,Bestellungen!$6:$1048576,MATCH(Kasse!C$5,Bestellungen!$A$5:$X$5,0),0),"")</f>
        <v/>
      </c>
      <c r="D11" s="26" t="str">
        <f>IF(ISERROR(VLOOKUP($A11,Bestellungen!$6:$1048576,MATCH(Kasse!D$5,Bestellungen!$A$5:$X$5,0),0))=FALSE,SUMIF(Kalkulation!$A$6:$A$40,Kasse!D$5&amp;"*",Kalkulation!$C$6:$C$40)*VLOOKUP($A11,Bestellungen!$6:$1048576,MATCH(Kasse!D$5,Bestellungen!$A$5:$X$5,0),0),"")</f>
        <v/>
      </c>
      <c r="E11" s="26" t="str">
        <f>IF(ISERROR(VLOOKUP($A11,Bestellungen!$6:$1048576,MATCH(Kasse!E$5,Bestellungen!$A$5:$X$5,0),0))=FALSE,SUMIF(Kalkulation!$A$6:$A$40,Kasse!E$5&amp;"*",Kalkulation!$C$6:$C$40)*VLOOKUP($A11,Bestellungen!$6:$1048576,MATCH(Kasse!E$5,Bestellungen!$A$5:$X$5,0),0),"")</f>
        <v/>
      </c>
      <c r="F11" s="26" t="str">
        <f>IF(ISERROR(VLOOKUP($A11,Bestellungen!$6:$1048576,MATCH(Kasse!F$5,Bestellungen!$A$5:$X$5,0),0))=FALSE,SUMIF(Kalkulation!$A$6:$A$40,Kasse!F$5&amp;"*",Kalkulation!$C$6:$C$40)*VLOOKUP($A11,Bestellungen!$6:$1048576,MATCH(Kasse!F$5,Bestellungen!$A$5:$X$5,0),0),"")</f>
        <v/>
      </c>
      <c r="G11" s="26" t="str">
        <f>IF(ISERROR(VLOOKUP($A11,Bestellungen!$6:$1048576,MATCH(Kasse!G$5,Bestellungen!$A$5:$X$5,0),0))=FALSE,SUMIF(Kalkulation!$A$6:$A$40,Kasse!G$5&amp;"*",Kalkulation!$C$6:$C$40)*VLOOKUP($A11,Bestellungen!$6:$1048576,MATCH(Kasse!G$5,Bestellungen!$A$5:$X$5,0),0),"")</f>
        <v/>
      </c>
      <c r="H11" s="26" t="str">
        <f>IF(ISERROR(VLOOKUP($A11,Bestellungen!$6:$1048576,MATCH(Kasse!H$5,Bestellungen!$A$5:$X$5,0),0))=FALSE,SUMIF(Kalkulation!$A$6:$A$40,Kasse!H$5&amp;"*",Kalkulation!$C$6:$C$40)*VLOOKUP($A11,Bestellungen!$6:$1048576,MATCH(Kasse!H$5,Bestellungen!$A$5:$X$5,0),0),"")</f>
        <v/>
      </c>
      <c r="I11" s="26" t="str">
        <f>IF(ISERROR(VLOOKUP($A11,Bestellungen!$6:$1048576,MATCH(Kasse!I$5,Bestellungen!$A$5:$X$5,0),0))=FALSE,SUMIF(Kalkulation!$A$6:$A$40,Kasse!I$5&amp;"*",Kalkulation!$C$6:$C$40)*VLOOKUP($A11,Bestellungen!$6:$1048576,MATCH(Kasse!I$5,Bestellungen!$A$5:$X$5,0),0),"")</f>
        <v/>
      </c>
      <c r="J11" s="26" t="str">
        <f>IF(ISERROR(VLOOKUP($A11,Bestellungen!$6:$1048576,MATCH(Kasse!J$5,Bestellungen!$A$5:$X$5,0),0))=FALSE,SUMIF(Kalkulation!$A$6:$A$40,Kasse!J$5&amp;"*",Kalkulation!$C$6:$C$40)*VLOOKUP($A11,Bestellungen!$6:$1048576,MATCH(Kasse!J$5,Bestellungen!$A$5:$X$5,0),0),"")</f>
        <v/>
      </c>
      <c r="K11" s="26" t="str">
        <f>IF(ISERROR(VLOOKUP($A11,Bestellungen!$6:$1048576,MATCH(Kasse!K$5,Bestellungen!$A$5:$X$5,0),0))=FALSE,SUMIF(Kalkulation!$A$6:$A$40,Kasse!K$5&amp;"*",Kalkulation!$C$6:$C$40)*VLOOKUP($A11,Bestellungen!$6:$1048576,MATCH(Kasse!K$5,Bestellungen!$A$5:$X$5,0),0),"")</f>
        <v/>
      </c>
      <c r="L11" s="26" t="str">
        <f>IF(ISERROR(VLOOKUP($A11,Bestellungen!$6:$1048576,MATCH(Kasse!L$5,Bestellungen!$A$5:$X$5,0),0))=FALSE,SUMIF(Kalkulation!$A$6:$A$40,Kasse!L$5&amp;"*",Kalkulation!$C$6:$C$40)*VLOOKUP($A11,Bestellungen!$6:$1048576,MATCH(Kasse!L$5,Bestellungen!$A$5:$X$5,0),0),"")</f>
        <v/>
      </c>
      <c r="M11" s="26" t="str">
        <f>IF(ISERROR(VLOOKUP($A11,Bestellungen!$6:$1048576,MATCH(Kasse!M$5,Bestellungen!$A$5:$X$5,0),0))=FALSE,SUMIF(Kalkulation!$A$6:$A$40,Kasse!M$5&amp;"*",Kalkulation!$C$6:$C$40)*VLOOKUP($A11,Bestellungen!$6:$1048576,MATCH(Kasse!M$5,Bestellungen!$A$5:$X$5,0),0),"")</f>
        <v/>
      </c>
      <c r="N11" s="26" t="str">
        <f>IF(ISERROR(VLOOKUP($A11,Bestellungen!$6:$1048576,MATCH(Kasse!N$5,Bestellungen!$A$5:$X$5,0),0))=FALSE,SUMIF(Kalkulation!$A$6:$A$40,Kasse!N$5&amp;"*",Kalkulation!$C$6:$C$40)*VLOOKUP($A11,Bestellungen!$6:$1048576,MATCH(Kasse!N$5,Bestellungen!$A$5:$X$5,0),0),"")</f>
        <v/>
      </c>
      <c r="O11" s="26" t="str">
        <f>IF(ISERROR(VLOOKUP($A11,Bestellungen!$6:$1048576,MATCH(Kasse!O$5,Bestellungen!$A$5:$X$5,0),0))=FALSE,SUMIF(Kalkulation!$A$6:$A$40,Kasse!O$5&amp;"*",Kalkulation!$C$6:$C$40)*VLOOKUP($A11,Bestellungen!$6:$1048576,MATCH(Kasse!O$5,Bestellungen!$A$5:$X$5,0),0),"")</f>
        <v/>
      </c>
      <c r="P11" s="26" t="str">
        <f>IF(ISERROR(VLOOKUP($A11,Bestellungen!$6:$1048576,MATCH(Kasse!P$5,Bestellungen!$A$5:$X$5,0),0))=FALSE,SUMIF(Kalkulation!$A$6:$A$40,Kasse!P$5&amp;"*",Kalkulation!$C$6:$C$40)*VLOOKUP($A11,Bestellungen!$6:$1048576,MATCH(Kasse!P$5,Bestellungen!$A$5:$X$5,0),0),"")</f>
        <v/>
      </c>
      <c r="Q11" s="26" t="str">
        <f>IF(ISERROR(VLOOKUP($A11,Bestellungen!$6:$1048576,MATCH(Kasse!Q$5,Bestellungen!$A$5:$X$5,0),0))=FALSE,SUMIF(Kalkulation!$A$6:$A$40,Kasse!Q$5&amp;"*",Kalkulation!$C$6:$C$40)*VLOOKUP($A11,Bestellungen!$6:$1048576,MATCH(Kasse!Q$5,Bestellungen!$A$5:$X$5,0),0),"")</f>
        <v/>
      </c>
      <c r="R11" s="26" t="str">
        <f>IF(ISERROR(VLOOKUP($A11,Bestellungen!$6:$1048576,MATCH(Kasse!R$5,Bestellungen!$A$5:$X$5,0),0))=FALSE,SUMIF(Kalkulation!$A$6:$A$40,Kasse!R$5&amp;"*",Kalkulation!$C$6:$C$40)*VLOOKUP($A11,Bestellungen!$6:$1048576,MATCH(Kasse!R$5,Bestellungen!$A$5:$X$5,0),0),"")</f>
        <v/>
      </c>
      <c r="S11" s="26" t="str">
        <f>IF(ISERROR(VLOOKUP($A11,Bestellungen!$6:$1048576,MATCH(Kasse!S$5,Bestellungen!$A$5:$X$5,0),0))=FALSE,SUMIF(Kalkulation!$A$6:$A$40,Kasse!S$5&amp;"*",Kalkulation!$C$6:$C$40)*VLOOKUP($A11,Bestellungen!$6:$1048576,MATCH(Kasse!S$5,Bestellungen!$A$5:$X$5,0),0),"")</f>
        <v/>
      </c>
      <c r="T11" s="26" t="str">
        <f>IF(ISERROR(VLOOKUP($A11,Bestellungen!$6:$1048576,MATCH(Kasse!T$5,Bestellungen!$A$5:$X$5,0),0))=FALSE,SUMIF(Kalkulation!$A$6:$A$40,Kasse!T$5&amp;"*",Kalkulation!$C$6:$C$40)*VLOOKUP($A11,Bestellungen!$6:$1048576,MATCH(Kasse!T$5,Bestellungen!$A$5:$X$5,0),0),"")</f>
        <v/>
      </c>
      <c r="U11" s="26" t="str">
        <f t="shared" si="0"/>
        <v/>
      </c>
      <c r="W11" s="26" t="str">
        <f t="shared" si="1"/>
        <v/>
      </c>
      <c r="X11" s="26"/>
      <c r="Y11" s="26"/>
      <c r="Z11" s="26"/>
      <c r="AA11" s="26"/>
    </row>
    <row r="12" spans="1:27" x14ac:dyDescent="0.25">
      <c r="A12" t="str">
        <f>IF(LEN(Bestellungen!$A12)&gt;0,Bestellungen!$A12,"")</f>
        <v/>
      </c>
      <c r="B12" s="26" t="str">
        <f>IF(ISERROR(VLOOKUP($A12,Bestellungen!$6:$1048576,MATCH(Kasse!B$5,Bestellungen!$A$5:$X$5,0),0))=FALSE,SUMIF(Kalkulation!$A$6:$A$40,Kasse!B$5&amp;"*",Kalkulation!$C$6:$C$40)*VLOOKUP($A12,Bestellungen!$6:$1048576,MATCH(Kasse!B$5,Bestellungen!$A$5:$X$5,0),0),"")</f>
        <v/>
      </c>
      <c r="C12" s="26" t="str">
        <f>IF(ISERROR(VLOOKUP($A12,Bestellungen!$6:$1048576,MATCH(Kasse!C$5,Bestellungen!$A$5:$X$5,0),0))=FALSE,SUMIF(Kalkulation!$A$6:$A$40,Kasse!C$5&amp;"*",Kalkulation!$C$6:$C$40)*VLOOKUP($A12,Bestellungen!$6:$1048576,MATCH(Kasse!C$5,Bestellungen!$A$5:$X$5,0),0),"")</f>
        <v/>
      </c>
      <c r="D12" s="26" t="str">
        <f>IF(ISERROR(VLOOKUP($A12,Bestellungen!$6:$1048576,MATCH(Kasse!D$5,Bestellungen!$A$5:$X$5,0),0))=FALSE,SUMIF(Kalkulation!$A$6:$A$40,Kasse!D$5&amp;"*",Kalkulation!$C$6:$C$40)*VLOOKUP($A12,Bestellungen!$6:$1048576,MATCH(Kasse!D$5,Bestellungen!$A$5:$X$5,0),0),"")</f>
        <v/>
      </c>
      <c r="E12" s="26" t="str">
        <f>IF(ISERROR(VLOOKUP($A12,Bestellungen!$6:$1048576,MATCH(Kasse!E$5,Bestellungen!$A$5:$X$5,0),0))=FALSE,SUMIF(Kalkulation!$A$6:$A$40,Kasse!E$5&amp;"*",Kalkulation!$C$6:$C$40)*VLOOKUP($A12,Bestellungen!$6:$1048576,MATCH(Kasse!E$5,Bestellungen!$A$5:$X$5,0),0),"")</f>
        <v/>
      </c>
      <c r="F12" s="26" t="str">
        <f>IF(ISERROR(VLOOKUP($A12,Bestellungen!$6:$1048576,MATCH(Kasse!F$5,Bestellungen!$A$5:$X$5,0),0))=FALSE,SUMIF(Kalkulation!$A$6:$A$40,Kasse!F$5&amp;"*",Kalkulation!$C$6:$C$40)*VLOOKUP($A12,Bestellungen!$6:$1048576,MATCH(Kasse!F$5,Bestellungen!$A$5:$X$5,0),0),"")</f>
        <v/>
      </c>
      <c r="G12" s="26" t="str">
        <f>IF(ISERROR(VLOOKUP($A12,Bestellungen!$6:$1048576,MATCH(Kasse!G$5,Bestellungen!$A$5:$X$5,0),0))=FALSE,SUMIF(Kalkulation!$A$6:$A$40,Kasse!G$5&amp;"*",Kalkulation!$C$6:$C$40)*VLOOKUP($A12,Bestellungen!$6:$1048576,MATCH(Kasse!G$5,Bestellungen!$A$5:$X$5,0),0),"")</f>
        <v/>
      </c>
      <c r="H12" s="26" t="str">
        <f>IF(ISERROR(VLOOKUP($A12,Bestellungen!$6:$1048576,MATCH(Kasse!H$5,Bestellungen!$A$5:$X$5,0),0))=FALSE,SUMIF(Kalkulation!$A$6:$A$40,Kasse!H$5&amp;"*",Kalkulation!$C$6:$C$40)*VLOOKUP($A12,Bestellungen!$6:$1048576,MATCH(Kasse!H$5,Bestellungen!$A$5:$X$5,0),0),"")</f>
        <v/>
      </c>
      <c r="I12" s="26" t="str">
        <f>IF(ISERROR(VLOOKUP($A12,Bestellungen!$6:$1048576,MATCH(Kasse!I$5,Bestellungen!$A$5:$X$5,0),0))=FALSE,SUMIF(Kalkulation!$A$6:$A$40,Kasse!I$5&amp;"*",Kalkulation!$C$6:$C$40)*VLOOKUP($A12,Bestellungen!$6:$1048576,MATCH(Kasse!I$5,Bestellungen!$A$5:$X$5,0),0),"")</f>
        <v/>
      </c>
      <c r="J12" s="26" t="str">
        <f>IF(ISERROR(VLOOKUP($A12,Bestellungen!$6:$1048576,MATCH(Kasse!J$5,Bestellungen!$A$5:$X$5,0),0))=FALSE,SUMIF(Kalkulation!$A$6:$A$40,Kasse!J$5&amp;"*",Kalkulation!$C$6:$C$40)*VLOOKUP($A12,Bestellungen!$6:$1048576,MATCH(Kasse!J$5,Bestellungen!$A$5:$X$5,0),0),"")</f>
        <v/>
      </c>
      <c r="K12" s="26" t="str">
        <f>IF(ISERROR(VLOOKUP($A12,Bestellungen!$6:$1048576,MATCH(Kasse!K$5,Bestellungen!$A$5:$X$5,0),0))=FALSE,SUMIF(Kalkulation!$A$6:$A$40,Kasse!K$5&amp;"*",Kalkulation!$C$6:$C$40)*VLOOKUP($A12,Bestellungen!$6:$1048576,MATCH(Kasse!K$5,Bestellungen!$A$5:$X$5,0),0),"")</f>
        <v/>
      </c>
      <c r="L12" s="26" t="str">
        <f>IF(ISERROR(VLOOKUP($A12,Bestellungen!$6:$1048576,MATCH(Kasse!L$5,Bestellungen!$A$5:$X$5,0),0))=FALSE,SUMIF(Kalkulation!$A$6:$A$40,Kasse!L$5&amp;"*",Kalkulation!$C$6:$C$40)*VLOOKUP($A12,Bestellungen!$6:$1048576,MATCH(Kasse!L$5,Bestellungen!$A$5:$X$5,0),0),"")</f>
        <v/>
      </c>
      <c r="M12" s="26" t="str">
        <f>IF(ISERROR(VLOOKUP($A12,Bestellungen!$6:$1048576,MATCH(Kasse!M$5,Bestellungen!$A$5:$X$5,0),0))=FALSE,SUMIF(Kalkulation!$A$6:$A$40,Kasse!M$5&amp;"*",Kalkulation!$C$6:$C$40)*VLOOKUP($A12,Bestellungen!$6:$1048576,MATCH(Kasse!M$5,Bestellungen!$A$5:$X$5,0),0),"")</f>
        <v/>
      </c>
      <c r="N12" s="26" t="str">
        <f>IF(ISERROR(VLOOKUP($A12,Bestellungen!$6:$1048576,MATCH(Kasse!N$5,Bestellungen!$A$5:$X$5,0),0))=FALSE,SUMIF(Kalkulation!$A$6:$A$40,Kasse!N$5&amp;"*",Kalkulation!$C$6:$C$40)*VLOOKUP($A12,Bestellungen!$6:$1048576,MATCH(Kasse!N$5,Bestellungen!$A$5:$X$5,0),0),"")</f>
        <v/>
      </c>
      <c r="O12" s="26" t="str">
        <f>IF(ISERROR(VLOOKUP($A12,Bestellungen!$6:$1048576,MATCH(Kasse!O$5,Bestellungen!$A$5:$X$5,0),0))=FALSE,SUMIF(Kalkulation!$A$6:$A$40,Kasse!O$5&amp;"*",Kalkulation!$C$6:$C$40)*VLOOKUP($A12,Bestellungen!$6:$1048576,MATCH(Kasse!O$5,Bestellungen!$A$5:$X$5,0),0),"")</f>
        <v/>
      </c>
      <c r="P12" s="26" t="str">
        <f>IF(ISERROR(VLOOKUP($A12,Bestellungen!$6:$1048576,MATCH(Kasse!P$5,Bestellungen!$A$5:$X$5,0),0))=FALSE,SUMIF(Kalkulation!$A$6:$A$40,Kasse!P$5&amp;"*",Kalkulation!$C$6:$C$40)*VLOOKUP($A12,Bestellungen!$6:$1048576,MATCH(Kasse!P$5,Bestellungen!$A$5:$X$5,0),0),"")</f>
        <v/>
      </c>
      <c r="Q12" s="26" t="str">
        <f>IF(ISERROR(VLOOKUP($A12,Bestellungen!$6:$1048576,MATCH(Kasse!Q$5,Bestellungen!$A$5:$X$5,0),0))=FALSE,SUMIF(Kalkulation!$A$6:$A$40,Kasse!Q$5&amp;"*",Kalkulation!$C$6:$C$40)*VLOOKUP($A12,Bestellungen!$6:$1048576,MATCH(Kasse!Q$5,Bestellungen!$A$5:$X$5,0),0),"")</f>
        <v/>
      </c>
      <c r="R12" s="26" t="str">
        <f>IF(ISERROR(VLOOKUP($A12,Bestellungen!$6:$1048576,MATCH(Kasse!R$5,Bestellungen!$A$5:$X$5,0),0))=FALSE,SUMIF(Kalkulation!$A$6:$A$40,Kasse!R$5&amp;"*",Kalkulation!$C$6:$C$40)*VLOOKUP($A12,Bestellungen!$6:$1048576,MATCH(Kasse!R$5,Bestellungen!$A$5:$X$5,0),0),"")</f>
        <v/>
      </c>
      <c r="S12" s="26" t="str">
        <f>IF(ISERROR(VLOOKUP($A12,Bestellungen!$6:$1048576,MATCH(Kasse!S$5,Bestellungen!$A$5:$X$5,0),0))=FALSE,SUMIF(Kalkulation!$A$6:$A$40,Kasse!S$5&amp;"*",Kalkulation!$C$6:$C$40)*VLOOKUP($A12,Bestellungen!$6:$1048576,MATCH(Kasse!S$5,Bestellungen!$A$5:$X$5,0),0),"")</f>
        <v/>
      </c>
      <c r="T12" s="26" t="str">
        <f>IF(ISERROR(VLOOKUP($A12,Bestellungen!$6:$1048576,MATCH(Kasse!T$5,Bestellungen!$A$5:$X$5,0),0))=FALSE,SUMIF(Kalkulation!$A$6:$A$40,Kasse!T$5&amp;"*",Kalkulation!$C$6:$C$40)*VLOOKUP($A12,Bestellungen!$6:$1048576,MATCH(Kasse!T$5,Bestellungen!$A$5:$X$5,0),0),"")</f>
        <v/>
      </c>
      <c r="U12" s="26" t="str">
        <f t="shared" si="0"/>
        <v/>
      </c>
      <c r="W12" s="26" t="str">
        <f t="shared" si="1"/>
        <v/>
      </c>
      <c r="X12" s="26"/>
      <c r="Y12" s="26"/>
      <c r="Z12" s="26"/>
      <c r="AA12" s="26"/>
    </row>
    <row r="13" spans="1:27" x14ac:dyDescent="0.25">
      <c r="A13" t="str">
        <f>IF(LEN(Bestellungen!$A13)&gt;0,Bestellungen!$A13,"")</f>
        <v/>
      </c>
      <c r="B13" s="26" t="str">
        <f>IF(ISERROR(VLOOKUP($A13,Bestellungen!$6:$1048576,MATCH(Kasse!B$5,Bestellungen!$A$5:$X$5,0),0))=FALSE,SUMIF(Kalkulation!$A$6:$A$40,Kasse!B$5&amp;"*",Kalkulation!$C$6:$C$40)*VLOOKUP($A13,Bestellungen!$6:$1048576,MATCH(Kasse!B$5,Bestellungen!$A$5:$X$5,0),0),"")</f>
        <v/>
      </c>
      <c r="C13" s="26" t="str">
        <f>IF(ISERROR(VLOOKUP($A13,Bestellungen!$6:$1048576,MATCH(Kasse!C$5,Bestellungen!$A$5:$X$5,0),0))=FALSE,SUMIF(Kalkulation!$A$6:$A$40,Kasse!C$5&amp;"*",Kalkulation!$C$6:$C$40)*VLOOKUP($A13,Bestellungen!$6:$1048576,MATCH(Kasse!C$5,Bestellungen!$A$5:$X$5,0),0),"")</f>
        <v/>
      </c>
      <c r="D13" s="26" t="str">
        <f>IF(ISERROR(VLOOKUP($A13,Bestellungen!$6:$1048576,MATCH(Kasse!D$5,Bestellungen!$A$5:$X$5,0),0))=FALSE,SUMIF(Kalkulation!$A$6:$A$40,Kasse!D$5&amp;"*",Kalkulation!$C$6:$C$40)*VLOOKUP($A13,Bestellungen!$6:$1048576,MATCH(Kasse!D$5,Bestellungen!$A$5:$X$5,0),0),"")</f>
        <v/>
      </c>
      <c r="E13" s="26" t="str">
        <f>IF(ISERROR(VLOOKUP($A13,Bestellungen!$6:$1048576,MATCH(Kasse!E$5,Bestellungen!$A$5:$X$5,0),0))=FALSE,SUMIF(Kalkulation!$A$6:$A$40,Kasse!E$5&amp;"*",Kalkulation!$C$6:$C$40)*VLOOKUP($A13,Bestellungen!$6:$1048576,MATCH(Kasse!E$5,Bestellungen!$A$5:$X$5,0),0),"")</f>
        <v/>
      </c>
      <c r="F13" s="26" t="str">
        <f>IF(ISERROR(VLOOKUP($A13,Bestellungen!$6:$1048576,MATCH(Kasse!F$5,Bestellungen!$A$5:$X$5,0),0))=FALSE,SUMIF(Kalkulation!$A$6:$A$40,Kasse!F$5&amp;"*",Kalkulation!$C$6:$C$40)*VLOOKUP($A13,Bestellungen!$6:$1048576,MATCH(Kasse!F$5,Bestellungen!$A$5:$X$5,0),0),"")</f>
        <v/>
      </c>
      <c r="G13" s="26" t="str">
        <f>IF(ISERROR(VLOOKUP($A13,Bestellungen!$6:$1048576,MATCH(Kasse!G$5,Bestellungen!$A$5:$X$5,0),0))=FALSE,SUMIF(Kalkulation!$A$6:$A$40,Kasse!G$5&amp;"*",Kalkulation!$C$6:$C$40)*VLOOKUP($A13,Bestellungen!$6:$1048576,MATCH(Kasse!G$5,Bestellungen!$A$5:$X$5,0),0),"")</f>
        <v/>
      </c>
      <c r="H13" s="26" t="str">
        <f>IF(ISERROR(VLOOKUP($A13,Bestellungen!$6:$1048576,MATCH(Kasse!H$5,Bestellungen!$A$5:$X$5,0),0))=FALSE,SUMIF(Kalkulation!$A$6:$A$40,Kasse!H$5&amp;"*",Kalkulation!$C$6:$C$40)*VLOOKUP($A13,Bestellungen!$6:$1048576,MATCH(Kasse!H$5,Bestellungen!$A$5:$X$5,0),0),"")</f>
        <v/>
      </c>
      <c r="I13" s="26" t="str">
        <f>IF(ISERROR(VLOOKUP($A13,Bestellungen!$6:$1048576,MATCH(Kasse!I$5,Bestellungen!$A$5:$X$5,0),0))=FALSE,SUMIF(Kalkulation!$A$6:$A$40,Kasse!I$5&amp;"*",Kalkulation!$C$6:$C$40)*VLOOKUP($A13,Bestellungen!$6:$1048576,MATCH(Kasse!I$5,Bestellungen!$A$5:$X$5,0),0),"")</f>
        <v/>
      </c>
      <c r="J13" s="26" t="str">
        <f>IF(ISERROR(VLOOKUP($A13,Bestellungen!$6:$1048576,MATCH(Kasse!J$5,Bestellungen!$A$5:$X$5,0),0))=FALSE,SUMIF(Kalkulation!$A$6:$A$40,Kasse!J$5&amp;"*",Kalkulation!$C$6:$C$40)*VLOOKUP($A13,Bestellungen!$6:$1048576,MATCH(Kasse!J$5,Bestellungen!$A$5:$X$5,0),0),"")</f>
        <v/>
      </c>
      <c r="K13" s="26" t="str">
        <f>IF(ISERROR(VLOOKUP($A13,Bestellungen!$6:$1048576,MATCH(Kasse!K$5,Bestellungen!$A$5:$X$5,0),0))=FALSE,SUMIF(Kalkulation!$A$6:$A$40,Kasse!K$5&amp;"*",Kalkulation!$C$6:$C$40)*VLOOKUP($A13,Bestellungen!$6:$1048576,MATCH(Kasse!K$5,Bestellungen!$A$5:$X$5,0),0),"")</f>
        <v/>
      </c>
      <c r="L13" s="26" t="str">
        <f>IF(ISERROR(VLOOKUP($A13,Bestellungen!$6:$1048576,MATCH(Kasse!L$5,Bestellungen!$A$5:$X$5,0),0))=FALSE,SUMIF(Kalkulation!$A$6:$A$40,Kasse!L$5&amp;"*",Kalkulation!$C$6:$C$40)*VLOOKUP($A13,Bestellungen!$6:$1048576,MATCH(Kasse!L$5,Bestellungen!$A$5:$X$5,0),0),"")</f>
        <v/>
      </c>
      <c r="M13" s="26" t="str">
        <f>IF(ISERROR(VLOOKUP($A13,Bestellungen!$6:$1048576,MATCH(Kasse!M$5,Bestellungen!$A$5:$X$5,0),0))=FALSE,SUMIF(Kalkulation!$A$6:$A$40,Kasse!M$5&amp;"*",Kalkulation!$C$6:$C$40)*VLOOKUP($A13,Bestellungen!$6:$1048576,MATCH(Kasse!M$5,Bestellungen!$A$5:$X$5,0),0),"")</f>
        <v/>
      </c>
      <c r="N13" s="26" t="str">
        <f>IF(ISERROR(VLOOKUP($A13,Bestellungen!$6:$1048576,MATCH(Kasse!N$5,Bestellungen!$A$5:$X$5,0),0))=FALSE,SUMIF(Kalkulation!$A$6:$A$40,Kasse!N$5&amp;"*",Kalkulation!$C$6:$C$40)*VLOOKUP($A13,Bestellungen!$6:$1048576,MATCH(Kasse!N$5,Bestellungen!$A$5:$X$5,0),0),"")</f>
        <v/>
      </c>
      <c r="O13" s="26" t="str">
        <f>IF(ISERROR(VLOOKUP($A13,Bestellungen!$6:$1048576,MATCH(Kasse!O$5,Bestellungen!$A$5:$X$5,0),0))=FALSE,SUMIF(Kalkulation!$A$6:$A$40,Kasse!O$5&amp;"*",Kalkulation!$C$6:$C$40)*VLOOKUP($A13,Bestellungen!$6:$1048576,MATCH(Kasse!O$5,Bestellungen!$A$5:$X$5,0),0),"")</f>
        <v/>
      </c>
      <c r="P13" s="26" t="str">
        <f>IF(ISERROR(VLOOKUP($A13,Bestellungen!$6:$1048576,MATCH(Kasse!P$5,Bestellungen!$A$5:$X$5,0),0))=FALSE,SUMIF(Kalkulation!$A$6:$A$40,Kasse!P$5&amp;"*",Kalkulation!$C$6:$C$40)*VLOOKUP($A13,Bestellungen!$6:$1048576,MATCH(Kasse!P$5,Bestellungen!$A$5:$X$5,0),0),"")</f>
        <v/>
      </c>
      <c r="Q13" s="26" t="str">
        <f>IF(ISERROR(VLOOKUP($A13,Bestellungen!$6:$1048576,MATCH(Kasse!Q$5,Bestellungen!$A$5:$X$5,0),0))=FALSE,SUMIF(Kalkulation!$A$6:$A$40,Kasse!Q$5&amp;"*",Kalkulation!$C$6:$C$40)*VLOOKUP($A13,Bestellungen!$6:$1048576,MATCH(Kasse!Q$5,Bestellungen!$A$5:$X$5,0),0),"")</f>
        <v/>
      </c>
      <c r="R13" s="26" t="str">
        <f>IF(ISERROR(VLOOKUP($A13,Bestellungen!$6:$1048576,MATCH(Kasse!R$5,Bestellungen!$A$5:$X$5,0),0))=FALSE,SUMIF(Kalkulation!$A$6:$A$40,Kasse!R$5&amp;"*",Kalkulation!$C$6:$C$40)*VLOOKUP($A13,Bestellungen!$6:$1048576,MATCH(Kasse!R$5,Bestellungen!$A$5:$X$5,0),0),"")</f>
        <v/>
      </c>
      <c r="S13" s="26" t="str">
        <f>IF(ISERROR(VLOOKUP($A13,Bestellungen!$6:$1048576,MATCH(Kasse!S$5,Bestellungen!$A$5:$X$5,0),0))=FALSE,SUMIF(Kalkulation!$A$6:$A$40,Kasse!S$5&amp;"*",Kalkulation!$C$6:$C$40)*VLOOKUP($A13,Bestellungen!$6:$1048576,MATCH(Kasse!S$5,Bestellungen!$A$5:$X$5,0),0),"")</f>
        <v/>
      </c>
      <c r="T13" s="26" t="str">
        <f>IF(ISERROR(VLOOKUP($A13,Bestellungen!$6:$1048576,MATCH(Kasse!T$5,Bestellungen!$A$5:$X$5,0),0))=FALSE,SUMIF(Kalkulation!$A$6:$A$40,Kasse!T$5&amp;"*",Kalkulation!$C$6:$C$40)*VLOOKUP($A13,Bestellungen!$6:$1048576,MATCH(Kasse!T$5,Bestellungen!$A$5:$X$5,0),0),"")</f>
        <v/>
      </c>
      <c r="U13" s="26" t="str">
        <f t="shared" si="0"/>
        <v/>
      </c>
      <c r="W13" s="26" t="str">
        <f t="shared" si="1"/>
        <v/>
      </c>
      <c r="X13" s="26"/>
      <c r="Y13" s="26"/>
      <c r="Z13" s="26"/>
      <c r="AA13" s="26"/>
    </row>
    <row r="14" spans="1:27" x14ac:dyDescent="0.25">
      <c r="A14" t="str">
        <f>IF(LEN(Bestellungen!$A14)&gt;0,Bestellungen!$A14,"")</f>
        <v/>
      </c>
      <c r="B14" s="26" t="str">
        <f>IF(ISERROR(VLOOKUP($A14,Bestellungen!$6:$1048576,MATCH(Kasse!B$5,Bestellungen!$A$5:$X$5,0),0))=FALSE,SUMIF(Kalkulation!$A$6:$A$40,Kasse!B$5&amp;"*",Kalkulation!$C$6:$C$40)*VLOOKUP($A14,Bestellungen!$6:$1048576,MATCH(Kasse!B$5,Bestellungen!$A$5:$X$5,0),0),"")</f>
        <v/>
      </c>
      <c r="C14" s="26" t="str">
        <f>IF(ISERROR(VLOOKUP($A14,Bestellungen!$6:$1048576,MATCH(Kasse!C$5,Bestellungen!$A$5:$X$5,0),0))=FALSE,SUMIF(Kalkulation!$A$6:$A$40,Kasse!C$5&amp;"*",Kalkulation!$C$6:$C$40)*VLOOKUP($A14,Bestellungen!$6:$1048576,MATCH(Kasse!C$5,Bestellungen!$A$5:$X$5,0),0),"")</f>
        <v/>
      </c>
      <c r="D14" s="26" t="str">
        <f>IF(ISERROR(VLOOKUP($A14,Bestellungen!$6:$1048576,MATCH(Kasse!D$5,Bestellungen!$A$5:$X$5,0),0))=FALSE,SUMIF(Kalkulation!$A$6:$A$40,Kasse!D$5&amp;"*",Kalkulation!$C$6:$C$40)*VLOOKUP($A14,Bestellungen!$6:$1048576,MATCH(Kasse!D$5,Bestellungen!$A$5:$X$5,0),0),"")</f>
        <v/>
      </c>
      <c r="E14" s="26" t="str">
        <f>IF(ISERROR(VLOOKUP($A14,Bestellungen!$6:$1048576,MATCH(Kasse!E$5,Bestellungen!$A$5:$X$5,0),0))=FALSE,SUMIF(Kalkulation!$A$6:$A$40,Kasse!E$5&amp;"*",Kalkulation!$C$6:$C$40)*VLOOKUP($A14,Bestellungen!$6:$1048576,MATCH(Kasse!E$5,Bestellungen!$A$5:$X$5,0),0),"")</f>
        <v/>
      </c>
      <c r="F14" s="26" t="str">
        <f>IF(ISERROR(VLOOKUP($A14,Bestellungen!$6:$1048576,MATCH(Kasse!F$5,Bestellungen!$A$5:$X$5,0),0))=FALSE,SUMIF(Kalkulation!$A$6:$A$40,Kasse!F$5&amp;"*",Kalkulation!$C$6:$C$40)*VLOOKUP($A14,Bestellungen!$6:$1048576,MATCH(Kasse!F$5,Bestellungen!$A$5:$X$5,0),0),"")</f>
        <v/>
      </c>
      <c r="G14" s="26" t="str">
        <f>IF(ISERROR(VLOOKUP($A14,Bestellungen!$6:$1048576,MATCH(Kasse!G$5,Bestellungen!$A$5:$X$5,0),0))=FALSE,SUMIF(Kalkulation!$A$6:$A$40,Kasse!G$5&amp;"*",Kalkulation!$C$6:$C$40)*VLOOKUP($A14,Bestellungen!$6:$1048576,MATCH(Kasse!G$5,Bestellungen!$A$5:$X$5,0),0),"")</f>
        <v/>
      </c>
      <c r="H14" s="26" t="str">
        <f>IF(ISERROR(VLOOKUP($A14,Bestellungen!$6:$1048576,MATCH(Kasse!H$5,Bestellungen!$A$5:$X$5,0),0))=FALSE,SUMIF(Kalkulation!$A$6:$A$40,Kasse!H$5&amp;"*",Kalkulation!$C$6:$C$40)*VLOOKUP($A14,Bestellungen!$6:$1048576,MATCH(Kasse!H$5,Bestellungen!$A$5:$X$5,0),0),"")</f>
        <v/>
      </c>
      <c r="I14" s="26" t="str">
        <f>IF(ISERROR(VLOOKUP($A14,Bestellungen!$6:$1048576,MATCH(Kasse!I$5,Bestellungen!$A$5:$X$5,0),0))=FALSE,SUMIF(Kalkulation!$A$6:$A$40,Kasse!I$5&amp;"*",Kalkulation!$C$6:$C$40)*VLOOKUP($A14,Bestellungen!$6:$1048576,MATCH(Kasse!I$5,Bestellungen!$A$5:$X$5,0),0),"")</f>
        <v/>
      </c>
      <c r="J14" s="26" t="str">
        <f>IF(ISERROR(VLOOKUP($A14,Bestellungen!$6:$1048576,MATCH(Kasse!J$5,Bestellungen!$A$5:$X$5,0),0))=FALSE,SUMIF(Kalkulation!$A$6:$A$40,Kasse!J$5&amp;"*",Kalkulation!$C$6:$C$40)*VLOOKUP($A14,Bestellungen!$6:$1048576,MATCH(Kasse!J$5,Bestellungen!$A$5:$X$5,0),0),"")</f>
        <v/>
      </c>
      <c r="K14" s="26" t="str">
        <f>IF(ISERROR(VLOOKUP($A14,Bestellungen!$6:$1048576,MATCH(Kasse!K$5,Bestellungen!$A$5:$X$5,0),0))=FALSE,SUMIF(Kalkulation!$A$6:$A$40,Kasse!K$5&amp;"*",Kalkulation!$C$6:$C$40)*VLOOKUP($A14,Bestellungen!$6:$1048576,MATCH(Kasse!K$5,Bestellungen!$A$5:$X$5,0),0),"")</f>
        <v/>
      </c>
      <c r="L14" s="26" t="str">
        <f>IF(ISERROR(VLOOKUP($A14,Bestellungen!$6:$1048576,MATCH(Kasse!L$5,Bestellungen!$A$5:$X$5,0),0))=FALSE,SUMIF(Kalkulation!$A$6:$A$40,Kasse!L$5&amp;"*",Kalkulation!$C$6:$C$40)*VLOOKUP($A14,Bestellungen!$6:$1048576,MATCH(Kasse!L$5,Bestellungen!$A$5:$X$5,0),0),"")</f>
        <v/>
      </c>
      <c r="M14" s="26" t="str">
        <f>IF(ISERROR(VLOOKUP($A14,Bestellungen!$6:$1048576,MATCH(Kasse!M$5,Bestellungen!$A$5:$X$5,0),0))=FALSE,SUMIF(Kalkulation!$A$6:$A$40,Kasse!M$5&amp;"*",Kalkulation!$C$6:$C$40)*VLOOKUP($A14,Bestellungen!$6:$1048576,MATCH(Kasse!M$5,Bestellungen!$A$5:$X$5,0),0),"")</f>
        <v/>
      </c>
      <c r="N14" s="26" t="str">
        <f>IF(ISERROR(VLOOKUP($A14,Bestellungen!$6:$1048576,MATCH(Kasse!N$5,Bestellungen!$A$5:$X$5,0),0))=FALSE,SUMIF(Kalkulation!$A$6:$A$40,Kasse!N$5&amp;"*",Kalkulation!$C$6:$C$40)*VLOOKUP($A14,Bestellungen!$6:$1048576,MATCH(Kasse!N$5,Bestellungen!$A$5:$X$5,0),0),"")</f>
        <v/>
      </c>
      <c r="O14" s="26" t="str">
        <f>IF(ISERROR(VLOOKUP($A14,Bestellungen!$6:$1048576,MATCH(Kasse!O$5,Bestellungen!$A$5:$X$5,0),0))=FALSE,SUMIF(Kalkulation!$A$6:$A$40,Kasse!O$5&amp;"*",Kalkulation!$C$6:$C$40)*VLOOKUP($A14,Bestellungen!$6:$1048576,MATCH(Kasse!O$5,Bestellungen!$A$5:$X$5,0),0),"")</f>
        <v/>
      </c>
      <c r="P14" s="26" t="str">
        <f>IF(ISERROR(VLOOKUP($A14,Bestellungen!$6:$1048576,MATCH(Kasse!P$5,Bestellungen!$A$5:$X$5,0),0))=FALSE,SUMIF(Kalkulation!$A$6:$A$40,Kasse!P$5&amp;"*",Kalkulation!$C$6:$C$40)*VLOOKUP($A14,Bestellungen!$6:$1048576,MATCH(Kasse!P$5,Bestellungen!$A$5:$X$5,0),0),"")</f>
        <v/>
      </c>
      <c r="Q14" s="26" t="str">
        <f>IF(ISERROR(VLOOKUP($A14,Bestellungen!$6:$1048576,MATCH(Kasse!Q$5,Bestellungen!$A$5:$X$5,0),0))=FALSE,SUMIF(Kalkulation!$A$6:$A$40,Kasse!Q$5&amp;"*",Kalkulation!$C$6:$C$40)*VLOOKUP($A14,Bestellungen!$6:$1048576,MATCH(Kasse!Q$5,Bestellungen!$A$5:$X$5,0),0),"")</f>
        <v/>
      </c>
      <c r="R14" s="26" t="str">
        <f>IF(ISERROR(VLOOKUP($A14,Bestellungen!$6:$1048576,MATCH(Kasse!R$5,Bestellungen!$A$5:$X$5,0),0))=FALSE,SUMIF(Kalkulation!$A$6:$A$40,Kasse!R$5&amp;"*",Kalkulation!$C$6:$C$40)*VLOOKUP($A14,Bestellungen!$6:$1048576,MATCH(Kasse!R$5,Bestellungen!$A$5:$X$5,0),0),"")</f>
        <v/>
      </c>
      <c r="S14" s="26" t="str">
        <f>IF(ISERROR(VLOOKUP($A14,Bestellungen!$6:$1048576,MATCH(Kasse!S$5,Bestellungen!$A$5:$X$5,0),0))=FALSE,SUMIF(Kalkulation!$A$6:$A$40,Kasse!S$5&amp;"*",Kalkulation!$C$6:$C$40)*VLOOKUP($A14,Bestellungen!$6:$1048576,MATCH(Kasse!S$5,Bestellungen!$A$5:$X$5,0),0),"")</f>
        <v/>
      </c>
      <c r="T14" s="26" t="str">
        <f>IF(ISERROR(VLOOKUP($A14,Bestellungen!$6:$1048576,MATCH(Kasse!T$5,Bestellungen!$A$5:$X$5,0),0))=FALSE,SUMIF(Kalkulation!$A$6:$A$40,Kasse!T$5&amp;"*",Kalkulation!$C$6:$C$40)*VLOOKUP($A14,Bestellungen!$6:$1048576,MATCH(Kasse!T$5,Bestellungen!$A$5:$X$5,0),0),"")</f>
        <v/>
      </c>
      <c r="U14" s="26" t="str">
        <f t="shared" si="0"/>
        <v/>
      </c>
      <c r="W14" s="26" t="str">
        <f t="shared" si="1"/>
        <v/>
      </c>
      <c r="X14" s="26"/>
      <c r="Y14" s="26"/>
      <c r="Z14" s="26"/>
      <c r="AA14" s="26"/>
    </row>
    <row r="15" spans="1:27" x14ac:dyDescent="0.25">
      <c r="A15" t="str">
        <f>IF(LEN(Bestellungen!$A15)&gt;0,Bestellungen!$A15,"")</f>
        <v/>
      </c>
      <c r="B15" s="26" t="str">
        <f>IF(ISERROR(VLOOKUP($A15,Bestellungen!$6:$1048576,MATCH(Kasse!B$5,Bestellungen!$A$5:$X$5,0),0))=FALSE,SUMIF(Kalkulation!$A$6:$A$40,Kasse!B$5&amp;"*",Kalkulation!$C$6:$C$40)*VLOOKUP($A15,Bestellungen!$6:$1048576,MATCH(Kasse!B$5,Bestellungen!$A$5:$X$5,0),0),"")</f>
        <v/>
      </c>
      <c r="C15" s="26" t="str">
        <f>IF(ISERROR(VLOOKUP($A15,Bestellungen!$6:$1048576,MATCH(Kasse!C$5,Bestellungen!$A$5:$X$5,0),0))=FALSE,SUMIF(Kalkulation!$A$6:$A$40,Kasse!C$5&amp;"*",Kalkulation!$C$6:$C$40)*VLOOKUP($A15,Bestellungen!$6:$1048576,MATCH(Kasse!C$5,Bestellungen!$A$5:$X$5,0),0),"")</f>
        <v/>
      </c>
      <c r="D15" s="26" t="str">
        <f>IF(ISERROR(VLOOKUP($A15,Bestellungen!$6:$1048576,MATCH(Kasse!D$5,Bestellungen!$A$5:$X$5,0),0))=FALSE,SUMIF(Kalkulation!$A$6:$A$40,Kasse!D$5&amp;"*",Kalkulation!$C$6:$C$40)*VLOOKUP($A15,Bestellungen!$6:$1048576,MATCH(Kasse!D$5,Bestellungen!$A$5:$X$5,0),0),"")</f>
        <v/>
      </c>
      <c r="E15" s="26" t="str">
        <f>IF(ISERROR(VLOOKUP($A15,Bestellungen!$6:$1048576,MATCH(Kasse!E$5,Bestellungen!$A$5:$X$5,0),0))=FALSE,SUMIF(Kalkulation!$A$6:$A$40,Kasse!E$5&amp;"*",Kalkulation!$C$6:$C$40)*VLOOKUP($A15,Bestellungen!$6:$1048576,MATCH(Kasse!E$5,Bestellungen!$A$5:$X$5,0),0),"")</f>
        <v/>
      </c>
      <c r="F15" s="26" t="str">
        <f>IF(ISERROR(VLOOKUP($A15,Bestellungen!$6:$1048576,MATCH(Kasse!F$5,Bestellungen!$A$5:$X$5,0),0))=FALSE,SUMIF(Kalkulation!$A$6:$A$40,Kasse!F$5&amp;"*",Kalkulation!$C$6:$C$40)*VLOOKUP($A15,Bestellungen!$6:$1048576,MATCH(Kasse!F$5,Bestellungen!$A$5:$X$5,0),0),"")</f>
        <v/>
      </c>
      <c r="G15" s="26" t="str">
        <f>IF(ISERROR(VLOOKUP($A15,Bestellungen!$6:$1048576,MATCH(Kasse!G$5,Bestellungen!$A$5:$X$5,0),0))=FALSE,SUMIF(Kalkulation!$A$6:$A$40,Kasse!G$5&amp;"*",Kalkulation!$C$6:$C$40)*VLOOKUP($A15,Bestellungen!$6:$1048576,MATCH(Kasse!G$5,Bestellungen!$A$5:$X$5,0),0),"")</f>
        <v/>
      </c>
      <c r="H15" s="26" t="str">
        <f>IF(ISERROR(VLOOKUP($A15,Bestellungen!$6:$1048576,MATCH(Kasse!H$5,Bestellungen!$A$5:$X$5,0),0))=FALSE,SUMIF(Kalkulation!$A$6:$A$40,Kasse!H$5&amp;"*",Kalkulation!$C$6:$C$40)*VLOOKUP($A15,Bestellungen!$6:$1048576,MATCH(Kasse!H$5,Bestellungen!$A$5:$X$5,0),0),"")</f>
        <v/>
      </c>
      <c r="I15" s="26" t="str">
        <f>IF(ISERROR(VLOOKUP($A15,Bestellungen!$6:$1048576,MATCH(Kasse!I$5,Bestellungen!$A$5:$X$5,0),0))=FALSE,SUMIF(Kalkulation!$A$6:$A$40,Kasse!I$5&amp;"*",Kalkulation!$C$6:$C$40)*VLOOKUP($A15,Bestellungen!$6:$1048576,MATCH(Kasse!I$5,Bestellungen!$A$5:$X$5,0),0),"")</f>
        <v/>
      </c>
      <c r="J15" s="26" t="str">
        <f>IF(ISERROR(VLOOKUP($A15,Bestellungen!$6:$1048576,MATCH(Kasse!J$5,Bestellungen!$A$5:$X$5,0),0))=FALSE,SUMIF(Kalkulation!$A$6:$A$40,Kasse!J$5&amp;"*",Kalkulation!$C$6:$C$40)*VLOOKUP($A15,Bestellungen!$6:$1048576,MATCH(Kasse!J$5,Bestellungen!$A$5:$X$5,0),0),"")</f>
        <v/>
      </c>
      <c r="K15" s="26" t="str">
        <f>IF(ISERROR(VLOOKUP($A15,Bestellungen!$6:$1048576,MATCH(Kasse!K$5,Bestellungen!$A$5:$X$5,0),0))=FALSE,SUMIF(Kalkulation!$A$6:$A$40,Kasse!K$5&amp;"*",Kalkulation!$C$6:$C$40)*VLOOKUP($A15,Bestellungen!$6:$1048576,MATCH(Kasse!K$5,Bestellungen!$A$5:$X$5,0),0),"")</f>
        <v/>
      </c>
      <c r="L15" s="26" t="str">
        <f>IF(ISERROR(VLOOKUP($A15,Bestellungen!$6:$1048576,MATCH(Kasse!L$5,Bestellungen!$A$5:$X$5,0),0))=FALSE,SUMIF(Kalkulation!$A$6:$A$40,Kasse!L$5&amp;"*",Kalkulation!$C$6:$C$40)*VLOOKUP($A15,Bestellungen!$6:$1048576,MATCH(Kasse!L$5,Bestellungen!$A$5:$X$5,0),0),"")</f>
        <v/>
      </c>
      <c r="M15" s="26" t="str">
        <f>IF(ISERROR(VLOOKUP($A15,Bestellungen!$6:$1048576,MATCH(Kasse!M$5,Bestellungen!$A$5:$X$5,0),0))=FALSE,SUMIF(Kalkulation!$A$6:$A$40,Kasse!M$5&amp;"*",Kalkulation!$C$6:$C$40)*VLOOKUP($A15,Bestellungen!$6:$1048576,MATCH(Kasse!M$5,Bestellungen!$A$5:$X$5,0),0),"")</f>
        <v/>
      </c>
      <c r="N15" s="26" t="str">
        <f>IF(ISERROR(VLOOKUP($A15,Bestellungen!$6:$1048576,MATCH(Kasse!N$5,Bestellungen!$A$5:$X$5,0),0))=FALSE,SUMIF(Kalkulation!$A$6:$A$40,Kasse!N$5&amp;"*",Kalkulation!$C$6:$C$40)*VLOOKUP($A15,Bestellungen!$6:$1048576,MATCH(Kasse!N$5,Bestellungen!$A$5:$X$5,0),0),"")</f>
        <v/>
      </c>
      <c r="O15" s="26" t="str">
        <f>IF(ISERROR(VLOOKUP($A15,Bestellungen!$6:$1048576,MATCH(Kasse!O$5,Bestellungen!$A$5:$X$5,0),0))=FALSE,SUMIF(Kalkulation!$A$6:$A$40,Kasse!O$5&amp;"*",Kalkulation!$C$6:$C$40)*VLOOKUP($A15,Bestellungen!$6:$1048576,MATCH(Kasse!O$5,Bestellungen!$A$5:$X$5,0),0),"")</f>
        <v/>
      </c>
      <c r="P15" s="26" t="str">
        <f>IF(ISERROR(VLOOKUP($A15,Bestellungen!$6:$1048576,MATCH(Kasse!P$5,Bestellungen!$A$5:$X$5,0),0))=FALSE,SUMIF(Kalkulation!$A$6:$A$40,Kasse!P$5&amp;"*",Kalkulation!$C$6:$C$40)*VLOOKUP($A15,Bestellungen!$6:$1048576,MATCH(Kasse!P$5,Bestellungen!$A$5:$X$5,0),0),"")</f>
        <v/>
      </c>
      <c r="Q15" s="26" t="str">
        <f>IF(ISERROR(VLOOKUP($A15,Bestellungen!$6:$1048576,MATCH(Kasse!Q$5,Bestellungen!$A$5:$X$5,0),0))=FALSE,SUMIF(Kalkulation!$A$6:$A$40,Kasse!Q$5&amp;"*",Kalkulation!$C$6:$C$40)*VLOOKUP($A15,Bestellungen!$6:$1048576,MATCH(Kasse!Q$5,Bestellungen!$A$5:$X$5,0),0),"")</f>
        <v/>
      </c>
      <c r="R15" s="26" t="str">
        <f>IF(ISERROR(VLOOKUP($A15,Bestellungen!$6:$1048576,MATCH(Kasse!R$5,Bestellungen!$A$5:$X$5,0),0))=FALSE,SUMIF(Kalkulation!$A$6:$A$40,Kasse!R$5&amp;"*",Kalkulation!$C$6:$C$40)*VLOOKUP($A15,Bestellungen!$6:$1048576,MATCH(Kasse!R$5,Bestellungen!$A$5:$X$5,0),0),"")</f>
        <v/>
      </c>
      <c r="S15" s="26" t="str">
        <f>IF(ISERROR(VLOOKUP($A15,Bestellungen!$6:$1048576,MATCH(Kasse!S$5,Bestellungen!$A$5:$X$5,0),0))=FALSE,SUMIF(Kalkulation!$A$6:$A$40,Kasse!S$5&amp;"*",Kalkulation!$C$6:$C$40)*VLOOKUP($A15,Bestellungen!$6:$1048576,MATCH(Kasse!S$5,Bestellungen!$A$5:$X$5,0),0),"")</f>
        <v/>
      </c>
      <c r="T15" s="26" t="str">
        <f>IF(ISERROR(VLOOKUP($A15,Bestellungen!$6:$1048576,MATCH(Kasse!T$5,Bestellungen!$A$5:$X$5,0),0))=FALSE,SUMIF(Kalkulation!$A$6:$A$40,Kasse!T$5&amp;"*",Kalkulation!$C$6:$C$40)*VLOOKUP($A15,Bestellungen!$6:$1048576,MATCH(Kasse!T$5,Bestellungen!$A$5:$X$5,0),0),"")</f>
        <v/>
      </c>
      <c r="U15" s="26" t="str">
        <f t="shared" si="0"/>
        <v/>
      </c>
      <c r="W15" s="26" t="str">
        <f t="shared" si="1"/>
        <v/>
      </c>
      <c r="X15" s="26"/>
      <c r="Y15" s="26"/>
      <c r="Z15" s="26"/>
      <c r="AA15" s="26"/>
    </row>
    <row r="16" spans="1:27" x14ac:dyDescent="0.25">
      <c r="A16" t="str">
        <f>IF(LEN(Bestellungen!$A16)&gt;0,Bestellungen!$A16,"")</f>
        <v/>
      </c>
      <c r="B16" s="26" t="str">
        <f>IF(ISERROR(VLOOKUP($A16,Bestellungen!$6:$1048576,MATCH(Kasse!B$5,Bestellungen!$A$5:$X$5,0),0))=FALSE,SUMIF(Kalkulation!$A$6:$A$40,Kasse!B$5&amp;"*",Kalkulation!$C$6:$C$40)*VLOOKUP($A16,Bestellungen!$6:$1048576,MATCH(Kasse!B$5,Bestellungen!$A$5:$X$5,0),0),"")</f>
        <v/>
      </c>
      <c r="C16" s="26" t="str">
        <f>IF(ISERROR(VLOOKUP($A16,Bestellungen!$6:$1048576,MATCH(Kasse!C$5,Bestellungen!$A$5:$X$5,0),0))=FALSE,SUMIF(Kalkulation!$A$6:$A$40,Kasse!C$5&amp;"*",Kalkulation!$C$6:$C$40)*VLOOKUP($A16,Bestellungen!$6:$1048576,MATCH(Kasse!C$5,Bestellungen!$A$5:$X$5,0),0),"")</f>
        <v/>
      </c>
      <c r="D16" s="26" t="str">
        <f>IF(ISERROR(VLOOKUP($A16,Bestellungen!$6:$1048576,MATCH(Kasse!D$5,Bestellungen!$A$5:$X$5,0),0))=FALSE,SUMIF(Kalkulation!$A$6:$A$40,Kasse!D$5&amp;"*",Kalkulation!$C$6:$C$40)*VLOOKUP($A16,Bestellungen!$6:$1048576,MATCH(Kasse!D$5,Bestellungen!$A$5:$X$5,0),0),"")</f>
        <v/>
      </c>
      <c r="E16" s="26" t="str">
        <f>IF(ISERROR(VLOOKUP($A16,Bestellungen!$6:$1048576,MATCH(Kasse!E$5,Bestellungen!$A$5:$X$5,0),0))=FALSE,SUMIF(Kalkulation!$A$6:$A$40,Kasse!E$5&amp;"*",Kalkulation!$C$6:$C$40)*VLOOKUP($A16,Bestellungen!$6:$1048576,MATCH(Kasse!E$5,Bestellungen!$A$5:$X$5,0),0),"")</f>
        <v/>
      </c>
      <c r="F16" s="26" t="str">
        <f>IF(ISERROR(VLOOKUP($A16,Bestellungen!$6:$1048576,MATCH(Kasse!F$5,Bestellungen!$A$5:$X$5,0),0))=FALSE,SUMIF(Kalkulation!$A$6:$A$40,Kasse!F$5&amp;"*",Kalkulation!$C$6:$C$40)*VLOOKUP($A16,Bestellungen!$6:$1048576,MATCH(Kasse!F$5,Bestellungen!$A$5:$X$5,0),0),"")</f>
        <v/>
      </c>
      <c r="G16" s="26" t="str">
        <f>IF(ISERROR(VLOOKUP($A16,Bestellungen!$6:$1048576,MATCH(Kasse!G$5,Bestellungen!$A$5:$X$5,0),0))=FALSE,SUMIF(Kalkulation!$A$6:$A$40,Kasse!G$5&amp;"*",Kalkulation!$C$6:$C$40)*VLOOKUP($A16,Bestellungen!$6:$1048576,MATCH(Kasse!G$5,Bestellungen!$A$5:$X$5,0),0),"")</f>
        <v/>
      </c>
      <c r="H16" s="26" t="str">
        <f>IF(ISERROR(VLOOKUP($A16,Bestellungen!$6:$1048576,MATCH(Kasse!H$5,Bestellungen!$A$5:$X$5,0),0))=FALSE,SUMIF(Kalkulation!$A$6:$A$40,Kasse!H$5&amp;"*",Kalkulation!$C$6:$C$40)*VLOOKUP($A16,Bestellungen!$6:$1048576,MATCH(Kasse!H$5,Bestellungen!$A$5:$X$5,0),0),"")</f>
        <v/>
      </c>
      <c r="I16" s="26" t="str">
        <f>IF(ISERROR(VLOOKUP($A16,Bestellungen!$6:$1048576,MATCH(Kasse!I$5,Bestellungen!$A$5:$X$5,0),0))=FALSE,SUMIF(Kalkulation!$A$6:$A$40,Kasse!I$5&amp;"*",Kalkulation!$C$6:$C$40)*VLOOKUP($A16,Bestellungen!$6:$1048576,MATCH(Kasse!I$5,Bestellungen!$A$5:$X$5,0),0),"")</f>
        <v/>
      </c>
      <c r="J16" s="26" t="str">
        <f>IF(ISERROR(VLOOKUP($A16,Bestellungen!$6:$1048576,MATCH(Kasse!J$5,Bestellungen!$A$5:$X$5,0),0))=FALSE,SUMIF(Kalkulation!$A$6:$A$40,Kasse!J$5&amp;"*",Kalkulation!$C$6:$C$40)*VLOOKUP($A16,Bestellungen!$6:$1048576,MATCH(Kasse!J$5,Bestellungen!$A$5:$X$5,0),0),"")</f>
        <v/>
      </c>
      <c r="K16" s="26" t="str">
        <f>IF(ISERROR(VLOOKUP($A16,Bestellungen!$6:$1048576,MATCH(Kasse!K$5,Bestellungen!$A$5:$X$5,0),0))=FALSE,SUMIF(Kalkulation!$A$6:$A$40,Kasse!K$5&amp;"*",Kalkulation!$C$6:$C$40)*VLOOKUP($A16,Bestellungen!$6:$1048576,MATCH(Kasse!K$5,Bestellungen!$A$5:$X$5,0),0),"")</f>
        <v/>
      </c>
      <c r="L16" s="26" t="str">
        <f>IF(ISERROR(VLOOKUP($A16,Bestellungen!$6:$1048576,MATCH(Kasse!L$5,Bestellungen!$A$5:$X$5,0),0))=FALSE,SUMIF(Kalkulation!$A$6:$A$40,Kasse!L$5&amp;"*",Kalkulation!$C$6:$C$40)*VLOOKUP($A16,Bestellungen!$6:$1048576,MATCH(Kasse!L$5,Bestellungen!$A$5:$X$5,0),0),"")</f>
        <v/>
      </c>
      <c r="M16" s="26" t="str">
        <f>IF(ISERROR(VLOOKUP($A16,Bestellungen!$6:$1048576,MATCH(Kasse!M$5,Bestellungen!$A$5:$X$5,0),0))=FALSE,SUMIF(Kalkulation!$A$6:$A$40,Kasse!M$5&amp;"*",Kalkulation!$C$6:$C$40)*VLOOKUP($A16,Bestellungen!$6:$1048576,MATCH(Kasse!M$5,Bestellungen!$A$5:$X$5,0),0),"")</f>
        <v/>
      </c>
      <c r="N16" s="26" t="str">
        <f>IF(ISERROR(VLOOKUP($A16,Bestellungen!$6:$1048576,MATCH(Kasse!N$5,Bestellungen!$A$5:$X$5,0),0))=FALSE,SUMIF(Kalkulation!$A$6:$A$40,Kasse!N$5&amp;"*",Kalkulation!$C$6:$C$40)*VLOOKUP($A16,Bestellungen!$6:$1048576,MATCH(Kasse!N$5,Bestellungen!$A$5:$X$5,0),0),"")</f>
        <v/>
      </c>
      <c r="O16" s="26" t="str">
        <f>IF(ISERROR(VLOOKUP($A16,Bestellungen!$6:$1048576,MATCH(Kasse!O$5,Bestellungen!$A$5:$X$5,0),0))=FALSE,SUMIF(Kalkulation!$A$6:$A$40,Kasse!O$5&amp;"*",Kalkulation!$C$6:$C$40)*VLOOKUP($A16,Bestellungen!$6:$1048576,MATCH(Kasse!O$5,Bestellungen!$A$5:$X$5,0),0),"")</f>
        <v/>
      </c>
      <c r="P16" s="26" t="str">
        <f>IF(ISERROR(VLOOKUP($A16,Bestellungen!$6:$1048576,MATCH(Kasse!P$5,Bestellungen!$A$5:$X$5,0),0))=FALSE,SUMIF(Kalkulation!$A$6:$A$40,Kasse!P$5&amp;"*",Kalkulation!$C$6:$C$40)*VLOOKUP($A16,Bestellungen!$6:$1048576,MATCH(Kasse!P$5,Bestellungen!$A$5:$X$5,0),0),"")</f>
        <v/>
      </c>
      <c r="Q16" s="26" t="str">
        <f>IF(ISERROR(VLOOKUP($A16,Bestellungen!$6:$1048576,MATCH(Kasse!Q$5,Bestellungen!$A$5:$X$5,0),0))=FALSE,SUMIF(Kalkulation!$A$6:$A$40,Kasse!Q$5&amp;"*",Kalkulation!$C$6:$C$40)*VLOOKUP($A16,Bestellungen!$6:$1048576,MATCH(Kasse!Q$5,Bestellungen!$A$5:$X$5,0),0),"")</f>
        <v/>
      </c>
      <c r="R16" s="26" t="str">
        <f>IF(ISERROR(VLOOKUP($A16,Bestellungen!$6:$1048576,MATCH(Kasse!R$5,Bestellungen!$A$5:$X$5,0),0))=FALSE,SUMIF(Kalkulation!$A$6:$A$40,Kasse!R$5&amp;"*",Kalkulation!$C$6:$C$40)*VLOOKUP($A16,Bestellungen!$6:$1048576,MATCH(Kasse!R$5,Bestellungen!$A$5:$X$5,0),0),"")</f>
        <v/>
      </c>
      <c r="S16" s="26" t="str">
        <f>IF(ISERROR(VLOOKUP($A16,Bestellungen!$6:$1048576,MATCH(Kasse!S$5,Bestellungen!$A$5:$X$5,0),0))=FALSE,SUMIF(Kalkulation!$A$6:$A$40,Kasse!S$5&amp;"*",Kalkulation!$C$6:$C$40)*VLOOKUP($A16,Bestellungen!$6:$1048576,MATCH(Kasse!S$5,Bestellungen!$A$5:$X$5,0),0),"")</f>
        <v/>
      </c>
      <c r="T16" s="26" t="str">
        <f>IF(ISERROR(VLOOKUP($A16,Bestellungen!$6:$1048576,MATCH(Kasse!T$5,Bestellungen!$A$5:$X$5,0),0))=FALSE,SUMIF(Kalkulation!$A$6:$A$40,Kasse!T$5&amp;"*",Kalkulation!$C$6:$C$40)*VLOOKUP($A16,Bestellungen!$6:$1048576,MATCH(Kasse!T$5,Bestellungen!$A$5:$X$5,0),0),"")</f>
        <v/>
      </c>
      <c r="U16" s="26" t="str">
        <f t="shared" si="0"/>
        <v/>
      </c>
      <c r="W16" s="26" t="str">
        <f t="shared" si="1"/>
        <v/>
      </c>
      <c r="X16" s="26"/>
      <c r="Y16" s="26"/>
      <c r="Z16" s="26"/>
      <c r="AA16" s="26"/>
    </row>
    <row r="17" spans="1:27" x14ac:dyDescent="0.25">
      <c r="A17" t="str">
        <f>IF(LEN(Bestellungen!$A17)&gt;0,Bestellungen!$A17,"")</f>
        <v/>
      </c>
      <c r="B17" s="26" t="str">
        <f>IF(ISERROR(VLOOKUP($A17,Bestellungen!$6:$1048576,MATCH(Kasse!B$5,Bestellungen!$A$5:$X$5,0),0))=FALSE,SUMIF(Kalkulation!$A$6:$A$40,Kasse!B$5&amp;"*",Kalkulation!$C$6:$C$40)*VLOOKUP($A17,Bestellungen!$6:$1048576,MATCH(Kasse!B$5,Bestellungen!$A$5:$X$5,0),0),"")</f>
        <v/>
      </c>
      <c r="C17" s="26" t="str">
        <f>IF(ISERROR(VLOOKUP($A17,Bestellungen!$6:$1048576,MATCH(Kasse!C$5,Bestellungen!$A$5:$X$5,0),0))=FALSE,SUMIF(Kalkulation!$A$6:$A$40,Kasse!C$5&amp;"*",Kalkulation!$C$6:$C$40)*VLOOKUP($A17,Bestellungen!$6:$1048576,MATCH(Kasse!C$5,Bestellungen!$A$5:$X$5,0),0),"")</f>
        <v/>
      </c>
      <c r="D17" s="26" t="str">
        <f>IF(ISERROR(VLOOKUP($A17,Bestellungen!$6:$1048576,MATCH(Kasse!D$5,Bestellungen!$A$5:$X$5,0),0))=FALSE,SUMIF(Kalkulation!$A$6:$A$40,Kasse!D$5&amp;"*",Kalkulation!$C$6:$C$40)*VLOOKUP($A17,Bestellungen!$6:$1048576,MATCH(Kasse!D$5,Bestellungen!$A$5:$X$5,0),0),"")</f>
        <v/>
      </c>
      <c r="E17" s="26" t="str">
        <f>IF(ISERROR(VLOOKUP($A17,Bestellungen!$6:$1048576,MATCH(Kasse!E$5,Bestellungen!$A$5:$X$5,0),0))=FALSE,SUMIF(Kalkulation!$A$6:$A$40,Kasse!E$5&amp;"*",Kalkulation!$C$6:$C$40)*VLOOKUP($A17,Bestellungen!$6:$1048576,MATCH(Kasse!E$5,Bestellungen!$A$5:$X$5,0),0),"")</f>
        <v/>
      </c>
      <c r="F17" s="26" t="str">
        <f>IF(ISERROR(VLOOKUP($A17,Bestellungen!$6:$1048576,MATCH(Kasse!F$5,Bestellungen!$A$5:$X$5,0),0))=FALSE,SUMIF(Kalkulation!$A$6:$A$40,Kasse!F$5&amp;"*",Kalkulation!$C$6:$C$40)*VLOOKUP($A17,Bestellungen!$6:$1048576,MATCH(Kasse!F$5,Bestellungen!$A$5:$X$5,0),0),"")</f>
        <v/>
      </c>
      <c r="G17" s="26" t="str">
        <f>IF(ISERROR(VLOOKUP($A17,Bestellungen!$6:$1048576,MATCH(Kasse!G$5,Bestellungen!$A$5:$X$5,0),0))=FALSE,SUMIF(Kalkulation!$A$6:$A$40,Kasse!G$5&amp;"*",Kalkulation!$C$6:$C$40)*VLOOKUP($A17,Bestellungen!$6:$1048576,MATCH(Kasse!G$5,Bestellungen!$A$5:$X$5,0),0),"")</f>
        <v/>
      </c>
      <c r="H17" s="26" t="str">
        <f>IF(ISERROR(VLOOKUP($A17,Bestellungen!$6:$1048576,MATCH(Kasse!H$5,Bestellungen!$A$5:$X$5,0),0))=FALSE,SUMIF(Kalkulation!$A$6:$A$40,Kasse!H$5&amp;"*",Kalkulation!$C$6:$C$40)*VLOOKUP($A17,Bestellungen!$6:$1048576,MATCH(Kasse!H$5,Bestellungen!$A$5:$X$5,0),0),"")</f>
        <v/>
      </c>
      <c r="I17" s="26" t="str">
        <f>IF(ISERROR(VLOOKUP($A17,Bestellungen!$6:$1048576,MATCH(Kasse!I$5,Bestellungen!$A$5:$X$5,0),0))=FALSE,SUMIF(Kalkulation!$A$6:$A$40,Kasse!I$5&amp;"*",Kalkulation!$C$6:$C$40)*VLOOKUP($A17,Bestellungen!$6:$1048576,MATCH(Kasse!I$5,Bestellungen!$A$5:$X$5,0),0),"")</f>
        <v/>
      </c>
      <c r="J17" s="26" t="str">
        <f>IF(ISERROR(VLOOKUP($A17,Bestellungen!$6:$1048576,MATCH(Kasse!J$5,Bestellungen!$A$5:$X$5,0),0))=FALSE,SUMIF(Kalkulation!$A$6:$A$40,Kasse!J$5&amp;"*",Kalkulation!$C$6:$C$40)*VLOOKUP($A17,Bestellungen!$6:$1048576,MATCH(Kasse!J$5,Bestellungen!$A$5:$X$5,0),0),"")</f>
        <v/>
      </c>
      <c r="K17" s="26" t="str">
        <f>IF(ISERROR(VLOOKUP($A17,Bestellungen!$6:$1048576,MATCH(Kasse!K$5,Bestellungen!$A$5:$X$5,0),0))=FALSE,SUMIF(Kalkulation!$A$6:$A$40,Kasse!K$5&amp;"*",Kalkulation!$C$6:$C$40)*VLOOKUP($A17,Bestellungen!$6:$1048576,MATCH(Kasse!K$5,Bestellungen!$A$5:$X$5,0),0),"")</f>
        <v/>
      </c>
      <c r="L17" s="26" t="str">
        <f>IF(ISERROR(VLOOKUP($A17,Bestellungen!$6:$1048576,MATCH(Kasse!L$5,Bestellungen!$A$5:$X$5,0),0))=FALSE,SUMIF(Kalkulation!$A$6:$A$40,Kasse!L$5&amp;"*",Kalkulation!$C$6:$C$40)*VLOOKUP($A17,Bestellungen!$6:$1048576,MATCH(Kasse!L$5,Bestellungen!$A$5:$X$5,0),0),"")</f>
        <v/>
      </c>
      <c r="M17" s="26" t="str">
        <f>IF(ISERROR(VLOOKUP($A17,Bestellungen!$6:$1048576,MATCH(Kasse!M$5,Bestellungen!$A$5:$X$5,0),0))=FALSE,SUMIF(Kalkulation!$A$6:$A$40,Kasse!M$5&amp;"*",Kalkulation!$C$6:$C$40)*VLOOKUP($A17,Bestellungen!$6:$1048576,MATCH(Kasse!M$5,Bestellungen!$A$5:$X$5,0),0),"")</f>
        <v/>
      </c>
      <c r="N17" s="26" t="str">
        <f>IF(ISERROR(VLOOKUP($A17,Bestellungen!$6:$1048576,MATCH(Kasse!N$5,Bestellungen!$A$5:$X$5,0),0))=FALSE,SUMIF(Kalkulation!$A$6:$A$40,Kasse!N$5&amp;"*",Kalkulation!$C$6:$C$40)*VLOOKUP($A17,Bestellungen!$6:$1048576,MATCH(Kasse!N$5,Bestellungen!$A$5:$X$5,0),0),"")</f>
        <v/>
      </c>
      <c r="O17" s="26" t="str">
        <f>IF(ISERROR(VLOOKUP($A17,Bestellungen!$6:$1048576,MATCH(Kasse!O$5,Bestellungen!$A$5:$X$5,0),0))=FALSE,SUMIF(Kalkulation!$A$6:$A$40,Kasse!O$5&amp;"*",Kalkulation!$C$6:$C$40)*VLOOKUP($A17,Bestellungen!$6:$1048576,MATCH(Kasse!O$5,Bestellungen!$A$5:$X$5,0),0),"")</f>
        <v/>
      </c>
      <c r="P17" s="26" t="str">
        <f>IF(ISERROR(VLOOKUP($A17,Bestellungen!$6:$1048576,MATCH(Kasse!P$5,Bestellungen!$A$5:$X$5,0),0))=FALSE,SUMIF(Kalkulation!$A$6:$A$40,Kasse!P$5&amp;"*",Kalkulation!$C$6:$C$40)*VLOOKUP($A17,Bestellungen!$6:$1048576,MATCH(Kasse!P$5,Bestellungen!$A$5:$X$5,0),0),"")</f>
        <v/>
      </c>
      <c r="Q17" s="26" t="str">
        <f>IF(ISERROR(VLOOKUP($A17,Bestellungen!$6:$1048576,MATCH(Kasse!Q$5,Bestellungen!$A$5:$X$5,0),0))=FALSE,SUMIF(Kalkulation!$A$6:$A$40,Kasse!Q$5&amp;"*",Kalkulation!$C$6:$C$40)*VLOOKUP($A17,Bestellungen!$6:$1048576,MATCH(Kasse!Q$5,Bestellungen!$A$5:$X$5,0),0),"")</f>
        <v/>
      </c>
      <c r="R17" s="26" t="str">
        <f>IF(ISERROR(VLOOKUP($A17,Bestellungen!$6:$1048576,MATCH(Kasse!R$5,Bestellungen!$A$5:$X$5,0),0))=FALSE,SUMIF(Kalkulation!$A$6:$A$40,Kasse!R$5&amp;"*",Kalkulation!$C$6:$C$40)*VLOOKUP($A17,Bestellungen!$6:$1048576,MATCH(Kasse!R$5,Bestellungen!$A$5:$X$5,0),0),"")</f>
        <v/>
      </c>
      <c r="S17" s="26" t="str">
        <f>IF(ISERROR(VLOOKUP($A17,Bestellungen!$6:$1048576,MATCH(Kasse!S$5,Bestellungen!$A$5:$X$5,0),0))=FALSE,SUMIF(Kalkulation!$A$6:$A$40,Kasse!S$5&amp;"*",Kalkulation!$C$6:$C$40)*VLOOKUP($A17,Bestellungen!$6:$1048576,MATCH(Kasse!S$5,Bestellungen!$A$5:$X$5,0),0),"")</f>
        <v/>
      </c>
      <c r="T17" s="26" t="str">
        <f>IF(ISERROR(VLOOKUP($A17,Bestellungen!$6:$1048576,MATCH(Kasse!T$5,Bestellungen!$A$5:$X$5,0),0))=FALSE,SUMIF(Kalkulation!$A$6:$A$40,Kasse!T$5&amp;"*",Kalkulation!$C$6:$C$40)*VLOOKUP($A17,Bestellungen!$6:$1048576,MATCH(Kasse!T$5,Bestellungen!$A$5:$X$5,0),0),"")</f>
        <v/>
      </c>
      <c r="U17" s="26" t="str">
        <f t="shared" si="0"/>
        <v/>
      </c>
      <c r="W17" s="26" t="str">
        <f t="shared" si="1"/>
        <v/>
      </c>
      <c r="X17" s="26"/>
      <c r="Y17" s="26"/>
      <c r="Z17" s="26"/>
      <c r="AA17" s="26"/>
    </row>
    <row r="18" spans="1:27" x14ac:dyDescent="0.25">
      <c r="A18" t="str">
        <f>IF(LEN(Bestellungen!$A18)&gt;0,Bestellungen!$A18,"")</f>
        <v/>
      </c>
      <c r="B18" s="26" t="str">
        <f>IF(ISERROR(VLOOKUP($A18,Bestellungen!$6:$1048576,MATCH(Kasse!B$5,Bestellungen!$A$5:$X$5,0),0))=FALSE,SUMIF(Kalkulation!$A$6:$A$40,Kasse!B$5&amp;"*",Kalkulation!$C$6:$C$40)*VLOOKUP($A18,Bestellungen!$6:$1048576,MATCH(Kasse!B$5,Bestellungen!$A$5:$X$5,0),0),"")</f>
        <v/>
      </c>
      <c r="C18" s="26" t="str">
        <f>IF(ISERROR(VLOOKUP($A18,Bestellungen!$6:$1048576,MATCH(Kasse!C$5,Bestellungen!$A$5:$X$5,0),0))=FALSE,SUMIF(Kalkulation!$A$6:$A$40,Kasse!C$5&amp;"*",Kalkulation!$C$6:$C$40)*VLOOKUP($A18,Bestellungen!$6:$1048576,MATCH(Kasse!C$5,Bestellungen!$A$5:$X$5,0),0),"")</f>
        <v/>
      </c>
      <c r="D18" s="26" t="str">
        <f>IF(ISERROR(VLOOKUP($A18,Bestellungen!$6:$1048576,MATCH(Kasse!D$5,Bestellungen!$A$5:$X$5,0),0))=FALSE,SUMIF(Kalkulation!$A$6:$A$40,Kasse!D$5&amp;"*",Kalkulation!$C$6:$C$40)*VLOOKUP($A18,Bestellungen!$6:$1048576,MATCH(Kasse!D$5,Bestellungen!$A$5:$X$5,0),0),"")</f>
        <v/>
      </c>
      <c r="E18" s="26" t="str">
        <f>IF(ISERROR(VLOOKUP($A18,Bestellungen!$6:$1048576,MATCH(Kasse!E$5,Bestellungen!$A$5:$X$5,0),0))=FALSE,SUMIF(Kalkulation!$A$6:$A$40,Kasse!E$5&amp;"*",Kalkulation!$C$6:$C$40)*VLOOKUP($A18,Bestellungen!$6:$1048576,MATCH(Kasse!E$5,Bestellungen!$A$5:$X$5,0),0),"")</f>
        <v/>
      </c>
      <c r="F18" s="26" t="str">
        <f>IF(ISERROR(VLOOKUP($A18,Bestellungen!$6:$1048576,MATCH(Kasse!F$5,Bestellungen!$A$5:$X$5,0),0))=FALSE,SUMIF(Kalkulation!$A$6:$A$40,Kasse!F$5&amp;"*",Kalkulation!$C$6:$C$40)*VLOOKUP($A18,Bestellungen!$6:$1048576,MATCH(Kasse!F$5,Bestellungen!$A$5:$X$5,0),0),"")</f>
        <v/>
      </c>
      <c r="G18" s="26" t="str">
        <f>IF(ISERROR(VLOOKUP($A18,Bestellungen!$6:$1048576,MATCH(Kasse!G$5,Bestellungen!$A$5:$X$5,0),0))=FALSE,SUMIF(Kalkulation!$A$6:$A$40,Kasse!G$5&amp;"*",Kalkulation!$C$6:$C$40)*VLOOKUP($A18,Bestellungen!$6:$1048576,MATCH(Kasse!G$5,Bestellungen!$A$5:$X$5,0),0),"")</f>
        <v/>
      </c>
      <c r="H18" s="26" t="str">
        <f>IF(ISERROR(VLOOKUP($A18,Bestellungen!$6:$1048576,MATCH(Kasse!H$5,Bestellungen!$A$5:$X$5,0),0))=FALSE,SUMIF(Kalkulation!$A$6:$A$40,Kasse!H$5&amp;"*",Kalkulation!$C$6:$C$40)*VLOOKUP($A18,Bestellungen!$6:$1048576,MATCH(Kasse!H$5,Bestellungen!$A$5:$X$5,0),0),"")</f>
        <v/>
      </c>
      <c r="I18" s="26" t="str">
        <f>IF(ISERROR(VLOOKUP($A18,Bestellungen!$6:$1048576,MATCH(Kasse!I$5,Bestellungen!$A$5:$X$5,0),0))=FALSE,SUMIF(Kalkulation!$A$6:$A$40,Kasse!I$5&amp;"*",Kalkulation!$C$6:$C$40)*VLOOKUP($A18,Bestellungen!$6:$1048576,MATCH(Kasse!I$5,Bestellungen!$A$5:$X$5,0),0),"")</f>
        <v/>
      </c>
      <c r="J18" s="26" t="str">
        <f>IF(ISERROR(VLOOKUP($A18,Bestellungen!$6:$1048576,MATCH(Kasse!J$5,Bestellungen!$A$5:$X$5,0),0))=FALSE,SUMIF(Kalkulation!$A$6:$A$40,Kasse!J$5&amp;"*",Kalkulation!$C$6:$C$40)*VLOOKUP($A18,Bestellungen!$6:$1048576,MATCH(Kasse!J$5,Bestellungen!$A$5:$X$5,0),0),"")</f>
        <v/>
      </c>
      <c r="K18" s="26" t="str">
        <f>IF(ISERROR(VLOOKUP($A18,Bestellungen!$6:$1048576,MATCH(Kasse!K$5,Bestellungen!$A$5:$X$5,0),0))=FALSE,SUMIF(Kalkulation!$A$6:$A$40,Kasse!K$5&amp;"*",Kalkulation!$C$6:$C$40)*VLOOKUP($A18,Bestellungen!$6:$1048576,MATCH(Kasse!K$5,Bestellungen!$A$5:$X$5,0),0),"")</f>
        <v/>
      </c>
      <c r="L18" s="26" t="str">
        <f>IF(ISERROR(VLOOKUP($A18,Bestellungen!$6:$1048576,MATCH(Kasse!L$5,Bestellungen!$A$5:$X$5,0),0))=FALSE,SUMIF(Kalkulation!$A$6:$A$40,Kasse!L$5&amp;"*",Kalkulation!$C$6:$C$40)*VLOOKUP($A18,Bestellungen!$6:$1048576,MATCH(Kasse!L$5,Bestellungen!$A$5:$X$5,0),0),"")</f>
        <v/>
      </c>
      <c r="M18" s="26" t="str">
        <f>IF(ISERROR(VLOOKUP($A18,Bestellungen!$6:$1048576,MATCH(Kasse!M$5,Bestellungen!$A$5:$X$5,0),0))=FALSE,SUMIF(Kalkulation!$A$6:$A$40,Kasse!M$5&amp;"*",Kalkulation!$C$6:$C$40)*VLOOKUP($A18,Bestellungen!$6:$1048576,MATCH(Kasse!M$5,Bestellungen!$A$5:$X$5,0),0),"")</f>
        <v/>
      </c>
      <c r="N18" s="26" t="str">
        <f>IF(ISERROR(VLOOKUP($A18,Bestellungen!$6:$1048576,MATCH(Kasse!N$5,Bestellungen!$A$5:$X$5,0),0))=FALSE,SUMIF(Kalkulation!$A$6:$A$40,Kasse!N$5&amp;"*",Kalkulation!$C$6:$C$40)*VLOOKUP($A18,Bestellungen!$6:$1048576,MATCH(Kasse!N$5,Bestellungen!$A$5:$X$5,0),0),"")</f>
        <v/>
      </c>
      <c r="O18" s="26" t="str">
        <f>IF(ISERROR(VLOOKUP($A18,Bestellungen!$6:$1048576,MATCH(Kasse!O$5,Bestellungen!$A$5:$X$5,0),0))=FALSE,SUMIF(Kalkulation!$A$6:$A$40,Kasse!O$5&amp;"*",Kalkulation!$C$6:$C$40)*VLOOKUP($A18,Bestellungen!$6:$1048576,MATCH(Kasse!O$5,Bestellungen!$A$5:$X$5,0),0),"")</f>
        <v/>
      </c>
      <c r="P18" s="26" t="str">
        <f>IF(ISERROR(VLOOKUP($A18,Bestellungen!$6:$1048576,MATCH(Kasse!P$5,Bestellungen!$A$5:$X$5,0),0))=FALSE,SUMIF(Kalkulation!$A$6:$A$40,Kasse!P$5&amp;"*",Kalkulation!$C$6:$C$40)*VLOOKUP($A18,Bestellungen!$6:$1048576,MATCH(Kasse!P$5,Bestellungen!$A$5:$X$5,0),0),"")</f>
        <v/>
      </c>
      <c r="Q18" s="26" t="str">
        <f>IF(ISERROR(VLOOKUP($A18,Bestellungen!$6:$1048576,MATCH(Kasse!Q$5,Bestellungen!$A$5:$X$5,0),0))=FALSE,SUMIF(Kalkulation!$A$6:$A$40,Kasse!Q$5&amp;"*",Kalkulation!$C$6:$C$40)*VLOOKUP($A18,Bestellungen!$6:$1048576,MATCH(Kasse!Q$5,Bestellungen!$A$5:$X$5,0),0),"")</f>
        <v/>
      </c>
      <c r="R18" s="26" t="str">
        <f>IF(ISERROR(VLOOKUP($A18,Bestellungen!$6:$1048576,MATCH(Kasse!R$5,Bestellungen!$A$5:$X$5,0),0))=FALSE,SUMIF(Kalkulation!$A$6:$A$40,Kasse!R$5&amp;"*",Kalkulation!$C$6:$C$40)*VLOOKUP($A18,Bestellungen!$6:$1048576,MATCH(Kasse!R$5,Bestellungen!$A$5:$X$5,0),0),"")</f>
        <v/>
      </c>
      <c r="S18" s="26" t="str">
        <f>IF(ISERROR(VLOOKUP($A18,Bestellungen!$6:$1048576,MATCH(Kasse!S$5,Bestellungen!$A$5:$X$5,0),0))=FALSE,SUMIF(Kalkulation!$A$6:$A$40,Kasse!S$5&amp;"*",Kalkulation!$C$6:$C$40)*VLOOKUP($A18,Bestellungen!$6:$1048576,MATCH(Kasse!S$5,Bestellungen!$A$5:$X$5,0),0),"")</f>
        <v/>
      </c>
      <c r="T18" s="26" t="str">
        <f>IF(ISERROR(VLOOKUP($A18,Bestellungen!$6:$1048576,MATCH(Kasse!T$5,Bestellungen!$A$5:$X$5,0),0))=FALSE,SUMIF(Kalkulation!$A$6:$A$40,Kasse!T$5&amp;"*",Kalkulation!$C$6:$C$40)*VLOOKUP($A18,Bestellungen!$6:$1048576,MATCH(Kasse!T$5,Bestellungen!$A$5:$X$5,0),0),"")</f>
        <v/>
      </c>
      <c r="U18" s="26" t="str">
        <f t="shared" si="0"/>
        <v/>
      </c>
      <c r="W18" s="26" t="str">
        <f t="shared" si="1"/>
        <v/>
      </c>
      <c r="X18" s="26"/>
      <c r="Y18" s="26"/>
      <c r="Z18" s="26"/>
      <c r="AA18" s="26"/>
    </row>
    <row r="19" spans="1:27" x14ac:dyDescent="0.25">
      <c r="A19" t="str">
        <f>IF(LEN(Bestellungen!$A19)&gt;0,Bestellungen!$A19,"")</f>
        <v/>
      </c>
      <c r="B19" s="26" t="str">
        <f>IF(ISERROR(VLOOKUP($A19,Bestellungen!$6:$1048576,MATCH(Kasse!B$5,Bestellungen!$A$5:$X$5,0),0))=FALSE,SUMIF(Kalkulation!$A$6:$A$40,Kasse!B$5&amp;"*",Kalkulation!$C$6:$C$40)*VLOOKUP($A19,Bestellungen!$6:$1048576,MATCH(Kasse!B$5,Bestellungen!$A$5:$X$5,0),0),"")</f>
        <v/>
      </c>
      <c r="C19" s="26" t="str">
        <f>IF(ISERROR(VLOOKUP($A19,Bestellungen!$6:$1048576,MATCH(Kasse!C$5,Bestellungen!$A$5:$X$5,0),0))=FALSE,SUMIF(Kalkulation!$A$6:$A$40,Kasse!C$5&amp;"*",Kalkulation!$C$6:$C$40)*VLOOKUP($A19,Bestellungen!$6:$1048576,MATCH(Kasse!C$5,Bestellungen!$A$5:$X$5,0),0),"")</f>
        <v/>
      </c>
      <c r="D19" s="26" t="str">
        <f>IF(ISERROR(VLOOKUP($A19,Bestellungen!$6:$1048576,MATCH(Kasse!D$5,Bestellungen!$A$5:$X$5,0),0))=FALSE,SUMIF(Kalkulation!$A$6:$A$40,Kasse!D$5&amp;"*",Kalkulation!$C$6:$C$40)*VLOOKUP($A19,Bestellungen!$6:$1048576,MATCH(Kasse!D$5,Bestellungen!$A$5:$X$5,0),0),"")</f>
        <v/>
      </c>
      <c r="E19" s="26" t="str">
        <f>IF(ISERROR(VLOOKUP($A19,Bestellungen!$6:$1048576,MATCH(Kasse!E$5,Bestellungen!$A$5:$X$5,0),0))=FALSE,SUMIF(Kalkulation!$A$6:$A$40,Kasse!E$5&amp;"*",Kalkulation!$C$6:$C$40)*VLOOKUP($A19,Bestellungen!$6:$1048576,MATCH(Kasse!E$5,Bestellungen!$A$5:$X$5,0),0),"")</f>
        <v/>
      </c>
      <c r="F19" s="26" t="str">
        <f>IF(ISERROR(VLOOKUP($A19,Bestellungen!$6:$1048576,MATCH(Kasse!F$5,Bestellungen!$A$5:$X$5,0),0))=FALSE,SUMIF(Kalkulation!$A$6:$A$40,Kasse!F$5&amp;"*",Kalkulation!$C$6:$C$40)*VLOOKUP($A19,Bestellungen!$6:$1048576,MATCH(Kasse!F$5,Bestellungen!$A$5:$X$5,0),0),"")</f>
        <v/>
      </c>
      <c r="G19" s="26" t="str">
        <f>IF(ISERROR(VLOOKUP($A19,Bestellungen!$6:$1048576,MATCH(Kasse!G$5,Bestellungen!$A$5:$X$5,0),0))=FALSE,SUMIF(Kalkulation!$A$6:$A$40,Kasse!G$5&amp;"*",Kalkulation!$C$6:$C$40)*VLOOKUP($A19,Bestellungen!$6:$1048576,MATCH(Kasse!G$5,Bestellungen!$A$5:$X$5,0),0),"")</f>
        <v/>
      </c>
      <c r="H19" s="26" t="str">
        <f>IF(ISERROR(VLOOKUP($A19,Bestellungen!$6:$1048576,MATCH(Kasse!H$5,Bestellungen!$A$5:$X$5,0),0))=FALSE,SUMIF(Kalkulation!$A$6:$A$40,Kasse!H$5&amp;"*",Kalkulation!$C$6:$C$40)*VLOOKUP($A19,Bestellungen!$6:$1048576,MATCH(Kasse!H$5,Bestellungen!$A$5:$X$5,0),0),"")</f>
        <v/>
      </c>
      <c r="I19" s="26" t="str">
        <f>IF(ISERROR(VLOOKUP($A19,Bestellungen!$6:$1048576,MATCH(Kasse!I$5,Bestellungen!$A$5:$X$5,0),0))=FALSE,SUMIF(Kalkulation!$A$6:$A$40,Kasse!I$5&amp;"*",Kalkulation!$C$6:$C$40)*VLOOKUP($A19,Bestellungen!$6:$1048576,MATCH(Kasse!I$5,Bestellungen!$A$5:$X$5,0),0),"")</f>
        <v/>
      </c>
      <c r="J19" s="26" t="str">
        <f>IF(ISERROR(VLOOKUP($A19,Bestellungen!$6:$1048576,MATCH(Kasse!J$5,Bestellungen!$A$5:$X$5,0),0))=FALSE,SUMIF(Kalkulation!$A$6:$A$40,Kasse!J$5&amp;"*",Kalkulation!$C$6:$C$40)*VLOOKUP($A19,Bestellungen!$6:$1048576,MATCH(Kasse!J$5,Bestellungen!$A$5:$X$5,0),0),"")</f>
        <v/>
      </c>
      <c r="K19" s="26" t="str">
        <f>IF(ISERROR(VLOOKUP($A19,Bestellungen!$6:$1048576,MATCH(Kasse!K$5,Bestellungen!$A$5:$X$5,0),0))=FALSE,SUMIF(Kalkulation!$A$6:$A$40,Kasse!K$5&amp;"*",Kalkulation!$C$6:$C$40)*VLOOKUP($A19,Bestellungen!$6:$1048576,MATCH(Kasse!K$5,Bestellungen!$A$5:$X$5,0),0),"")</f>
        <v/>
      </c>
      <c r="L19" s="26" t="str">
        <f>IF(ISERROR(VLOOKUP($A19,Bestellungen!$6:$1048576,MATCH(Kasse!L$5,Bestellungen!$A$5:$X$5,0),0))=FALSE,SUMIF(Kalkulation!$A$6:$A$40,Kasse!L$5&amp;"*",Kalkulation!$C$6:$C$40)*VLOOKUP($A19,Bestellungen!$6:$1048576,MATCH(Kasse!L$5,Bestellungen!$A$5:$X$5,0),0),"")</f>
        <v/>
      </c>
      <c r="M19" s="26" t="str">
        <f>IF(ISERROR(VLOOKUP($A19,Bestellungen!$6:$1048576,MATCH(Kasse!M$5,Bestellungen!$A$5:$X$5,0),0))=FALSE,SUMIF(Kalkulation!$A$6:$A$40,Kasse!M$5&amp;"*",Kalkulation!$C$6:$C$40)*VLOOKUP($A19,Bestellungen!$6:$1048576,MATCH(Kasse!M$5,Bestellungen!$A$5:$X$5,0),0),"")</f>
        <v/>
      </c>
      <c r="N19" s="26" t="str">
        <f>IF(ISERROR(VLOOKUP($A19,Bestellungen!$6:$1048576,MATCH(Kasse!N$5,Bestellungen!$A$5:$X$5,0),0))=FALSE,SUMIF(Kalkulation!$A$6:$A$40,Kasse!N$5&amp;"*",Kalkulation!$C$6:$C$40)*VLOOKUP($A19,Bestellungen!$6:$1048576,MATCH(Kasse!N$5,Bestellungen!$A$5:$X$5,0),0),"")</f>
        <v/>
      </c>
      <c r="O19" s="26" t="str">
        <f>IF(ISERROR(VLOOKUP($A19,Bestellungen!$6:$1048576,MATCH(Kasse!O$5,Bestellungen!$A$5:$X$5,0),0))=FALSE,SUMIF(Kalkulation!$A$6:$A$40,Kasse!O$5&amp;"*",Kalkulation!$C$6:$C$40)*VLOOKUP($A19,Bestellungen!$6:$1048576,MATCH(Kasse!O$5,Bestellungen!$A$5:$X$5,0),0),"")</f>
        <v/>
      </c>
      <c r="P19" s="26" t="str">
        <f>IF(ISERROR(VLOOKUP($A19,Bestellungen!$6:$1048576,MATCH(Kasse!P$5,Bestellungen!$A$5:$X$5,0),0))=FALSE,SUMIF(Kalkulation!$A$6:$A$40,Kasse!P$5&amp;"*",Kalkulation!$C$6:$C$40)*VLOOKUP($A19,Bestellungen!$6:$1048576,MATCH(Kasse!P$5,Bestellungen!$A$5:$X$5,0),0),"")</f>
        <v/>
      </c>
      <c r="Q19" s="26" t="str">
        <f>IF(ISERROR(VLOOKUP($A19,Bestellungen!$6:$1048576,MATCH(Kasse!Q$5,Bestellungen!$A$5:$X$5,0),0))=FALSE,SUMIF(Kalkulation!$A$6:$A$40,Kasse!Q$5&amp;"*",Kalkulation!$C$6:$C$40)*VLOOKUP($A19,Bestellungen!$6:$1048576,MATCH(Kasse!Q$5,Bestellungen!$A$5:$X$5,0),0),"")</f>
        <v/>
      </c>
      <c r="R19" s="26" t="str">
        <f>IF(ISERROR(VLOOKUP($A19,Bestellungen!$6:$1048576,MATCH(Kasse!R$5,Bestellungen!$A$5:$X$5,0),0))=FALSE,SUMIF(Kalkulation!$A$6:$A$40,Kasse!R$5&amp;"*",Kalkulation!$C$6:$C$40)*VLOOKUP($A19,Bestellungen!$6:$1048576,MATCH(Kasse!R$5,Bestellungen!$A$5:$X$5,0),0),"")</f>
        <v/>
      </c>
      <c r="S19" s="26" t="str">
        <f>IF(ISERROR(VLOOKUP($A19,Bestellungen!$6:$1048576,MATCH(Kasse!S$5,Bestellungen!$A$5:$X$5,0),0))=FALSE,SUMIF(Kalkulation!$A$6:$A$40,Kasse!S$5&amp;"*",Kalkulation!$C$6:$C$40)*VLOOKUP($A19,Bestellungen!$6:$1048576,MATCH(Kasse!S$5,Bestellungen!$A$5:$X$5,0),0),"")</f>
        <v/>
      </c>
      <c r="T19" s="26" t="str">
        <f>IF(ISERROR(VLOOKUP($A19,Bestellungen!$6:$1048576,MATCH(Kasse!T$5,Bestellungen!$A$5:$X$5,0),0))=FALSE,SUMIF(Kalkulation!$A$6:$A$40,Kasse!T$5&amp;"*",Kalkulation!$C$6:$C$40)*VLOOKUP($A19,Bestellungen!$6:$1048576,MATCH(Kasse!T$5,Bestellungen!$A$5:$X$5,0),0),"")</f>
        <v/>
      </c>
      <c r="U19" s="26" t="str">
        <f t="shared" si="0"/>
        <v/>
      </c>
      <c r="W19" s="26" t="str">
        <f t="shared" si="1"/>
        <v/>
      </c>
      <c r="X19" s="26"/>
      <c r="Y19" s="26"/>
      <c r="Z19" s="26"/>
      <c r="AA19" s="26"/>
    </row>
    <row r="20" spans="1:27" x14ac:dyDescent="0.25">
      <c r="A20" t="str">
        <f>IF(LEN(Bestellungen!$A20)&gt;0,Bestellungen!$A20,"")</f>
        <v/>
      </c>
      <c r="B20" s="26" t="str">
        <f>IF(ISERROR(VLOOKUP($A20,Bestellungen!$6:$1048576,MATCH(Kasse!B$5,Bestellungen!$A$5:$X$5,0),0))=FALSE,SUMIF(Kalkulation!$A$6:$A$40,Kasse!B$5&amp;"*",Kalkulation!$C$6:$C$40)*VLOOKUP($A20,Bestellungen!$6:$1048576,MATCH(Kasse!B$5,Bestellungen!$A$5:$X$5,0),0),"")</f>
        <v/>
      </c>
      <c r="C20" s="26" t="str">
        <f>IF(ISERROR(VLOOKUP($A20,Bestellungen!$6:$1048576,MATCH(Kasse!C$5,Bestellungen!$A$5:$X$5,0),0))=FALSE,SUMIF(Kalkulation!$A$6:$A$40,Kasse!C$5&amp;"*",Kalkulation!$C$6:$C$40)*VLOOKUP($A20,Bestellungen!$6:$1048576,MATCH(Kasse!C$5,Bestellungen!$A$5:$X$5,0),0),"")</f>
        <v/>
      </c>
      <c r="D20" s="26" t="str">
        <f>IF(ISERROR(VLOOKUP($A20,Bestellungen!$6:$1048576,MATCH(Kasse!D$5,Bestellungen!$A$5:$X$5,0),0))=FALSE,SUMIF(Kalkulation!$A$6:$A$40,Kasse!D$5&amp;"*",Kalkulation!$C$6:$C$40)*VLOOKUP($A20,Bestellungen!$6:$1048576,MATCH(Kasse!D$5,Bestellungen!$A$5:$X$5,0),0),"")</f>
        <v/>
      </c>
      <c r="E20" s="26" t="str">
        <f>IF(ISERROR(VLOOKUP($A20,Bestellungen!$6:$1048576,MATCH(Kasse!E$5,Bestellungen!$A$5:$X$5,0),0))=FALSE,SUMIF(Kalkulation!$A$6:$A$40,Kasse!E$5&amp;"*",Kalkulation!$C$6:$C$40)*VLOOKUP($A20,Bestellungen!$6:$1048576,MATCH(Kasse!E$5,Bestellungen!$A$5:$X$5,0),0),"")</f>
        <v/>
      </c>
      <c r="F20" s="26" t="str">
        <f>IF(ISERROR(VLOOKUP($A20,Bestellungen!$6:$1048576,MATCH(Kasse!F$5,Bestellungen!$A$5:$X$5,0),0))=FALSE,SUMIF(Kalkulation!$A$6:$A$40,Kasse!F$5&amp;"*",Kalkulation!$C$6:$C$40)*VLOOKUP($A20,Bestellungen!$6:$1048576,MATCH(Kasse!F$5,Bestellungen!$A$5:$X$5,0),0),"")</f>
        <v/>
      </c>
      <c r="G20" s="26" t="str">
        <f>IF(ISERROR(VLOOKUP($A20,Bestellungen!$6:$1048576,MATCH(Kasse!G$5,Bestellungen!$A$5:$X$5,0),0))=FALSE,SUMIF(Kalkulation!$A$6:$A$40,Kasse!G$5&amp;"*",Kalkulation!$C$6:$C$40)*VLOOKUP($A20,Bestellungen!$6:$1048576,MATCH(Kasse!G$5,Bestellungen!$A$5:$X$5,0),0),"")</f>
        <v/>
      </c>
      <c r="H20" s="26" t="str">
        <f>IF(ISERROR(VLOOKUP($A20,Bestellungen!$6:$1048576,MATCH(Kasse!H$5,Bestellungen!$A$5:$X$5,0),0))=FALSE,SUMIF(Kalkulation!$A$6:$A$40,Kasse!H$5&amp;"*",Kalkulation!$C$6:$C$40)*VLOOKUP($A20,Bestellungen!$6:$1048576,MATCH(Kasse!H$5,Bestellungen!$A$5:$X$5,0),0),"")</f>
        <v/>
      </c>
      <c r="I20" s="26" t="str">
        <f>IF(ISERROR(VLOOKUP($A20,Bestellungen!$6:$1048576,MATCH(Kasse!I$5,Bestellungen!$A$5:$X$5,0),0))=FALSE,SUMIF(Kalkulation!$A$6:$A$40,Kasse!I$5&amp;"*",Kalkulation!$C$6:$C$40)*VLOOKUP($A20,Bestellungen!$6:$1048576,MATCH(Kasse!I$5,Bestellungen!$A$5:$X$5,0),0),"")</f>
        <v/>
      </c>
      <c r="J20" s="26" t="str">
        <f>IF(ISERROR(VLOOKUP($A20,Bestellungen!$6:$1048576,MATCH(Kasse!J$5,Bestellungen!$A$5:$X$5,0),0))=FALSE,SUMIF(Kalkulation!$A$6:$A$40,Kasse!J$5&amp;"*",Kalkulation!$C$6:$C$40)*VLOOKUP($A20,Bestellungen!$6:$1048576,MATCH(Kasse!J$5,Bestellungen!$A$5:$X$5,0),0),"")</f>
        <v/>
      </c>
      <c r="K20" s="26" t="str">
        <f>IF(ISERROR(VLOOKUP($A20,Bestellungen!$6:$1048576,MATCH(Kasse!K$5,Bestellungen!$A$5:$X$5,0),0))=FALSE,SUMIF(Kalkulation!$A$6:$A$40,Kasse!K$5&amp;"*",Kalkulation!$C$6:$C$40)*VLOOKUP($A20,Bestellungen!$6:$1048576,MATCH(Kasse!K$5,Bestellungen!$A$5:$X$5,0),0),"")</f>
        <v/>
      </c>
      <c r="L20" s="26" t="str">
        <f>IF(ISERROR(VLOOKUP($A20,Bestellungen!$6:$1048576,MATCH(Kasse!L$5,Bestellungen!$A$5:$X$5,0),0))=FALSE,SUMIF(Kalkulation!$A$6:$A$40,Kasse!L$5&amp;"*",Kalkulation!$C$6:$C$40)*VLOOKUP($A20,Bestellungen!$6:$1048576,MATCH(Kasse!L$5,Bestellungen!$A$5:$X$5,0),0),"")</f>
        <v/>
      </c>
      <c r="M20" s="26" t="str">
        <f>IF(ISERROR(VLOOKUP($A20,Bestellungen!$6:$1048576,MATCH(Kasse!M$5,Bestellungen!$A$5:$X$5,0),0))=FALSE,SUMIF(Kalkulation!$A$6:$A$40,Kasse!M$5&amp;"*",Kalkulation!$C$6:$C$40)*VLOOKUP($A20,Bestellungen!$6:$1048576,MATCH(Kasse!M$5,Bestellungen!$A$5:$X$5,0),0),"")</f>
        <v/>
      </c>
      <c r="N20" s="26" t="str">
        <f>IF(ISERROR(VLOOKUP($A20,Bestellungen!$6:$1048576,MATCH(Kasse!N$5,Bestellungen!$A$5:$X$5,0),0))=FALSE,SUMIF(Kalkulation!$A$6:$A$40,Kasse!N$5&amp;"*",Kalkulation!$C$6:$C$40)*VLOOKUP($A20,Bestellungen!$6:$1048576,MATCH(Kasse!N$5,Bestellungen!$A$5:$X$5,0),0),"")</f>
        <v/>
      </c>
      <c r="O20" s="26" t="str">
        <f>IF(ISERROR(VLOOKUP($A20,Bestellungen!$6:$1048576,MATCH(Kasse!O$5,Bestellungen!$A$5:$X$5,0),0))=FALSE,SUMIF(Kalkulation!$A$6:$A$40,Kasse!O$5&amp;"*",Kalkulation!$C$6:$C$40)*VLOOKUP($A20,Bestellungen!$6:$1048576,MATCH(Kasse!O$5,Bestellungen!$A$5:$X$5,0),0),"")</f>
        <v/>
      </c>
      <c r="P20" s="26" t="str">
        <f>IF(ISERROR(VLOOKUP($A20,Bestellungen!$6:$1048576,MATCH(Kasse!P$5,Bestellungen!$A$5:$X$5,0),0))=FALSE,SUMIF(Kalkulation!$A$6:$A$40,Kasse!P$5&amp;"*",Kalkulation!$C$6:$C$40)*VLOOKUP($A20,Bestellungen!$6:$1048576,MATCH(Kasse!P$5,Bestellungen!$A$5:$X$5,0),0),"")</f>
        <v/>
      </c>
      <c r="Q20" s="26" t="str">
        <f>IF(ISERROR(VLOOKUP($A20,Bestellungen!$6:$1048576,MATCH(Kasse!Q$5,Bestellungen!$A$5:$X$5,0),0))=FALSE,SUMIF(Kalkulation!$A$6:$A$40,Kasse!Q$5&amp;"*",Kalkulation!$C$6:$C$40)*VLOOKUP($A20,Bestellungen!$6:$1048576,MATCH(Kasse!Q$5,Bestellungen!$A$5:$X$5,0),0),"")</f>
        <v/>
      </c>
      <c r="R20" s="26" t="str">
        <f>IF(ISERROR(VLOOKUP($A20,Bestellungen!$6:$1048576,MATCH(Kasse!R$5,Bestellungen!$A$5:$X$5,0),0))=FALSE,SUMIF(Kalkulation!$A$6:$A$40,Kasse!R$5&amp;"*",Kalkulation!$C$6:$C$40)*VLOOKUP($A20,Bestellungen!$6:$1048576,MATCH(Kasse!R$5,Bestellungen!$A$5:$X$5,0),0),"")</f>
        <v/>
      </c>
      <c r="S20" s="26" t="str">
        <f>IF(ISERROR(VLOOKUP($A20,Bestellungen!$6:$1048576,MATCH(Kasse!S$5,Bestellungen!$A$5:$X$5,0),0))=FALSE,SUMIF(Kalkulation!$A$6:$A$40,Kasse!S$5&amp;"*",Kalkulation!$C$6:$C$40)*VLOOKUP($A20,Bestellungen!$6:$1048576,MATCH(Kasse!S$5,Bestellungen!$A$5:$X$5,0),0),"")</f>
        <v/>
      </c>
      <c r="T20" s="26" t="str">
        <f>IF(ISERROR(VLOOKUP($A20,Bestellungen!$6:$1048576,MATCH(Kasse!T$5,Bestellungen!$A$5:$X$5,0),0))=FALSE,SUMIF(Kalkulation!$A$6:$A$40,Kasse!T$5&amp;"*",Kalkulation!$C$6:$C$40)*VLOOKUP($A20,Bestellungen!$6:$1048576,MATCH(Kasse!T$5,Bestellungen!$A$5:$X$5,0),0),"")</f>
        <v/>
      </c>
      <c r="U20" s="26" t="str">
        <f t="shared" si="0"/>
        <v/>
      </c>
      <c r="W20" s="26" t="str">
        <f t="shared" si="1"/>
        <v/>
      </c>
      <c r="X20" s="26"/>
      <c r="Y20" s="26"/>
      <c r="Z20" s="26"/>
      <c r="AA20" s="26"/>
    </row>
    <row r="21" spans="1:27" x14ac:dyDescent="0.25">
      <c r="A21" t="str">
        <f>IF(LEN(Bestellungen!$A21)&gt;0,Bestellungen!$A21,"")</f>
        <v/>
      </c>
      <c r="B21" s="26" t="str">
        <f>IF(ISERROR(VLOOKUP($A21,Bestellungen!$6:$1048576,MATCH(Kasse!B$5,Bestellungen!$A$5:$X$5,0),0))=FALSE,SUMIF(Kalkulation!$A$6:$A$40,Kasse!B$5&amp;"*",Kalkulation!$C$6:$C$40)*VLOOKUP($A21,Bestellungen!$6:$1048576,MATCH(Kasse!B$5,Bestellungen!$A$5:$X$5,0),0),"")</f>
        <v/>
      </c>
      <c r="C21" s="26" t="str">
        <f>IF(ISERROR(VLOOKUP($A21,Bestellungen!$6:$1048576,MATCH(Kasse!C$5,Bestellungen!$A$5:$X$5,0),0))=FALSE,SUMIF(Kalkulation!$A$6:$A$40,Kasse!C$5&amp;"*",Kalkulation!$C$6:$C$40)*VLOOKUP($A21,Bestellungen!$6:$1048576,MATCH(Kasse!C$5,Bestellungen!$A$5:$X$5,0),0),"")</f>
        <v/>
      </c>
      <c r="D21" s="26" t="str">
        <f>IF(ISERROR(VLOOKUP($A21,Bestellungen!$6:$1048576,MATCH(Kasse!D$5,Bestellungen!$A$5:$X$5,0),0))=FALSE,SUMIF(Kalkulation!$A$6:$A$40,Kasse!D$5&amp;"*",Kalkulation!$C$6:$C$40)*VLOOKUP($A21,Bestellungen!$6:$1048576,MATCH(Kasse!D$5,Bestellungen!$A$5:$X$5,0),0),"")</f>
        <v/>
      </c>
      <c r="E21" s="26" t="str">
        <f>IF(ISERROR(VLOOKUP($A21,Bestellungen!$6:$1048576,MATCH(Kasse!E$5,Bestellungen!$A$5:$X$5,0),0))=FALSE,SUMIF(Kalkulation!$A$6:$A$40,Kasse!E$5&amp;"*",Kalkulation!$C$6:$C$40)*VLOOKUP($A21,Bestellungen!$6:$1048576,MATCH(Kasse!E$5,Bestellungen!$A$5:$X$5,0),0),"")</f>
        <v/>
      </c>
      <c r="F21" s="26" t="str">
        <f>IF(ISERROR(VLOOKUP($A21,Bestellungen!$6:$1048576,MATCH(Kasse!F$5,Bestellungen!$A$5:$X$5,0),0))=FALSE,SUMIF(Kalkulation!$A$6:$A$40,Kasse!F$5&amp;"*",Kalkulation!$C$6:$C$40)*VLOOKUP($A21,Bestellungen!$6:$1048576,MATCH(Kasse!F$5,Bestellungen!$A$5:$X$5,0),0),"")</f>
        <v/>
      </c>
      <c r="G21" s="26" t="str">
        <f>IF(ISERROR(VLOOKUP($A21,Bestellungen!$6:$1048576,MATCH(Kasse!G$5,Bestellungen!$A$5:$X$5,0),0))=FALSE,SUMIF(Kalkulation!$A$6:$A$40,Kasse!G$5&amp;"*",Kalkulation!$C$6:$C$40)*VLOOKUP($A21,Bestellungen!$6:$1048576,MATCH(Kasse!G$5,Bestellungen!$A$5:$X$5,0),0),"")</f>
        <v/>
      </c>
      <c r="H21" s="26" t="str">
        <f>IF(ISERROR(VLOOKUP($A21,Bestellungen!$6:$1048576,MATCH(Kasse!H$5,Bestellungen!$A$5:$X$5,0),0))=FALSE,SUMIF(Kalkulation!$A$6:$A$40,Kasse!H$5&amp;"*",Kalkulation!$C$6:$C$40)*VLOOKUP($A21,Bestellungen!$6:$1048576,MATCH(Kasse!H$5,Bestellungen!$A$5:$X$5,0),0),"")</f>
        <v/>
      </c>
      <c r="I21" s="26" t="str">
        <f>IF(ISERROR(VLOOKUP($A21,Bestellungen!$6:$1048576,MATCH(Kasse!I$5,Bestellungen!$A$5:$X$5,0),0))=FALSE,SUMIF(Kalkulation!$A$6:$A$40,Kasse!I$5&amp;"*",Kalkulation!$C$6:$C$40)*VLOOKUP($A21,Bestellungen!$6:$1048576,MATCH(Kasse!I$5,Bestellungen!$A$5:$X$5,0),0),"")</f>
        <v/>
      </c>
      <c r="J21" s="26" t="str">
        <f>IF(ISERROR(VLOOKUP($A21,Bestellungen!$6:$1048576,MATCH(Kasse!J$5,Bestellungen!$A$5:$X$5,0),0))=FALSE,SUMIF(Kalkulation!$A$6:$A$40,Kasse!J$5&amp;"*",Kalkulation!$C$6:$C$40)*VLOOKUP($A21,Bestellungen!$6:$1048576,MATCH(Kasse!J$5,Bestellungen!$A$5:$X$5,0),0),"")</f>
        <v/>
      </c>
      <c r="K21" s="26" t="str">
        <f>IF(ISERROR(VLOOKUP($A21,Bestellungen!$6:$1048576,MATCH(Kasse!K$5,Bestellungen!$A$5:$X$5,0),0))=FALSE,SUMIF(Kalkulation!$A$6:$A$40,Kasse!K$5&amp;"*",Kalkulation!$C$6:$C$40)*VLOOKUP($A21,Bestellungen!$6:$1048576,MATCH(Kasse!K$5,Bestellungen!$A$5:$X$5,0),0),"")</f>
        <v/>
      </c>
      <c r="L21" s="26" t="str">
        <f>IF(ISERROR(VLOOKUP($A21,Bestellungen!$6:$1048576,MATCH(Kasse!L$5,Bestellungen!$A$5:$X$5,0),0))=FALSE,SUMIF(Kalkulation!$A$6:$A$40,Kasse!L$5&amp;"*",Kalkulation!$C$6:$C$40)*VLOOKUP($A21,Bestellungen!$6:$1048576,MATCH(Kasse!L$5,Bestellungen!$A$5:$X$5,0),0),"")</f>
        <v/>
      </c>
      <c r="M21" s="26" t="str">
        <f>IF(ISERROR(VLOOKUP($A21,Bestellungen!$6:$1048576,MATCH(Kasse!M$5,Bestellungen!$A$5:$X$5,0),0))=FALSE,SUMIF(Kalkulation!$A$6:$A$40,Kasse!M$5&amp;"*",Kalkulation!$C$6:$C$40)*VLOOKUP($A21,Bestellungen!$6:$1048576,MATCH(Kasse!M$5,Bestellungen!$A$5:$X$5,0),0),"")</f>
        <v/>
      </c>
      <c r="N21" s="26" t="str">
        <f>IF(ISERROR(VLOOKUP($A21,Bestellungen!$6:$1048576,MATCH(Kasse!N$5,Bestellungen!$A$5:$X$5,0),0))=FALSE,SUMIF(Kalkulation!$A$6:$A$40,Kasse!N$5&amp;"*",Kalkulation!$C$6:$C$40)*VLOOKUP($A21,Bestellungen!$6:$1048576,MATCH(Kasse!N$5,Bestellungen!$A$5:$X$5,0),0),"")</f>
        <v/>
      </c>
      <c r="O21" s="26" t="str">
        <f>IF(ISERROR(VLOOKUP($A21,Bestellungen!$6:$1048576,MATCH(Kasse!O$5,Bestellungen!$A$5:$X$5,0),0))=FALSE,SUMIF(Kalkulation!$A$6:$A$40,Kasse!O$5&amp;"*",Kalkulation!$C$6:$C$40)*VLOOKUP($A21,Bestellungen!$6:$1048576,MATCH(Kasse!O$5,Bestellungen!$A$5:$X$5,0),0),"")</f>
        <v/>
      </c>
      <c r="P21" s="26" t="str">
        <f>IF(ISERROR(VLOOKUP($A21,Bestellungen!$6:$1048576,MATCH(Kasse!P$5,Bestellungen!$A$5:$X$5,0),0))=FALSE,SUMIF(Kalkulation!$A$6:$A$40,Kasse!P$5&amp;"*",Kalkulation!$C$6:$C$40)*VLOOKUP($A21,Bestellungen!$6:$1048576,MATCH(Kasse!P$5,Bestellungen!$A$5:$X$5,0),0),"")</f>
        <v/>
      </c>
      <c r="Q21" s="26" t="str">
        <f>IF(ISERROR(VLOOKUP($A21,Bestellungen!$6:$1048576,MATCH(Kasse!Q$5,Bestellungen!$A$5:$X$5,0),0))=FALSE,SUMIF(Kalkulation!$A$6:$A$40,Kasse!Q$5&amp;"*",Kalkulation!$C$6:$C$40)*VLOOKUP($A21,Bestellungen!$6:$1048576,MATCH(Kasse!Q$5,Bestellungen!$A$5:$X$5,0),0),"")</f>
        <v/>
      </c>
      <c r="R21" s="26" t="str">
        <f>IF(ISERROR(VLOOKUP($A21,Bestellungen!$6:$1048576,MATCH(Kasse!R$5,Bestellungen!$A$5:$X$5,0),0))=FALSE,SUMIF(Kalkulation!$A$6:$A$40,Kasse!R$5&amp;"*",Kalkulation!$C$6:$C$40)*VLOOKUP($A21,Bestellungen!$6:$1048576,MATCH(Kasse!R$5,Bestellungen!$A$5:$X$5,0),0),"")</f>
        <v/>
      </c>
      <c r="S21" s="26" t="str">
        <f>IF(ISERROR(VLOOKUP($A21,Bestellungen!$6:$1048576,MATCH(Kasse!S$5,Bestellungen!$A$5:$X$5,0),0))=FALSE,SUMIF(Kalkulation!$A$6:$A$40,Kasse!S$5&amp;"*",Kalkulation!$C$6:$C$40)*VLOOKUP($A21,Bestellungen!$6:$1048576,MATCH(Kasse!S$5,Bestellungen!$A$5:$X$5,0),0),"")</f>
        <v/>
      </c>
      <c r="T21" s="26" t="str">
        <f>IF(ISERROR(VLOOKUP($A21,Bestellungen!$6:$1048576,MATCH(Kasse!T$5,Bestellungen!$A$5:$X$5,0),0))=FALSE,SUMIF(Kalkulation!$A$6:$A$40,Kasse!T$5&amp;"*",Kalkulation!$C$6:$C$40)*VLOOKUP($A21,Bestellungen!$6:$1048576,MATCH(Kasse!T$5,Bestellungen!$A$5:$X$5,0),0),"")</f>
        <v/>
      </c>
      <c r="U21" s="26" t="str">
        <f t="shared" si="0"/>
        <v/>
      </c>
      <c r="W21" s="26" t="str">
        <f t="shared" si="1"/>
        <v/>
      </c>
      <c r="X21" s="26"/>
      <c r="Y21" s="26"/>
      <c r="Z21" s="26"/>
      <c r="AA21" s="26"/>
    </row>
    <row r="22" spans="1:27" x14ac:dyDescent="0.25">
      <c r="A22" t="str">
        <f>IF(LEN(Bestellungen!$A22)&gt;0,Bestellungen!$A22,"")</f>
        <v/>
      </c>
      <c r="B22" s="26" t="str">
        <f>IF(ISERROR(VLOOKUP($A22,Bestellungen!$6:$1048576,MATCH(Kasse!B$5,Bestellungen!$A$5:$X$5,0),0))=FALSE,SUMIF(Kalkulation!$A$6:$A$40,Kasse!B$5&amp;"*",Kalkulation!$C$6:$C$40)*VLOOKUP($A22,Bestellungen!$6:$1048576,MATCH(Kasse!B$5,Bestellungen!$A$5:$X$5,0),0),"")</f>
        <v/>
      </c>
      <c r="C22" s="26" t="str">
        <f>IF(ISERROR(VLOOKUP($A22,Bestellungen!$6:$1048576,MATCH(Kasse!C$5,Bestellungen!$A$5:$X$5,0),0))=FALSE,SUMIF(Kalkulation!$A$6:$A$40,Kasse!C$5&amp;"*",Kalkulation!$C$6:$C$40)*VLOOKUP($A22,Bestellungen!$6:$1048576,MATCH(Kasse!C$5,Bestellungen!$A$5:$X$5,0),0),"")</f>
        <v/>
      </c>
      <c r="D22" s="26" t="str">
        <f>IF(ISERROR(VLOOKUP($A22,Bestellungen!$6:$1048576,MATCH(Kasse!D$5,Bestellungen!$A$5:$X$5,0),0))=FALSE,SUMIF(Kalkulation!$A$6:$A$40,Kasse!D$5&amp;"*",Kalkulation!$C$6:$C$40)*VLOOKUP($A22,Bestellungen!$6:$1048576,MATCH(Kasse!D$5,Bestellungen!$A$5:$X$5,0),0),"")</f>
        <v/>
      </c>
      <c r="E22" s="26" t="str">
        <f>IF(ISERROR(VLOOKUP($A22,Bestellungen!$6:$1048576,MATCH(Kasse!E$5,Bestellungen!$A$5:$X$5,0),0))=FALSE,SUMIF(Kalkulation!$A$6:$A$40,Kasse!E$5&amp;"*",Kalkulation!$C$6:$C$40)*VLOOKUP($A22,Bestellungen!$6:$1048576,MATCH(Kasse!E$5,Bestellungen!$A$5:$X$5,0),0),"")</f>
        <v/>
      </c>
      <c r="F22" s="26" t="str">
        <f>IF(ISERROR(VLOOKUP($A22,Bestellungen!$6:$1048576,MATCH(Kasse!F$5,Bestellungen!$A$5:$X$5,0),0))=FALSE,SUMIF(Kalkulation!$A$6:$A$40,Kasse!F$5&amp;"*",Kalkulation!$C$6:$C$40)*VLOOKUP($A22,Bestellungen!$6:$1048576,MATCH(Kasse!F$5,Bestellungen!$A$5:$X$5,0),0),"")</f>
        <v/>
      </c>
      <c r="G22" s="26" t="str">
        <f>IF(ISERROR(VLOOKUP($A22,Bestellungen!$6:$1048576,MATCH(Kasse!G$5,Bestellungen!$A$5:$X$5,0),0))=FALSE,SUMIF(Kalkulation!$A$6:$A$40,Kasse!G$5&amp;"*",Kalkulation!$C$6:$C$40)*VLOOKUP($A22,Bestellungen!$6:$1048576,MATCH(Kasse!G$5,Bestellungen!$A$5:$X$5,0),0),"")</f>
        <v/>
      </c>
      <c r="H22" s="26" t="str">
        <f>IF(ISERROR(VLOOKUP($A22,Bestellungen!$6:$1048576,MATCH(Kasse!H$5,Bestellungen!$A$5:$X$5,0),0))=FALSE,SUMIF(Kalkulation!$A$6:$A$40,Kasse!H$5&amp;"*",Kalkulation!$C$6:$C$40)*VLOOKUP($A22,Bestellungen!$6:$1048576,MATCH(Kasse!H$5,Bestellungen!$A$5:$X$5,0),0),"")</f>
        <v/>
      </c>
      <c r="I22" s="26" t="str">
        <f>IF(ISERROR(VLOOKUP($A22,Bestellungen!$6:$1048576,MATCH(Kasse!I$5,Bestellungen!$A$5:$X$5,0),0))=FALSE,SUMIF(Kalkulation!$A$6:$A$40,Kasse!I$5&amp;"*",Kalkulation!$C$6:$C$40)*VLOOKUP($A22,Bestellungen!$6:$1048576,MATCH(Kasse!I$5,Bestellungen!$A$5:$X$5,0),0),"")</f>
        <v/>
      </c>
      <c r="J22" s="26" t="str">
        <f>IF(ISERROR(VLOOKUP($A22,Bestellungen!$6:$1048576,MATCH(Kasse!J$5,Bestellungen!$A$5:$X$5,0),0))=FALSE,SUMIF(Kalkulation!$A$6:$A$40,Kasse!J$5&amp;"*",Kalkulation!$C$6:$C$40)*VLOOKUP($A22,Bestellungen!$6:$1048576,MATCH(Kasse!J$5,Bestellungen!$A$5:$X$5,0),0),"")</f>
        <v/>
      </c>
      <c r="K22" s="26" t="str">
        <f>IF(ISERROR(VLOOKUP($A22,Bestellungen!$6:$1048576,MATCH(Kasse!K$5,Bestellungen!$A$5:$X$5,0),0))=FALSE,SUMIF(Kalkulation!$A$6:$A$40,Kasse!K$5&amp;"*",Kalkulation!$C$6:$C$40)*VLOOKUP($A22,Bestellungen!$6:$1048576,MATCH(Kasse!K$5,Bestellungen!$A$5:$X$5,0),0),"")</f>
        <v/>
      </c>
      <c r="L22" s="26" t="str">
        <f>IF(ISERROR(VLOOKUP($A22,Bestellungen!$6:$1048576,MATCH(Kasse!L$5,Bestellungen!$A$5:$X$5,0),0))=FALSE,SUMIF(Kalkulation!$A$6:$A$40,Kasse!L$5&amp;"*",Kalkulation!$C$6:$C$40)*VLOOKUP($A22,Bestellungen!$6:$1048576,MATCH(Kasse!L$5,Bestellungen!$A$5:$X$5,0),0),"")</f>
        <v/>
      </c>
      <c r="M22" s="26" t="str">
        <f>IF(ISERROR(VLOOKUP($A22,Bestellungen!$6:$1048576,MATCH(Kasse!M$5,Bestellungen!$A$5:$X$5,0),0))=FALSE,SUMIF(Kalkulation!$A$6:$A$40,Kasse!M$5&amp;"*",Kalkulation!$C$6:$C$40)*VLOOKUP($A22,Bestellungen!$6:$1048576,MATCH(Kasse!M$5,Bestellungen!$A$5:$X$5,0),0),"")</f>
        <v/>
      </c>
      <c r="N22" s="26" t="str">
        <f>IF(ISERROR(VLOOKUP($A22,Bestellungen!$6:$1048576,MATCH(Kasse!N$5,Bestellungen!$A$5:$X$5,0),0))=FALSE,SUMIF(Kalkulation!$A$6:$A$40,Kasse!N$5&amp;"*",Kalkulation!$C$6:$C$40)*VLOOKUP($A22,Bestellungen!$6:$1048576,MATCH(Kasse!N$5,Bestellungen!$A$5:$X$5,0),0),"")</f>
        <v/>
      </c>
      <c r="O22" s="26" t="str">
        <f>IF(ISERROR(VLOOKUP($A22,Bestellungen!$6:$1048576,MATCH(Kasse!O$5,Bestellungen!$A$5:$X$5,0),0))=FALSE,SUMIF(Kalkulation!$A$6:$A$40,Kasse!O$5&amp;"*",Kalkulation!$C$6:$C$40)*VLOOKUP($A22,Bestellungen!$6:$1048576,MATCH(Kasse!O$5,Bestellungen!$A$5:$X$5,0),0),"")</f>
        <v/>
      </c>
      <c r="P22" s="26" t="str">
        <f>IF(ISERROR(VLOOKUP($A22,Bestellungen!$6:$1048576,MATCH(Kasse!P$5,Bestellungen!$A$5:$X$5,0),0))=FALSE,SUMIF(Kalkulation!$A$6:$A$40,Kasse!P$5&amp;"*",Kalkulation!$C$6:$C$40)*VLOOKUP($A22,Bestellungen!$6:$1048576,MATCH(Kasse!P$5,Bestellungen!$A$5:$X$5,0),0),"")</f>
        <v/>
      </c>
      <c r="Q22" s="26" t="str">
        <f>IF(ISERROR(VLOOKUP($A22,Bestellungen!$6:$1048576,MATCH(Kasse!Q$5,Bestellungen!$A$5:$X$5,0),0))=FALSE,SUMIF(Kalkulation!$A$6:$A$40,Kasse!Q$5&amp;"*",Kalkulation!$C$6:$C$40)*VLOOKUP($A22,Bestellungen!$6:$1048576,MATCH(Kasse!Q$5,Bestellungen!$A$5:$X$5,0),0),"")</f>
        <v/>
      </c>
      <c r="R22" s="26" t="str">
        <f>IF(ISERROR(VLOOKUP($A22,Bestellungen!$6:$1048576,MATCH(Kasse!R$5,Bestellungen!$A$5:$X$5,0),0))=FALSE,SUMIF(Kalkulation!$A$6:$A$40,Kasse!R$5&amp;"*",Kalkulation!$C$6:$C$40)*VLOOKUP($A22,Bestellungen!$6:$1048576,MATCH(Kasse!R$5,Bestellungen!$A$5:$X$5,0),0),"")</f>
        <v/>
      </c>
      <c r="S22" s="26" t="str">
        <f>IF(ISERROR(VLOOKUP($A22,Bestellungen!$6:$1048576,MATCH(Kasse!S$5,Bestellungen!$A$5:$X$5,0),0))=FALSE,SUMIF(Kalkulation!$A$6:$A$40,Kasse!S$5&amp;"*",Kalkulation!$C$6:$C$40)*VLOOKUP($A22,Bestellungen!$6:$1048576,MATCH(Kasse!S$5,Bestellungen!$A$5:$X$5,0),0),"")</f>
        <v/>
      </c>
      <c r="T22" s="26" t="str">
        <f>IF(ISERROR(VLOOKUP($A22,Bestellungen!$6:$1048576,MATCH(Kasse!T$5,Bestellungen!$A$5:$X$5,0),0))=FALSE,SUMIF(Kalkulation!$A$6:$A$40,Kasse!T$5&amp;"*",Kalkulation!$C$6:$C$40)*VLOOKUP($A22,Bestellungen!$6:$1048576,MATCH(Kasse!T$5,Bestellungen!$A$5:$X$5,0),0),"")</f>
        <v/>
      </c>
      <c r="U22" s="26" t="str">
        <f t="shared" si="0"/>
        <v/>
      </c>
      <c r="W22" s="26" t="str">
        <f t="shared" si="1"/>
        <v/>
      </c>
      <c r="X22" s="26"/>
      <c r="Y22" s="26"/>
      <c r="Z22" s="26"/>
      <c r="AA22" s="26"/>
    </row>
    <row r="23" spans="1:27" x14ac:dyDescent="0.25">
      <c r="A23" t="str">
        <f>IF(LEN(Bestellungen!$A23)&gt;0,Bestellungen!$A23,"")</f>
        <v/>
      </c>
      <c r="B23" s="26" t="str">
        <f>IF(ISERROR(VLOOKUP($A23,Bestellungen!$6:$1048576,MATCH(Kasse!B$5,Bestellungen!$A$5:$X$5,0),0))=FALSE,SUMIF(Kalkulation!$A$6:$A$40,Kasse!B$5&amp;"*",Kalkulation!$C$6:$C$40)*VLOOKUP($A23,Bestellungen!$6:$1048576,MATCH(Kasse!B$5,Bestellungen!$A$5:$X$5,0),0),"")</f>
        <v/>
      </c>
      <c r="C23" s="26" t="str">
        <f>IF(ISERROR(VLOOKUP($A23,Bestellungen!$6:$1048576,MATCH(Kasse!C$5,Bestellungen!$A$5:$X$5,0),0))=FALSE,SUMIF(Kalkulation!$A$6:$A$40,Kasse!C$5&amp;"*",Kalkulation!$C$6:$C$40)*VLOOKUP($A23,Bestellungen!$6:$1048576,MATCH(Kasse!C$5,Bestellungen!$A$5:$X$5,0),0),"")</f>
        <v/>
      </c>
      <c r="D23" s="26" t="str">
        <f>IF(ISERROR(VLOOKUP($A23,Bestellungen!$6:$1048576,MATCH(Kasse!D$5,Bestellungen!$A$5:$X$5,0),0))=FALSE,SUMIF(Kalkulation!$A$6:$A$40,Kasse!D$5&amp;"*",Kalkulation!$C$6:$C$40)*VLOOKUP($A23,Bestellungen!$6:$1048576,MATCH(Kasse!D$5,Bestellungen!$A$5:$X$5,0),0),"")</f>
        <v/>
      </c>
      <c r="E23" s="26" t="str">
        <f>IF(ISERROR(VLOOKUP($A23,Bestellungen!$6:$1048576,MATCH(Kasse!E$5,Bestellungen!$A$5:$X$5,0),0))=FALSE,SUMIF(Kalkulation!$A$6:$A$40,Kasse!E$5&amp;"*",Kalkulation!$C$6:$C$40)*VLOOKUP($A23,Bestellungen!$6:$1048576,MATCH(Kasse!E$5,Bestellungen!$A$5:$X$5,0),0),"")</f>
        <v/>
      </c>
      <c r="F23" s="26" t="str">
        <f>IF(ISERROR(VLOOKUP($A23,Bestellungen!$6:$1048576,MATCH(Kasse!F$5,Bestellungen!$A$5:$X$5,0),0))=FALSE,SUMIF(Kalkulation!$A$6:$A$40,Kasse!F$5&amp;"*",Kalkulation!$C$6:$C$40)*VLOOKUP($A23,Bestellungen!$6:$1048576,MATCH(Kasse!F$5,Bestellungen!$A$5:$X$5,0),0),"")</f>
        <v/>
      </c>
      <c r="G23" s="26" t="str">
        <f>IF(ISERROR(VLOOKUP($A23,Bestellungen!$6:$1048576,MATCH(Kasse!G$5,Bestellungen!$A$5:$X$5,0),0))=FALSE,SUMIF(Kalkulation!$A$6:$A$40,Kasse!G$5&amp;"*",Kalkulation!$C$6:$C$40)*VLOOKUP($A23,Bestellungen!$6:$1048576,MATCH(Kasse!G$5,Bestellungen!$A$5:$X$5,0),0),"")</f>
        <v/>
      </c>
      <c r="H23" s="26" t="str">
        <f>IF(ISERROR(VLOOKUP($A23,Bestellungen!$6:$1048576,MATCH(Kasse!H$5,Bestellungen!$A$5:$X$5,0),0))=FALSE,SUMIF(Kalkulation!$A$6:$A$40,Kasse!H$5&amp;"*",Kalkulation!$C$6:$C$40)*VLOOKUP($A23,Bestellungen!$6:$1048576,MATCH(Kasse!H$5,Bestellungen!$A$5:$X$5,0),0),"")</f>
        <v/>
      </c>
      <c r="I23" s="26" t="str">
        <f>IF(ISERROR(VLOOKUP($A23,Bestellungen!$6:$1048576,MATCH(Kasse!I$5,Bestellungen!$A$5:$X$5,0),0))=FALSE,SUMIF(Kalkulation!$A$6:$A$40,Kasse!I$5&amp;"*",Kalkulation!$C$6:$C$40)*VLOOKUP($A23,Bestellungen!$6:$1048576,MATCH(Kasse!I$5,Bestellungen!$A$5:$X$5,0),0),"")</f>
        <v/>
      </c>
      <c r="J23" s="26" t="str">
        <f>IF(ISERROR(VLOOKUP($A23,Bestellungen!$6:$1048576,MATCH(Kasse!J$5,Bestellungen!$A$5:$X$5,0),0))=FALSE,SUMIF(Kalkulation!$A$6:$A$40,Kasse!J$5&amp;"*",Kalkulation!$C$6:$C$40)*VLOOKUP($A23,Bestellungen!$6:$1048576,MATCH(Kasse!J$5,Bestellungen!$A$5:$X$5,0),0),"")</f>
        <v/>
      </c>
      <c r="K23" s="26" t="str">
        <f>IF(ISERROR(VLOOKUP($A23,Bestellungen!$6:$1048576,MATCH(Kasse!K$5,Bestellungen!$A$5:$X$5,0),0))=FALSE,SUMIF(Kalkulation!$A$6:$A$40,Kasse!K$5&amp;"*",Kalkulation!$C$6:$C$40)*VLOOKUP($A23,Bestellungen!$6:$1048576,MATCH(Kasse!K$5,Bestellungen!$A$5:$X$5,0),0),"")</f>
        <v/>
      </c>
      <c r="L23" s="26" t="str">
        <f>IF(ISERROR(VLOOKUP($A23,Bestellungen!$6:$1048576,MATCH(Kasse!L$5,Bestellungen!$A$5:$X$5,0),0))=FALSE,SUMIF(Kalkulation!$A$6:$A$40,Kasse!L$5&amp;"*",Kalkulation!$C$6:$C$40)*VLOOKUP($A23,Bestellungen!$6:$1048576,MATCH(Kasse!L$5,Bestellungen!$A$5:$X$5,0),0),"")</f>
        <v/>
      </c>
      <c r="M23" s="26" t="str">
        <f>IF(ISERROR(VLOOKUP($A23,Bestellungen!$6:$1048576,MATCH(Kasse!M$5,Bestellungen!$A$5:$X$5,0),0))=FALSE,SUMIF(Kalkulation!$A$6:$A$40,Kasse!M$5&amp;"*",Kalkulation!$C$6:$C$40)*VLOOKUP($A23,Bestellungen!$6:$1048576,MATCH(Kasse!M$5,Bestellungen!$A$5:$X$5,0),0),"")</f>
        <v/>
      </c>
      <c r="N23" s="26" t="str">
        <f>IF(ISERROR(VLOOKUP($A23,Bestellungen!$6:$1048576,MATCH(Kasse!N$5,Bestellungen!$A$5:$X$5,0),0))=FALSE,SUMIF(Kalkulation!$A$6:$A$40,Kasse!N$5&amp;"*",Kalkulation!$C$6:$C$40)*VLOOKUP($A23,Bestellungen!$6:$1048576,MATCH(Kasse!N$5,Bestellungen!$A$5:$X$5,0),0),"")</f>
        <v/>
      </c>
      <c r="O23" s="26" t="str">
        <f>IF(ISERROR(VLOOKUP($A23,Bestellungen!$6:$1048576,MATCH(Kasse!O$5,Bestellungen!$A$5:$X$5,0),0))=FALSE,SUMIF(Kalkulation!$A$6:$A$40,Kasse!O$5&amp;"*",Kalkulation!$C$6:$C$40)*VLOOKUP($A23,Bestellungen!$6:$1048576,MATCH(Kasse!O$5,Bestellungen!$A$5:$X$5,0),0),"")</f>
        <v/>
      </c>
      <c r="P23" s="26" t="str">
        <f>IF(ISERROR(VLOOKUP($A23,Bestellungen!$6:$1048576,MATCH(Kasse!P$5,Bestellungen!$A$5:$X$5,0),0))=FALSE,SUMIF(Kalkulation!$A$6:$A$40,Kasse!P$5&amp;"*",Kalkulation!$C$6:$C$40)*VLOOKUP($A23,Bestellungen!$6:$1048576,MATCH(Kasse!P$5,Bestellungen!$A$5:$X$5,0),0),"")</f>
        <v/>
      </c>
      <c r="Q23" s="26" t="str">
        <f>IF(ISERROR(VLOOKUP($A23,Bestellungen!$6:$1048576,MATCH(Kasse!Q$5,Bestellungen!$A$5:$X$5,0),0))=FALSE,SUMIF(Kalkulation!$A$6:$A$40,Kasse!Q$5&amp;"*",Kalkulation!$C$6:$C$40)*VLOOKUP($A23,Bestellungen!$6:$1048576,MATCH(Kasse!Q$5,Bestellungen!$A$5:$X$5,0),0),"")</f>
        <v/>
      </c>
      <c r="R23" s="26" t="str">
        <f>IF(ISERROR(VLOOKUP($A23,Bestellungen!$6:$1048576,MATCH(Kasse!R$5,Bestellungen!$A$5:$X$5,0),0))=FALSE,SUMIF(Kalkulation!$A$6:$A$40,Kasse!R$5&amp;"*",Kalkulation!$C$6:$C$40)*VLOOKUP($A23,Bestellungen!$6:$1048576,MATCH(Kasse!R$5,Bestellungen!$A$5:$X$5,0),0),"")</f>
        <v/>
      </c>
      <c r="S23" s="26" t="str">
        <f>IF(ISERROR(VLOOKUP($A23,Bestellungen!$6:$1048576,MATCH(Kasse!S$5,Bestellungen!$A$5:$X$5,0),0))=FALSE,SUMIF(Kalkulation!$A$6:$A$40,Kasse!S$5&amp;"*",Kalkulation!$C$6:$C$40)*VLOOKUP($A23,Bestellungen!$6:$1048576,MATCH(Kasse!S$5,Bestellungen!$A$5:$X$5,0),0),"")</f>
        <v/>
      </c>
      <c r="T23" s="26" t="str">
        <f>IF(ISERROR(VLOOKUP($A23,Bestellungen!$6:$1048576,MATCH(Kasse!T$5,Bestellungen!$A$5:$X$5,0),0))=FALSE,SUMIF(Kalkulation!$A$6:$A$40,Kasse!T$5&amp;"*",Kalkulation!$C$6:$C$40)*VLOOKUP($A23,Bestellungen!$6:$1048576,MATCH(Kasse!T$5,Bestellungen!$A$5:$X$5,0),0),"")</f>
        <v/>
      </c>
      <c r="U23" s="26" t="str">
        <f t="shared" si="0"/>
        <v/>
      </c>
      <c r="W23" s="26" t="str">
        <f t="shared" si="1"/>
        <v/>
      </c>
      <c r="X23" s="26"/>
      <c r="Y23" s="26"/>
      <c r="Z23" s="26"/>
      <c r="AA23" s="26"/>
    </row>
    <row r="24" spans="1:27" x14ac:dyDescent="0.25">
      <c r="A24" t="str">
        <f>IF(LEN(Bestellungen!$A24)&gt;0,Bestellungen!$A24,"")</f>
        <v/>
      </c>
      <c r="B24" s="26" t="str">
        <f>IF(ISERROR(VLOOKUP($A24,Bestellungen!$6:$1048576,MATCH(Kasse!B$5,Bestellungen!$A$5:$X$5,0),0))=FALSE,SUMIF(Kalkulation!$A$6:$A$40,Kasse!B$5&amp;"*",Kalkulation!$C$6:$C$40)*VLOOKUP($A24,Bestellungen!$6:$1048576,MATCH(Kasse!B$5,Bestellungen!$A$5:$X$5,0),0),"")</f>
        <v/>
      </c>
      <c r="C24" s="26" t="str">
        <f>IF(ISERROR(VLOOKUP($A24,Bestellungen!$6:$1048576,MATCH(Kasse!C$5,Bestellungen!$A$5:$X$5,0),0))=FALSE,SUMIF(Kalkulation!$A$6:$A$40,Kasse!C$5&amp;"*",Kalkulation!$C$6:$C$40)*VLOOKUP($A24,Bestellungen!$6:$1048576,MATCH(Kasse!C$5,Bestellungen!$A$5:$X$5,0),0),"")</f>
        <v/>
      </c>
      <c r="D24" s="26" t="str">
        <f>IF(ISERROR(VLOOKUP($A24,Bestellungen!$6:$1048576,MATCH(Kasse!D$5,Bestellungen!$A$5:$X$5,0),0))=FALSE,SUMIF(Kalkulation!$A$6:$A$40,Kasse!D$5&amp;"*",Kalkulation!$C$6:$C$40)*VLOOKUP($A24,Bestellungen!$6:$1048576,MATCH(Kasse!D$5,Bestellungen!$A$5:$X$5,0),0),"")</f>
        <v/>
      </c>
      <c r="E24" s="26" t="str">
        <f>IF(ISERROR(VLOOKUP($A24,Bestellungen!$6:$1048576,MATCH(Kasse!E$5,Bestellungen!$A$5:$X$5,0),0))=FALSE,SUMIF(Kalkulation!$A$6:$A$40,Kasse!E$5&amp;"*",Kalkulation!$C$6:$C$40)*VLOOKUP($A24,Bestellungen!$6:$1048576,MATCH(Kasse!E$5,Bestellungen!$A$5:$X$5,0),0),"")</f>
        <v/>
      </c>
      <c r="F24" s="26" t="str">
        <f>IF(ISERROR(VLOOKUP($A24,Bestellungen!$6:$1048576,MATCH(Kasse!F$5,Bestellungen!$A$5:$X$5,0),0))=FALSE,SUMIF(Kalkulation!$A$6:$A$40,Kasse!F$5&amp;"*",Kalkulation!$C$6:$C$40)*VLOOKUP($A24,Bestellungen!$6:$1048576,MATCH(Kasse!F$5,Bestellungen!$A$5:$X$5,0),0),"")</f>
        <v/>
      </c>
      <c r="G24" s="26" t="str">
        <f>IF(ISERROR(VLOOKUP($A24,Bestellungen!$6:$1048576,MATCH(Kasse!G$5,Bestellungen!$A$5:$X$5,0),0))=FALSE,SUMIF(Kalkulation!$A$6:$A$40,Kasse!G$5&amp;"*",Kalkulation!$C$6:$C$40)*VLOOKUP($A24,Bestellungen!$6:$1048576,MATCH(Kasse!G$5,Bestellungen!$A$5:$X$5,0),0),"")</f>
        <v/>
      </c>
      <c r="H24" s="26" t="str">
        <f>IF(ISERROR(VLOOKUP($A24,Bestellungen!$6:$1048576,MATCH(Kasse!H$5,Bestellungen!$A$5:$X$5,0),0))=FALSE,SUMIF(Kalkulation!$A$6:$A$40,Kasse!H$5&amp;"*",Kalkulation!$C$6:$C$40)*VLOOKUP($A24,Bestellungen!$6:$1048576,MATCH(Kasse!H$5,Bestellungen!$A$5:$X$5,0),0),"")</f>
        <v/>
      </c>
      <c r="I24" s="26" t="str">
        <f>IF(ISERROR(VLOOKUP($A24,Bestellungen!$6:$1048576,MATCH(Kasse!I$5,Bestellungen!$A$5:$X$5,0),0))=FALSE,SUMIF(Kalkulation!$A$6:$A$40,Kasse!I$5&amp;"*",Kalkulation!$C$6:$C$40)*VLOOKUP($A24,Bestellungen!$6:$1048576,MATCH(Kasse!I$5,Bestellungen!$A$5:$X$5,0),0),"")</f>
        <v/>
      </c>
      <c r="J24" s="26" t="str">
        <f>IF(ISERROR(VLOOKUP($A24,Bestellungen!$6:$1048576,MATCH(Kasse!J$5,Bestellungen!$A$5:$X$5,0),0))=FALSE,SUMIF(Kalkulation!$A$6:$A$40,Kasse!J$5&amp;"*",Kalkulation!$C$6:$C$40)*VLOOKUP($A24,Bestellungen!$6:$1048576,MATCH(Kasse!J$5,Bestellungen!$A$5:$X$5,0),0),"")</f>
        <v/>
      </c>
      <c r="K24" s="26" t="str">
        <f>IF(ISERROR(VLOOKUP($A24,Bestellungen!$6:$1048576,MATCH(Kasse!K$5,Bestellungen!$A$5:$X$5,0),0))=FALSE,SUMIF(Kalkulation!$A$6:$A$40,Kasse!K$5&amp;"*",Kalkulation!$C$6:$C$40)*VLOOKUP($A24,Bestellungen!$6:$1048576,MATCH(Kasse!K$5,Bestellungen!$A$5:$X$5,0),0),"")</f>
        <v/>
      </c>
      <c r="L24" s="26" t="str">
        <f>IF(ISERROR(VLOOKUP($A24,Bestellungen!$6:$1048576,MATCH(Kasse!L$5,Bestellungen!$A$5:$X$5,0),0))=FALSE,SUMIF(Kalkulation!$A$6:$A$40,Kasse!L$5&amp;"*",Kalkulation!$C$6:$C$40)*VLOOKUP($A24,Bestellungen!$6:$1048576,MATCH(Kasse!L$5,Bestellungen!$A$5:$X$5,0),0),"")</f>
        <v/>
      </c>
      <c r="M24" s="26" t="str">
        <f>IF(ISERROR(VLOOKUP($A24,Bestellungen!$6:$1048576,MATCH(Kasse!M$5,Bestellungen!$A$5:$X$5,0),0))=FALSE,SUMIF(Kalkulation!$A$6:$A$40,Kasse!M$5&amp;"*",Kalkulation!$C$6:$C$40)*VLOOKUP($A24,Bestellungen!$6:$1048576,MATCH(Kasse!M$5,Bestellungen!$A$5:$X$5,0),0),"")</f>
        <v/>
      </c>
      <c r="N24" s="26" t="str">
        <f>IF(ISERROR(VLOOKUP($A24,Bestellungen!$6:$1048576,MATCH(Kasse!N$5,Bestellungen!$A$5:$X$5,0),0))=FALSE,SUMIF(Kalkulation!$A$6:$A$40,Kasse!N$5&amp;"*",Kalkulation!$C$6:$C$40)*VLOOKUP($A24,Bestellungen!$6:$1048576,MATCH(Kasse!N$5,Bestellungen!$A$5:$X$5,0),0),"")</f>
        <v/>
      </c>
      <c r="O24" s="26" t="str">
        <f>IF(ISERROR(VLOOKUP($A24,Bestellungen!$6:$1048576,MATCH(Kasse!O$5,Bestellungen!$A$5:$X$5,0),0))=FALSE,SUMIF(Kalkulation!$A$6:$A$40,Kasse!O$5&amp;"*",Kalkulation!$C$6:$C$40)*VLOOKUP($A24,Bestellungen!$6:$1048576,MATCH(Kasse!O$5,Bestellungen!$A$5:$X$5,0),0),"")</f>
        <v/>
      </c>
      <c r="P24" s="26" t="str">
        <f>IF(ISERROR(VLOOKUP($A24,Bestellungen!$6:$1048576,MATCH(Kasse!P$5,Bestellungen!$A$5:$X$5,0),0))=FALSE,SUMIF(Kalkulation!$A$6:$A$40,Kasse!P$5&amp;"*",Kalkulation!$C$6:$C$40)*VLOOKUP($A24,Bestellungen!$6:$1048576,MATCH(Kasse!P$5,Bestellungen!$A$5:$X$5,0),0),"")</f>
        <v/>
      </c>
      <c r="Q24" s="26" t="str">
        <f>IF(ISERROR(VLOOKUP($A24,Bestellungen!$6:$1048576,MATCH(Kasse!Q$5,Bestellungen!$A$5:$X$5,0),0))=FALSE,SUMIF(Kalkulation!$A$6:$A$40,Kasse!Q$5&amp;"*",Kalkulation!$C$6:$C$40)*VLOOKUP($A24,Bestellungen!$6:$1048576,MATCH(Kasse!Q$5,Bestellungen!$A$5:$X$5,0),0),"")</f>
        <v/>
      </c>
      <c r="R24" s="26" t="str">
        <f>IF(ISERROR(VLOOKUP($A24,Bestellungen!$6:$1048576,MATCH(Kasse!R$5,Bestellungen!$A$5:$X$5,0),0))=FALSE,SUMIF(Kalkulation!$A$6:$A$40,Kasse!R$5&amp;"*",Kalkulation!$C$6:$C$40)*VLOOKUP($A24,Bestellungen!$6:$1048576,MATCH(Kasse!R$5,Bestellungen!$A$5:$X$5,0),0),"")</f>
        <v/>
      </c>
      <c r="S24" s="26" t="str">
        <f>IF(ISERROR(VLOOKUP($A24,Bestellungen!$6:$1048576,MATCH(Kasse!S$5,Bestellungen!$A$5:$X$5,0),0))=FALSE,SUMIF(Kalkulation!$A$6:$A$40,Kasse!S$5&amp;"*",Kalkulation!$C$6:$C$40)*VLOOKUP($A24,Bestellungen!$6:$1048576,MATCH(Kasse!S$5,Bestellungen!$A$5:$X$5,0),0),"")</f>
        <v/>
      </c>
      <c r="T24" s="26" t="str">
        <f>IF(ISERROR(VLOOKUP($A24,Bestellungen!$6:$1048576,MATCH(Kasse!T$5,Bestellungen!$A$5:$X$5,0),0))=FALSE,SUMIF(Kalkulation!$A$6:$A$40,Kasse!T$5&amp;"*",Kalkulation!$C$6:$C$40)*VLOOKUP($A24,Bestellungen!$6:$1048576,MATCH(Kasse!T$5,Bestellungen!$A$5:$X$5,0),0),"")</f>
        <v/>
      </c>
      <c r="U24" s="26" t="str">
        <f t="shared" si="0"/>
        <v/>
      </c>
      <c r="W24" s="26" t="str">
        <f t="shared" si="1"/>
        <v/>
      </c>
      <c r="X24" s="26"/>
      <c r="Y24" s="26"/>
      <c r="Z24" s="26"/>
      <c r="AA24" s="26"/>
    </row>
    <row r="25" spans="1:27" x14ac:dyDescent="0.25">
      <c r="A25" t="str">
        <f>IF(LEN(Bestellungen!$A25)&gt;0,Bestellungen!$A25,"")</f>
        <v/>
      </c>
      <c r="B25" s="26" t="str">
        <f>IF(ISERROR(VLOOKUP($A25,Bestellungen!$6:$1048576,MATCH(Kasse!B$5,Bestellungen!$A$5:$X$5,0),0))=FALSE,SUMIF(Kalkulation!$A$6:$A$40,Kasse!B$5&amp;"*",Kalkulation!$C$6:$C$40)*VLOOKUP($A25,Bestellungen!$6:$1048576,MATCH(Kasse!B$5,Bestellungen!$A$5:$X$5,0),0),"")</f>
        <v/>
      </c>
      <c r="C25" s="26" t="str">
        <f>IF(ISERROR(VLOOKUP($A25,Bestellungen!$6:$1048576,MATCH(Kasse!C$5,Bestellungen!$A$5:$X$5,0),0))=FALSE,SUMIF(Kalkulation!$A$6:$A$40,Kasse!C$5&amp;"*",Kalkulation!$C$6:$C$40)*VLOOKUP($A25,Bestellungen!$6:$1048576,MATCH(Kasse!C$5,Bestellungen!$A$5:$X$5,0),0),"")</f>
        <v/>
      </c>
      <c r="D25" s="26" t="str">
        <f>IF(ISERROR(VLOOKUP($A25,Bestellungen!$6:$1048576,MATCH(Kasse!D$5,Bestellungen!$A$5:$X$5,0),0))=FALSE,SUMIF(Kalkulation!$A$6:$A$40,Kasse!D$5&amp;"*",Kalkulation!$C$6:$C$40)*VLOOKUP($A25,Bestellungen!$6:$1048576,MATCH(Kasse!D$5,Bestellungen!$A$5:$X$5,0),0),"")</f>
        <v/>
      </c>
      <c r="E25" s="26" t="str">
        <f>IF(ISERROR(VLOOKUP($A25,Bestellungen!$6:$1048576,MATCH(Kasse!E$5,Bestellungen!$A$5:$X$5,0),0))=FALSE,SUMIF(Kalkulation!$A$6:$A$40,Kasse!E$5&amp;"*",Kalkulation!$C$6:$C$40)*VLOOKUP($A25,Bestellungen!$6:$1048576,MATCH(Kasse!E$5,Bestellungen!$A$5:$X$5,0),0),"")</f>
        <v/>
      </c>
      <c r="F25" s="26" t="str">
        <f>IF(ISERROR(VLOOKUP($A25,Bestellungen!$6:$1048576,MATCH(Kasse!F$5,Bestellungen!$A$5:$X$5,0),0))=FALSE,SUMIF(Kalkulation!$A$6:$A$40,Kasse!F$5&amp;"*",Kalkulation!$C$6:$C$40)*VLOOKUP($A25,Bestellungen!$6:$1048576,MATCH(Kasse!F$5,Bestellungen!$A$5:$X$5,0),0),"")</f>
        <v/>
      </c>
      <c r="G25" s="26" t="str">
        <f>IF(ISERROR(VLOOKUP($A25,Bestellungen!$6:$1048576,MATCH(Kasse!G$5,Bestellungen!$A$5:$X$5,0),0))=FALSE,SUMIF(Kalkulation!$A$6:$A$40,Kasse!G$5&amp;"*",Kalkulation!$C$6:$C$40)*VLOOKUP($A25,Bestellungen!$6:$1048576,MATCH(Kasse!G$5,Bestellungen!$A$5:$X$5,0),0),"")</f>
        <v/>
      </c>
      <c r="H25" s="26" t="str">
        <f>IF(ISERROR(VLOOKUP($A25,Bestellungen!$6:$1048576,MATCH(Kasse!H$5,Bestellungen!$A$5:$X$5,0),0))=FALSE,SUMIF(Kalkulation!$A$6:$A$40,Kasse!H$5&amp;"*",Kalkulation!$C$6:$C$40)*VLOOKUP($A25,Bestellungen!$6:$1048576,MATCH(Kasse!H$5,Bestellungen!$A$5:$X$5,0),0),"")</f>
        <v/>
      </c>
      <c r="I25" s="26" t="str">
        <f>IF(ISERROR(VLOOKUP($A25,Bestellungen!$6:$1048576,MATCH(Kasse!I$5,Bestellungen!$A$5:$X$5,0),0))=FALSE,SUMIF(Kalkulation!$A$6:$A$40,Kasse!I$5&amp;"*",Kalkulation!$C$6:$C$40)*VLOOKUP($A25,Bestellungen!$6:$1048576,MATCH(Kasse!I$5,Bestellungen!$A$5:$X$5,0),0),"")</f>
        <v/>
      </c>
      <c r="J25" s="26" t="str">
        <f>IF(ISERROR(VLOOKUP($A25,Bestellungen!$6:$1048576,MATCH(Kasse!J$5,Bestellungen!$A$5:$X$5,0),0))=FALSE,SUMIF(Kalkulation!$A$6:$A$40,Kasse!J$5&amp;"*",Kalkulation!$C$6:$C$40)*VLOOKUP($A25,Bestellungen!$6:$1048576,MATCH(Kasse!J$5,Bestellungen!$A$5:$X$5,0),0),"")</f>
        <v/>
      </c>
      <c r="K25" s="26" t="str">
        <f>IF(ISERROR(VLOOKUP($A25,Bestellungen!$6:$1048576,MATCH(Kasse!K$5,Bestellungen!$A$5:$X$5,0),0))=FALSE,SUMIF(Kalkulation!$A$6:$A$40,Kasse!K$5&amp;"*",Kalkulation!$C$6:$C$40)*VLOOKUP($A25,Bestellungen!$6:$1048576,MATCH(Kasse!K$5,Bestellungen!$A$5:$X$5,0),0),"")</f>
        <v/>
      </c>
      <c r="L25" s="26" t="str">
        <f>IF(ISERROR(VLOOKUP($A25,Bestellungen!$6:$1048576,MATCH(Kasse!L$5,Bestellungen!$A$5:$X$5,0),0))=FALSE,SUMIF(Kalkulation!$A$6:$A$40,Kasse!L$5&amp;"*",Kalkulation!$C$6:$C$40)*VLOOKUP($A25,Bestellungen!$6:$1048576,MATCH(Kasse!L$5,Bestellungen!$A$5:$X$5,0),0),"")</f>
        <v/>
      </c>
      <c r="M25" s="26" t="str">
        <f>IF(ISERROR(VLOOKUP($A25,Bestellungen!$6:$1048576,MATCH(Kasse!M$5,Bestellungen!$A$5:$X$5,0),0))=FALSE,SUMIF(Kalkulation!$A$6:$A$40,Kasse!M$5&amp;"*",Kalkulation!$C$6:$C$40)*VLOOKUP($A25,Bestellungen!$6:$1048576,MATCH(Kasse!M$5,Bestellungen!$A$5:$X$5,0),0),"")</f>
        <v/>
      </c>
      <c r="N25" s="26" t="str">
        <f>IF(ISERROR(VLOOKUP($A25,Bestellungen!$6:$1048576,MATCH(Kasse!N$5,Bestellungen!$A$5:$X$5,0),0))=FALSE,SUMIF(Kalkulation!$A$6:$A$40,Kasse!N$5&amp;"*",Kalkulation!$C$6:$C$40)*VLOOKUP($A25,Bestellungen!$6:$1048576,MATCH(Kasse!N$5,Bestellungen!$A$5:$X$5,0),0),"")</f>
        <v/>
      </c>
      <c r="O25" s="26" t="str">
        <f>IF(ISERROR(VLOOKUP($A25,Bestellungen!$6:$1048576,MATCH(Kasse!O$5,Bestellungen!$A$5:$X$5,0),0))=FALSE,SUMIF(Kalkulation!$A$6:$A$40,Kasse!O$5&amp;"*",Kalkulation!$C$6:$C$40)*VLOOKUP($A25,Bestellungen!$6:$1048576,MATCH(Kasse!O$5,Bestellungen!$A$5:$X$5,0),0),"")</f>
        <v/>
      </c>
      <c r="P25" s="26" t="str">
        <f>IF(ISERROR(VLOOKUP($A25,Bestellungen!$6:$1048576,MATCH(Kasse!P$5,Bestellungen!$A$5:$X$5,0),0))=FALSE,SUMIF(Kalkulation!$A$6:$A$40,Kasse!P$5&amp;"*",Kalkulation!$C$6:$C$40)*VLOOKUP($A25,Bestellungen!$6:$1048576,MATCH(Kasse!P$5,Bestellungen!$A$5:$X$5,0),0),"")</f>
        <v/>
      </c>
      <c r="Q25" s="26" t="str">
        <f>IF(ISERROR(VLOOKUP($A25,Bestellungen!$6:$1048576,MATCH(Kasse!Q$5,Bestellungen!$A$5:$X$5,0),0))=FALSE,SUMIF(Kalkulation!$A$6:$A$40,Kasse!Q$5&amp;"*",Kalkulation!$C$6:$C$40)*VLOOKUP($A25,Bestellungen!$6:$1048576,MATCH(Kasse!Q$5,Bestellungen!$A$5:$X$5,0),0),"")</f>
        <v/>
      </c>
      <c r="R25" s="26" t="str">
        <f>IF(ISERROR(VLOOKUP($A25,Bestellungen!$6:$1048576,MATCH(Kasse!R$5,Bestellungen!$A$5:$X$5,0),0))=FALSE,SUMIF(Kalkulation!$A$6:$A$40,Kasse!R$5&amp;"*",Kalkulation!$C$6:$C$40)*VLOOKUP($A25,Bestellungen!$6:$1048576,MATCH(Kasse!R$5,Bestellungen!$A$5:$X$5,0),0),"")</f>
        <v/>
      </c>
      <c r="S25" s="26" t="str">
        <f>IF(ISERROR(VLOOKUP($A25,Bestellungen!$6:$1048576,MATCH(Kasse!S$5,Bestellungen!$A$5:$X$5,0),0))=FALSE,SUMIF(Kalkulation!$A$6:$A$40,Kasse!S$5&amp;"*",Kalkulation!$C$6:$C$40)*VLOOKUP($A25,Bestellungen!$6:$1048576,MATCH(Kasse!S$5,Bestellungen!$A$5:$X$5,0),0),"")</f>
        <v/>
      </c>
      <c r="T25" s="26" t="str">
        <f>IF(ISERROR(VLOOKUP($A25,Bestellungen!$6:$1048576,MATCH(Kasse!T$5,Bestellungen!$A$5:$X$5,0),0))=FALSE,SUMIF(Kalkulation!$A$6:$A$40,Kasse!T$5&amp;"*",Kalkulation!$C$6:$C$40)*VLOOKUP($A25,Bestellungen!$6:$1048576,MATCH(Kasse!T$5,Bestellungen!$A$5:$X$5,0),0),"")</f>
        <v/>
      </c>
      <c r="U25" s="26" t="str">
        <f t="shared" si="0"/>
        <v/>
      </c>
      <c r="W25" s="26" t="str">
        <f t="shared" si="1"/>
        <v/>
      </c>
      <c r="X25" s="26"/>
      <c r="Y25" s="26"/>
      <c r="Z25" s="26"/>
      <c r="AA25" s="26"/>
    </row>
    <row r="26" spans="1:27" x14ac:dyDescent="0.25">
      <c r="A26" t="str">
        <f>IF(LEN(Bestellungen!$A26)&gt;0,Bestellungen!$A26,"")</f>
        <v/>
      </c>
      <c r="B26" s="26" t="str">
        <f>IF(ISERROR(VLOOKUP($A26,Bestellungen!$6:$1048576,MATCH(Kasse!B$5,Bestellungen!$A$5:$X$5,0),0))=FALSE,SUMIF(Kalkulation!$A$6:$A$40,Kasse!B$5&amp;"*",Kalkulation!$C$6:$C$40)*VLOOKUP($A26,Bestellungen!$6:$1048576,MATCH(Kasse!B$5,Bestellungen!$A$5:$X$5,0),0),"")</f>
        <v/>
      </c>
      <c r="C26" s="26" t="str">
        <f>IF(ISERROR(VLOOKUP($A26,Bestellungen!$6:$1048576,MATCH(Kasse!C$5,Bestellungen!$A$5:$X$5,0),0))=FALSE,SUMIF(Kalkulation!$A$6:$A$40,Kasse!C$5&amp;"*",Kalkulation!$C$6:$C$40)*VLOOKUP($A26,Bestellungen!$6:$1048576,MATCH(Kasse!C$5,Bestellungen!$A$5:$X$5,0),0),"")</f>
        <v/>
      </c>
      <c r="D26" s="26" t="str">
        <f>IF(ISERROR(VLOOKUP($A26,Bestellungen!$6:$1048576,MATCH(Kasse!D$5,Bestellungen!$A$5:$X$5,0),0))=FALSE,SUMIF(Kalkulation!$A$6:$A$40,Kasse!D$5&amp;"*",Kalkulation!$C$6:$C$40)*VLOOKUP($A26,Bestellungen!$6:$1048576,MATCH(Kasse!D$5,Bestellungen!$A$5:$X$5,0),0),"")</f>
        <v/>
      </c>
      <c r="E26" s="26" t="str">
        <f>IF(ISERROR(VLOOKUP($A26,Bestellungen!$6:$1048576,MATCH(Kasse!E$5,Bestellungen!$A$5:$X$5,0),0))=FALSE,SUMIF(Kalkulation!$A$6:$A$40,Kasse!E$5&amp;"*",Kalkulation!$C$6:$C$40)*VLOOKUP($A26,Bestellungen!$6:$1048576,MATCH(Kasse!E$5,Bestellungen!$A$5:$X$5,0),0),"")</f>
        <v/>
      </c>
      <c r="F26" s="26" t="str">
        <f>IF(ISERROR(VLOOKUP($A26,Bestellungen!$6:$1048576,MATCH(Kasse!F$5,Bestellungen!$A$5:$X$5,0),0))=FALSE,SUMIF(Kalkulation!$A$6:$A$40,Kasse!F$5&amp;"*",Kalkulation!$C$6:$C$40)*VLOOKUP($A26,Bestellungen!$6:$1048576,MATCH(Kasse!F$5,Bestellungen!$A$5:$X$5,0),0),"")</f>
        <v/>
      </c>
      <c r="G26" s="26" t="str">
        <f>IF(ISERROR(VLOOKUP($A26,Bestellungen!$6:$1048576,MATCH(Kasse!G$5,Bestellungen!$A$5:$X$5,0),0))=FALSE,SUMIF(Kalkulation!$A$6:$A$40,Kasse!G$5&amp;"*",Kalkulation!$C$6:$C$40)*VLOOKUP($A26,Bestellungen!$6:$1048576,MATCH(Kasse!G$5,Bestellungen!$A$5:$X$5,0),0),"")</f>
        <v/>
      </c>
      <c r="H26" s="26" t="str">
        <f>IF(ISERROR(VLOOKUP($A26,Bestellungen!$6:$1048576,MATCH(Kasse!H$5,Bestellungen!$A$5:$X$5,0),0))=FALSE,SUMIF(Kalkulation!$A$6:$A$40,Kasse!H$5&amp;"*",Kalkulation!$C$6:$C$40)*VLOOKUP($A26,Bestellungen!$6:$1048576,MATCH(Kasse!H$5,Bestellungen!$A$5:$X$5,0),0),"")</f>
        <v/>
      </c>
      <c r="I26" s="26" t="str">
        <f>IF(ISERROR(VLOOKUP($A26,Bestellungen!$6:$1048576,MATCH(Kasse!I$5,Bestellungen!$A$5:$X$5,0),0))=FALSE,SUMIF(Kalkulation!$A$6:$A$40,Kasse!I$5&amp;"*",Kalkulation!$C$6:$C$40)*VLOOKUP($A26,Bestellungen!$6:$1048576,MATCH(Kasse!I$5,Bestellungen!$A$5:$X$5,0),0),"")</f>
        <v/>
      </c>
      <c r="J26" s="26" t="str">
        <f>IF(ISERROR(VLOOKUP($A26,Bestellungen!$6:$1048576,MATCH(Kasse!J$5,Bestellungen!$A$5:$X$5,0),0))=FALSE,SUMIF(Kalkulation!$A$6:$A$40,Kasse!J$5&amp;"*",Kalkulation!$C$6:$C$40)*VLOOKUP($A26,Bestellungen!$6:$1048576,MATCH(Kasse!J$5,Bestellungen!$A$5:$X$5,0),0),"")</f>
        <v/>
      </c>
      <c r="K26" s="26" t="str">
        <f>IF(ISERROR(VLOOKUP($A26,Bestellungen!$6:$1048576,MATCH(Kasse!K$5,Bestellungen!$A$5:$X$5,0),0))=FALSE,SUMIF(Kalkulation!$A$6:$A$40,Kasse!K$5&amp;"*",Kalkulation!$C$6:$C$40)*VLOOKUP($A26,Bestellungen!$6:$1048576,MATCH(Kasse!K$5,Bestellungen!$A$5:$X$5,0),0),"")</f>
        <v/>
      </c>
      <c r="L26" s="26" t="str">
        <f>IF(ISERROR(VLOOKUP($A26,Bestellungen!$6:$1048576,MATCH(Kasse!L$5,Bestellungen!$A$5:$X$5,0),0))=FALSE,SUMIF(Kalkulation!$A$6:$A$40,Kasse!L$5&amp;"*",Kalkulation!$C$6:$C$40)*VLOOKUP($A26,Bestellungen!$6:$1048576,MATCH(Kasse!L$5,Bestellungen!$A$5:$X$5,0),0),"")</f>
        <v/>
      </c>
      <c r="M26" s="26" t="str">
        <f>IF(ISERROR(VLOOKUP($A26,Bestellungen!$6:$1048576,MATCH(Kasse!M$5,Bestellungen!$A$5:$X$5,0),0))=FALSE,SUMIF(Kalkulation!$A$6:$A$40,Kasse!M$5&amp;"*",Kalkulation!$C$6:$C$40)*VLOOKUP($A26,Bestellungen!$6:$1048576,MATCH(Kasse!M$5,Bestellungen!$A$5:$X$5,0),0),"")</f>
        <v/>
      </c>
      <c r="N26" s="26" t="str">
        <f>IF(ISERROR(VLOOKUP($A26,Bestellungen!$6:$1048576,MATCH(Kasse!N$5,Bestellungen!$A$5:$X$5,0),0))=FALSE,SUMIF(Kalkulation!$A$6:$A$40,Kasse!N$5&amp;"*",Kalkulation!$C$6:$C$40)*VLOOKUP($A26,Bestellungen!$6:$1048576,MATCH(Kasse!N$5,Bestellungen!$A$5:$X$5,0),0),"")</f>
        <v/>
      </c>
      <c r="O26" s="26" t="str">
        <f>IF(ISERROR(VLOOKUP($A26,Bestellungen!$6:$1048576,MATCH(Kasse!O$5,Bestellungen!$A$5:$X$5,0),0))=FALSE,SUMIF(Kalkulation!$A$6:$A$40,Kasse!O$5&amp;"*",Kalkulation!$C$6:$C$40)*VLOOKUP($A26,Bestellungen!$6:$1048576,MATCH(Kasse!O$5,Bestellungen!$A$5:$X$5,0),0),"")</f>
        <v/>
      </c>
      <c r="P26" s="26" t="str">
        <f>IF(ISERROR(VLOOKUP($A26,Bestellungen!$6:$1048576,MATCH(Kasse!P$5,Bestellungen!$A$5:$X$5,0),0))=FALSE,SUMIF(Kalkulation!$A$6:$A$40,Kasse!P$5&amp;"*",Kalkulation!$C$6:$C$40)*VLOOKUP($A26,Bestellungen!$6:$1048576,MATCH(Kasse!P$5,Bestellungen!$A$5:$X$5,0),0),"")</f>
        <v/>
      </c>
      <c r="Q26" s="26" t="str">
        <f>IF(ISERROR(VLOOKUP($A26,Bestellungen!$6:$1048576,MATCH(Kasse!Q$5,Bestellungen!$A$5:$X$5,0),0))=FALSE,SUMIF(Kalkulation!$A$6:$A$40,Kasse!Q$5&amp;"*",Kalkulation!$C$6:$C$40)*VLOOKUP($A26,Bestellungen!$6:$1048576,MATCH(Kasse!Q$5,Bestellungen!$A$5:$X$5,0),0),"")</f>
        <v/>
      </c>
      <c r="R26" s="26" t="str">
        <f>IF(ISERROR(VLOOKUP($A26,Bestellungen!$6:$1048576,MATCH(Kasse!R$5,Bestellungen!$A$5:$X$5,0),0))=FALSE,SUMIF(Kalkulation!$A$6:$A$40,Kasse!R$5&amp;"*",Kalkulation!$C$6:$C$40)*VLOOKUP($A26,Bestellungen!$6:$1048576,MATCH(Kasse!R$5,Bestellungen!$A$5:$X$5,0),0),"")</f>
        <v/>
      </c>
      <c r="S26" s="26" t="str">
        <f>IF(ISERROR(VLOOKUP($A26,Bestellungen!$6:$1048576,MATCH(Kasse!S$5,Bestellungen!$A$5:$X$5,0),0))=FALSE,SUMIF(Kalkulation!$A$6:$A$40,Kasse!S$5&amp;"*",Kalkulation!$C$6:$C$40)*VLOOKUP($A26,Bestellungen!$6:$1048576,MATCH(Kasse!S$5,Bestellungen!$A$5:$X$5,0),0),"")</f>
        <v/>
      </c>
      <c r="T26" s="26" t="str">
        <f>IF(ISERROR(VLOOKUP($A26,Bestellungen!$6:$1048576,MATCH(Kasse!T$5,Bestellungen!$A$5:$X$5,0),0))=FALSE,SUMIF(Kalkulation!$A$6:$A$40,Kasse!T$5&amp;"*",Kalkulation!$C$6:$C$40)*VLOOKUP($A26,Bestellungen!$6:$1048576,MATCH(Kasse!T$5,Bestellungen!$A$5:$X$5,0),0),"")</f>
        <v/>
      </c>
      <c r="U26" s="26" t="str">
        <f t="shared" si="0"/>
        <v/>
      </c>
      <c r="W26" s="26" t="str">
        <f t="shared" si="1"/>
        <v/>
      </c>
      <c r="X26" s="26"/>
      <c r="Y26" s="26"/>
      <c r="Z26" s="26"/>
      <c r="AA26" s="26"/>
    </row>
    <row r="27" spans="1:27" x14ac:dyDescent="0.25">
      <c r="A27" t="str">
        <f>IF(LEN(Bestellungen!$A27)&gt;0,Bestellungen!$A27,"")</f>
        <v/>
      </c>
      <c r="B27" s="26" t="str">
        <f>IF(ISERROR(VLOOKUP($A27,Bestellungen!$6:$1048576,MATCH(Kasse!B$5,Bestellungen!$A$5:$X$5,0),0))=FALSE,SUMIF(Kalkulation!$A$6:$A$40,Kasse!B$5&amp;"*",Kalkulation!$C$6:$C$40)*VLOOKUP($A27,Bestellungen!$6:$1048576,MATCH(Kasse!B$5,Bestellungen!$A$5:$X$5,0),0),"")</f>
        <v/>
      </c>
      <c r="C27" s="26" t="str">
        <f>IF(ISERROR(VLOOKUP($A27,Bestellungen!$6:$1048576,MATCH(Kasse!C$5,Bestellungen!$A$5:$X$5,0),0))=FALSE,SUMIF(Kalkulation!$A$6:$A$40,Kasse!C$5&amp;"*",Kalkulation!$C$6:$C$40)*VLOOKUP($A27,Bestellungen!$6:$1048576,MATCH(Kasse!C$5,Bestellungen!$A$5:$X$5,0),0),"")</f>
        <v/>
      </c>
      <c r="D27" s="26" t="str">
        <f>IF(ISERROR(VLOOKUP($A27,Bestellungen!$6:$1048576,MATCH(Kasse!D$5,Bestellungen!$A$5:$X$5,0),0))=FALSE,SUMIF(Kalkulation!$A$6:$A$40,Kasse!D$5&amp;"*",Kalkulation!$C$6:$C$40)*VLOOKUP($A27,Bestellungen!$6:$1048576,MATCH(Kasse!D$5,Bestellungen!$A$5:$X$5,0),0),"")</f>
        <v/>
      </c>
      <c r="E27" s="26" t="str">
        <f>IF(ISERROR(VLOOKUP($A27,Bestellungen!$6:$1048576,MATCH(Kasse!E$5,Bestellungen!$A$5:$X$5,0),0))=FALSE,SUMIF(Kalkulation!$A$6:$A$40,Kasse!E$5&amp;"*",Kalkulation!$C$6:$C$40)*VLOOKUP($A27,Bestellungen!$6:$1048576,MATCH(Kasse!E$5,Bestellungen!$A$5:$X$5,0),0),"")</f>
        <v/>
      </c>
      <c r="F27" s="26" t="str">
        <f>IF(ISERROR(VLOOKUP($A27,Bestellungen!$6:$1048576,MATCH(Kasse!F$5,Bestellungen!$A$5:$X$5,0),0))=FALSE,SUMIF(Kalkulation!$A$6:$A$40,Kasse!F$5&amp;"*",Kalkulation!$C$6:$C$40)*VLOOKUP($A27,Bestellungen!$6:$1048576,MATCH(Kasse!F$5,Bestellungen!$A$5:$X$5,0),0),"")</f>
        <v/>
      </c>
      <c r="G27" s="26" t="str">
        <f>IF(ISERROR(VLOOKUP($A27,Bestellungen!$6:$1048576,MATCH(Kasse!G$5,Bestellungen!$A$5:$X$5,0),0))=FALSE,SUMIF(Kalkulation!$A$6:$A$40,Kasse!G$5&amp;"*",Kalkulation!$C$6:$C$40)*VLOOKUP($A27,Bestellungen!$6:$1048576,MATCH(Kasse!G$5,Bestellungen!$A$5:$X$5,0),0),"")</f>
        <v/>
      </c>
      <c r="H27" s="26" t="str">
        <f>IF(ISERROR(VLOOKUP($A27,Bestellungen!$6:$1048576,MATCH(Kasse!H$5,Bestellungen!$A$5:$X$5,0),0))=FALSE,SUMIF(Kalkulation!$A$6:$A$40,Kasse!H$5&amp;"*",Kalkulation!$C$6:$C$40)*VLOOKUP($A27,Bestellungen!$6:$1048576,MATCH(Kasse!H$5,Bestellungen!$A$5:$X$5,0),0),"")</f>
        <v/>
      </c>
      <c r="I27" s="26" t="str">
        <f>IF(ISERROR(VLOOKUP($A27,Bestellungen!$6:$1048576,MATCH(Kasse!I$5,Bestellungen!$A$5:$X$5,0),0))=FALSE,SUMIF(Kalkulation!$A$6:$A$40,Kasse!I$5&amp;"*",Kalkulation!$C$6:$C$40)*VLOOKUP($A27,Bestellungen!$6:$1048576,MATCH(Kasse!I$5,Bestellungen!$A$5:$X$5,0),0),"")</f>
        <v/>
      </c>
      <c r="J27" s="26" t="str">
        <f>IF(ISERROR(VLOOKUP($A27,Bestellungen!$6:$1048576,MATCH(Kasse!J$5,Bestellungen!$A$5:$X$5,0),0))=FALSE,SUMIF(Kalkulation!$A$6:$A$40,Kasse!J$5&amp;"*",Kalkulation!$C$6:$C$40)*VLOOKUP($A27,Bestellungen!$6:$1048576,MATCH(Kasse!J$5,Bestellungen!$A$5:$X$5,0),0),"")</f>
        <v/>
      </c>
      <c r="K27" s="26" t="str">
        <f>IF(ISERROR(VLOOKUP($A27,Bestellungen!$6:$1048576,MATCH(Kasse!K$5,Bestellungen!$A$5:$X$5,0),0))=FALSE,SUMIF(Kalkulation!$A$6:$A$40,Kasse!K$5&amp;"*",Kalkulation!$C$6:$C$40)*VLOOKUP($A27,Bestellungen!$6:$1048576,MATCH(Kasse!K$5,Bestellungen!$A$5:$X$5,0),0),"")</f>
        <v/>
      </c>
      <c r="L27" s="26" t="str">
        <f>IF(ISERROR(VLOOKUP($A27,Bestellungen!$6:$1048576,MATCH(Kasse!L$5,Bestellungen!$A$5:$X$5,0),0))=FALSE,SUMIF(Kalkulation!$A$6:$A$40,Kasse!L$5&amp;"*",Kalkulation!$C$6:$C$40)*VLOOKUP($A27,Bestellungen!$6:$1048576,MATCH(Kasse!L$5,Bestellungen!$A$5:$X$5,0),0),"")</f>
        <v/>
      </c>
      <c r="M27" s="26" t="str">
        <f>IF(ISERROR(VLOOKUP($A27,Bestellungen!$6:$1048576,MATCH(Kasse!M$5,Bestellungen!$A$5:$X$5,0),0))=FALSE,SUMIF(Kalkulation!$A$6:$A$40,Kasse!M$5&amp;"*",Kalkulation!$C$6:$C$40)*VLOOKUP($A27,Bestellungen!$6:$1048576,MATCH(Kasse!M$5,Bestellungen!$A$5:$X$5,0),0),"")</f>
        <v/>
      </c>
      <c r="N27" s="26" t="str">
        <f>IF(ISERROR(VLOOKUP($A27,Bestellungen!$6:$1048576,MATCH(Kasse!N$5,Bestellungen!$A$5:$X$5,0),0))=FALSE,SUMIF(Kalkulation!$A$6:$A$40,Kasse!N$5&amp;"*",Kalkulation!$C$6:$C$40)*VLOOKUP($A27,Bestellungen!$6:$1048576,MATCH(Kasse!N$5,Bestellungen!$A$5:$X$5,0),0),"")</f>
        <v/>
      </c>
      <c r="O27" s="26" t="str">
        <f>IF(ISERROR(VLOOKUP($A27,Bestellungen!$6:$1048576,MATCH(Kasse!O$5,Bestellungen!$A$5:$X$5,0),0))=FALSE,SUMIF(Kalkulation!$A$6:$A$40,Kasse!O$5&amp;"*",Kalkulation!$C$6:$C$40)*VLOOKUP($A27,Bestellungen!$6:$1048576,MATCH(Kasse!O$5,Bestellungen!$A$5:$X$5,0),0),"")</f>
        <v/>
      </c>
      <c r="P27" s="26" t="str">
        <f>IF(ISERROR(VLOOKUP($A27,Bestellungen!$6:$1048576,MATCH(Kasse!P$5,Bestellungen!$A$5:$X$5,0),0))=FALSE,SUMIF(Kalkulation!$A$6:$A$40,Kasse!P$5&amp;"*",Kalkulation!$C$6:$C$40)*VLOOKUP($A27,Bestellungen!$6:$1048576,MATCH(Kasse!P$5,Bestellungen!$A$5:$X$5,0),0),"")</f>
        <v/>
      </c>
      <c r="Q27" s="26" t="str">
        <f>IF(ISERROR(VLOOKUP($A27,Bestellungen!$6:$1048576,MATCH(Kasse!Q$5,Bestellungen!$A$5:$X$5,0),0))=FALSE,SUMIF(Kalkulation!$A$6:$A$40,Kasse!Q$5&amp;"*",Kalkulation!$C$6:$C$40)*VLOOKUP($A27,Bestellungen!$6:$1048576,MATCH(Kasse!Q$5,Bestellungen!$A$5:$X$5,0),0),"")</f>
        <v/>
      </c>
      <c r="R27" s="26" t="str">
        <f>IF(ISERROR(VLOOKUP($A27,Bestellungen!$6:$1048576,MATCH(Kasse!R$5,Bestellungen!$A$5:$X$5,0),0))=FALSE,SUMIF(Kalkulation!$A$6:$A$40,Kasse!R$5&amp;"*",Kalkulation!$C$6:$C$40)*VLOOKUP($A27,Bestellungen!$6:$1048576,MATCH(Kasse!R$5,Bestellungen!$A$5:$X$5,0),0),"")</f>
        <v/>
      </c>
      <c r="S27" s="26" t="str">
        <f>IF(ISERROR(VLOOKUP($A27,Bestellungen!$6:$1048576,MATCH(Kasse!S$5,Bestellungen!$A$5:$X$5,0),0))=FALSE,SUMIF(Kalkulation!$A$6:$A$40,Kasse!S$5&amp;"*",Kalkulation!$C$6:$C$40)*VLOOKUP($A27,Bestellungen!$6:$1048576,MATCH(Kasse!S$5,Bestellungen!$A$5:$X$5,0),0),"")</f>
        <v/>
      </c>
      <c r="T27" s="26" t="str">
        <f>IF(ISERROR(VLOOKUP($A27,Bestellungen!$6:$1048576,MATCH(Kasse!T$5,Bestellungen!$A$5:$X$5,0),0))=FALSE,SUMIF(Kalkulation!$A$6:$A$40,Kasse!T$5&amp;"*",Kalkulation!$C$6:$C$40)*VLOOKUP($A27,Bestellungen!$6:$1048576,MATCH(Kasse!T$5,Bestellungen!$A$5:$X$5,0),0),"")</f>
        <v/>
      </c>
      <c r="U27" s="26" t="str">
        <f t="shared" si="0"/>
        <v/>
      </c>
      <c r="W27" s="26" t="str">
        <f t="shared" si="1"/>
        <v/>
      </c>
      <c r="X27" s="26"/>
      <c r="Y27" s="26"/>
      <c r="Z27" s="26"/>
      <c r="AA27" s="26"/>
    </row>
    <row r="28" spans="1:27" x14ac:dyDescent="0.25">
      <c r="A28" t="str">
        <f>IF(LEN(Bestellungen!$A28)&gt;0,Bestellungen!$A28,"")</f>
        <v/>
      </c>
      <c r="B28" s="26" t="str">
        <f>IF(ISERROR(VLOOKUP($A28,Bestellungen!$6:$1048576,MATCH(Kasse!B$5,Bestellungen!$A$5:$X$5,0),0))=FALSE,SUMIF(Kalkulation!$A$6:$A$40,Kasse!B$5&amp;"*",Kalkulation!$C$6:$C$40)*VLOOKUP($A28,Bestellungen!$6:$1048576,MATCH(Kasse!B$5,Bestellungen!$A$5:$X$5,0),0),"")</f>
        <v/>
      </c>
      <c r="C28" s="26" t="str">
        <f>IF(ISERROR(VLOOKUP($A28,Bestellungen!$6:$1048576,MATCH(Kasse!C$5,Bestellungen!$A$5:$X$5,0),0))=FALSE,SUMIF(Kalkulation!$A$6:$A$40,Kasse!C$5&amp;"*",Kalkulation!$C$6:$C$40)*VLOOKUP($A28,Bestellungen!$6:$1048576,MATCH(Kasse!C$5,Bestellungen!$A$5:$X$5,0),0),"")</f>
        <v/>
      </c>
      <c r="D28" s="26" t="str">
        <f>IF(ISERROR(VLOOKUP($A28,Bestellungen!$6:$1048576,MATCH(Kasse!D$5,Bestellungen!$A$5:$X$5,0),0))=FALSE,SUMIF(Kalkulation!$A$6:$A$40,Kasse!D$5&amp;"*",Kalkulation!$C$6:$C$40)*VLOOKUP($A28,Bestellungen!$6:$1048576,MATCH(Kasse!D$5,Bestellungen!$A$5:$X$5,0),0),"")</f>
        <v/>
      </c>
      <c r="E28" s="26" t="str">
        <f>IF(ISERROR(VLOOKUP($A28,Bestellungen!$6:$1048576,MATCH(Kasse!E$5,Bestellungen!$A$5:$X$5,0),0))=FALSE,SUMIF(Kalkulation!$A$6:$A$40,Kasse!E$5&amp;"*",Kalkulation!$C$6:$C$40)*VLOOKUP($A28,Bestellungen!$6:$1048576,MATCH(Kasse!E$5,Bestellungen!$A$5:$X$5,0),0),"")</f>
        <v/>
      </c>
      <c r="F28" s="26" t="str">
        <f>IF(ISERROR(VLOOKUP($A28,Bestellungen!$6:$1048576,MATCH(Kasse!F$5,Bestellungen!$A$5:$X$5,0),0))=FALSE,SUMIF(Kalkulation!$A$6:$A$40,Kasse!F$5&amp;"*",Kalkulation!$C$6:$C$40)*VLOOKUP($A28,Bestellungen!$6:$1048576,MATCH(Kasse!F$5,Bestellungen!$A$5:$X$5,0),0),"")</f>
        <v/>
      </c>
      <c r="G28" s="26" t="str">
        <f>IF(ISERROR(VLOOKUP($A28,Bestellungen!$6:$1048576,MATCH(Kasse!G$5,Bestellungen!$A$5:$X$5,0),0))=FALSE,SUMIF(Kalkulation!$A$6:$A$40,Kasse!G$5&amp;"*",Kalkulation!$C$6:$C$40)*VLOOKUP($A28,Bestellungen!$6:$1048576,MATCH(Kasse!G$5,Bestellungen!$A$5:$X$5,0),0),"")</f>
        <v/>
      </c>
      <c r="H28" s="26" t="str">
        <f>IF(ISERROR(VLOOKUP($A28,Bestellungen!$6:$1048576,MATCH(Kasse!H$5,Bestellungen!$A$5:$X$5,0),0))=FALSE,SUMIF(Kalkulation!$A$6:$A$40,Kasse!H$5&amp;"*",Kalkulation!$C$6:$C$40)*VLOOKUP($A28,Bestellungen!$6:$1048576,MATCH(Kasse!H$5,Bestellungen!$A$5:$X$5,0),0),"")</f>
        <v/>
      </c>
      <c r="I28" s="26" t="str">
        <f>IF(ISERROR(VLOOKUP($A28,Bestellungen!$6:$1048576,MATCH(Kasse!I$5,Bestellungen!$A$5:$X$5,0),0))=FALSE,SUMIF(Kalkulation!$A$6:$A$40,Kasse!I$5&amp;"*",Kalkulation!$C$6:$C$40)*VLOOKUP($A28,Bestellungen!$6:$1048576,MATCH(Kasse!I$5,Bestellungen!$A$5:$X$5,0),0),"")</f>
        <v/>
      </c>
      <c r="J28" s="26" t="str">
        <f>IF(ISERROR(VLOOKUP($A28,Bestellungen!$6:$1048576,MATCH(Kasse!J$5,Bestellungen!$A$5:$X$5,0),0))=FALSE,SUMIF(Kalkulation!$A$6:$A$40,Kasse!J$5&amp;"*",Kalkulation!$C$6:$C$40)*VLOOKUP($A28,Bestellungen!$6:$1048576,MATCH(Kasse!J$5,Bestellungen!$A$5:$X$5,0),0),"")</f>
        <v/>
      </c>
      <c r="K28" s="26" t="str">
        <f>IF(ISERROR(VLOOKUP($A28,Bestellungen!$6:$1048576,MATCH(Kasse!K$5,Bestellungen!$A$5:$X$5,0),0))=FALSE,SUMIF(Kalkulation!$A$6:$A$40,Kasse!K$5&amp;"*",Kalkulation!$C$6:$C$40)*VLOOKUP($A28,Bestellungen!$6:$1048576,MATCH(Kasse!K$5,Bestellungen!$A$5:$X$5,0),0),"")</f>
        <v/>
      </c>
      <c r="L28" s="26" t="str">
        <f>IF(ISERROR(VLOOKUP($A28,Bestellungen!$6:$1048576,MATCH(Kasse!L$5,Bestellungen!$A$5:$X$5,0),0))=FALSE,SUMIF(Kalkulation!$A$6:$A$40,Kasse!L$5&amp;"*",Kalkulation!$C$6:$C$40)*VLOOKUP($A28,Bestellungen!$6:$1048576,MATCH(Kasse!L$5,Bestellungen!$A$5:$X$5,0),0),"")</f>
        <v/>
      </c>
      <c r="M28" s="26" t="str">
        <f>IF(ISERROR(VLOOKUP($A28,Bestellungen!$6:$1048576,MATCH(Kasse!M$5,Bestellungen!$A$5:$X$5,0),0))=FALSE,SUMIF(Kalkulation!$A$6:$A$40,Kasse!M$5&amp;"*",Kalkulation!$C$6:$C$40)*VLOOKUP($A28,Bestellungen!$6:$1048576,MATCH(Kasse!M$5,Bestellungen!$A$5:$X$5,0),0),"")</f>
        <v/>
      </c>
      <c r="N28" s="26" t="str">
        <f>IF(ISERROR(VLOOKUP($A28,Bestellungen!$6:$1048576,MATCH(Kasse!N$5,Bestellungen!$A$5:$X$5,0),0))=FALSE,SUMIF(Kalkulation!$A$6:$A$40,Kasse!N$5&amp;"*",Kalkulation!$C$6:$C$40)*VLOOKUP($A28,Bestellungen!$6:$1048576,MATCH(Kasse!N$5,Bestellungen!$A$5:$X$5,0),0),"")</f>
        <v/>
      </c>
      <c r="O28" s="26" t="str">
        <f>IF(ISERROR(VLOOKUP($A28,Bestellungen!$6:$1048576,MATCH(Kasse!O$5,Bestellungen!$A$5:$X$5,0),0))=FALSE,SUMIF(Kalkulation!$A$6:$A$40,Kasse!O$5&amp;"*",Kalkulation!$C$6:$C$40)*VLOOKUP($A28,Bestellungen!$6:$1048576,MATCH(Kasse!O$5,Bestellungen!$A$5:$X$5,0),0),"")</f>
        <v/>
      </c>
      <c r="P28" s="26" t="str">
        <f>IF(ISERROR(VLOOKUP($A28,Bestellungen!$6:$1048576,MATCH(Kasse!P$5,Bestellungen!$A$5:$X$5,0),0))=FALSE,SUMIF(Kalkulation!$A$6:$A$40,Kasse!P$5&amp;"*",Kalkulation!$C$6:$C$40)*VLOOKUP($A28,Bestellungen!$6:$1048576,MATCH(Kasse!P$5,Bestellungen!$A$5:$X$5,0),0),"")</f>
        <v/>
      </c>
      <c r="Q28" s="26" t="str">
        <f>IF(ISERROR(VLOOKUP($A28,Bestellungen!$6:$1048576,MATCH(Kasse!Q$5,Bestellungen!$A$5:$X$5,0),0))=FALSE,SUMIF(Kalkulation!$A$6:$A$40,Kasse!Q$5&amp;"*",Kalkulation!$C$6:$C$40)*VLOOKUP($A28,Bestellungen!$6:$1048576,MATCH(Kasse!Q$5,Bestellungen!$A$5:$X$5,0),0),"")</f>
        <v/>
      </c>
      <c r="R28" s="26" t="str">
        <f>IF(ISERROR(VLOOKUP($A28,Bestellungen!$6:$1048576,MATCH(Kasse!R$5,Bestellungen!$A$5:$X$5,0),0))=FALSE,SUMIF(Kalkulation!$A$6:$A$40,Kasse!R$5&amp;"*",Kalkulation!$C$6:$C$40)*VLOOKUP($A28,Bestellungen!$6:$1048576,MATCH(Kasse!R$5,Bestellungen!$A$5:$X$5,0),0),"")</f>
        <v/>
      </c>
      <c r="S28" s="26" t="str">
        <f>IF(ISERROR(VLOOKUP($A28,Bestellungen!$6:$1048576,MATCH(Kasse!S$5,Bestellungen!$A$5:$X$5,0),0))=FALSE,SUMIF(Kalkulation!$A$6:$A$40,Kasse!S$5&amp;"*",Kalkulation!$C$6:$C$40)*VLOOKUP($A28,Bestellungen!$6:$1048576,MATCH(Kasse!S$5,Bestellungen!$A$5:$X$5,0),0),"")</f>
        <v/>
      </c>
      <c r="T28" s="26" t="str">
        <f>IF(ISERROR(VLOOKUP($A28,Bestellungen!$6:$1048576,MATCH(Kasse!T$5,Bestellungen!$A$5:$X$5,0),0))=FALSE,SUMIF(Kalkulation!$A$6:$A$40,Kasse!T$5&amp;"*",Kalkulation!$C$6:$C$40)*VLOOKUP($A28,Bestellungen!$6:$1048576,MATCH(Kasse!T$5,Bestellungen!$A$5:$X$5,0),0),"")</f>
        <v/>
      </c>
      <c r="U28" s="26" t="str">
        <f t="shared" si="0"/>
        <v/>
      </c>
      <c r="W28" s="26" t="str">
        <f t="shared" si="1"/>
        <v/>
      </c>
      <c r="X28" s="26"/>
      <c r="Y28" s="26"/>
      <c r="Z28" s="26"/>
      <c r="AA28" s="26"/>
    </row>
    <row r="29" spans="1:27" x14ac:dyDescent="0.25">
      <c r="A29" t="str">
        <f>IF(LEN(Bestellungen!$A29)&gt;0,Bestellungen!$A29,"")</f>
        <v/>
      </c>
      <c r="B29" s="26" t="str">
        <f>IF(ISERROR(VLOOKUP($A29,Bestellungen!$6:$1048576,MATCH(Kasse!B$5,Bestellungen!$A$5:$X$5,0),0))=FALSE,SUMIF(Kalkulation!$A$6:$A$40,Kasse!B$5&amp;"*",Kalkulation!$C$6:$C$40)*VLOOKUP($A29,Bestellungen!$6:$1048576,MATCH(Kasse!B$5,Bestellungen!$A$5:$X$5,0),0),"")</f>
        <v/>
      </c>
      <c r="C29" s="26" t="str">
        <f>IF(ISERROR(VLOOKUP($A29,Bestellungen!$6:$1048576,MATCH(Kasse!C$5,Bestellungen!$A$5:$X$5,0),0))=FALSE,SUMIF(Kalkulation!$A$6:$A$40,Kasse!C$5&amp;"*",Kalkulation!$C$6:$C$40)*VLOOKUP($A29,Bestellungen!$6:$1048576,MATCH(Kasse!C$5,Bestellungen!$A$5:$X$5,0),0),"")</f>
        <v/>
      </c>
      <c r="D29" s="26" t="str">
        <f>IF(ISERROR(VLOOKUP($A29,Bestellungen!$6:$1048576,MATCH(Kasse!D$5,Bestellungen!$A$5:$X$5,0),0))=FALSE,SUMIF(Kalkulation!$A$6:$A$40,Kasse!D$5&amp;"*",Kalkulation!$C$6:$C$40)*VLOOKUP($A29,Bestellungen!$6:$1048576,MATCH(Kasse!D$5,Bestellungen!$A$5:$X$5,0),0),"")</f>
        <v/>
      </c>
      <c r="E29" s="26" t="str">
        <f>IF(ISERROR(VLOOKUP($A29,Bestellungen!$6:$1048576,MATCH(Kasse!E$5,Bestellungen!$A$5:$X$5,0),0))=FALSE,SUMIF(Kalkulation!$A$6:$A$40,Kasse!E$5&amp;"*",Kalkulation!$C$6:$C$40)*VLOOKUP($A29,Bestellungen!$6:$1048576,MATCH(Kasse!E$5,Bestellungen!$A$5:$X$5,0),0),"")</f>
        <v/>
      </c>
      <c r="F29" s="26" t="str">
        <f>IF(ISERROR(VLOOKUP($A29,Bestellungen!$6:$1048576,MATCH(Kasse!F$5,Bestellungen!$A$5:$X$5,0),0))=FALSE,SUMIF(Kalkulation!$A$6:$A$40,Kasse!F$5&amp;"*",Kalkulation!$C$6:$C$40)*VLOOKUP($A29,Bestellungen!$6:$1048576,MATCH(Kasse!F$5,Bestellungen!$A$5:$X$5,0),0),"")</f>
        <v/>
      </c>
      <c r="G29" s="26" t="str">
        <f>IF(ISERROR(VLOOKUP($A29,Bestellungen!$6:$1048576,MATCH(Kasse!G$5,Bestellungen!$A$5:$X$5,0),0))=FALSE,SUMIF(Kalkulation!$A$6:$A$40,Kasse!G$5&amp;"*",Kalkulation!$C$6:$C$40)*VLOOKUP($A29,Bestellungen!$6:$1048576,MATCH(Kasse!G$5,Bestellungen!$A$5:$X$5,0),0),"")</f>
        <v/>
      </c>
      <c r="H29" s="26" t="str">
        <f>IF(ISERROR(VLOOKUP($A29,Bestellungen!$6:$1048576,MATCH(Kasse!H$5,Bestellungen!$A$5:$X$5,0),0))=FALSE,SUMIF(Kalkulation!$A$6:$A$40,Kasse!H$5&amp;"*",Kalkulation!$C$6:$C$40)*VLOOKUP($A29,Bestellungen!$6:$1048576,MATCH(Kasse!H$5,Bestellungen!$A$5:$X$5,0),0),"")</f>
        <v/>
      </c>
      <c r="I29" s="26" t="str">
        <f>IF(ISERROR(VLOOKUP($A29,Bestellungen!$6:$1048576,MATCH(Kasse!I$5,Bestellungen!$A$5:$X$5,0),0))=FALSE,SUMIF(Kalkulation!$A$6:$A$40,Kasse!I$5&amp;"*",Kalkulation!$C$6:$C$40)*VLOOKUP($A29,Bestellungen!$6:$1048576,MATCH(Kasse!I$5,Bestellungen!$A$5:$X$5,0),0),"")</f>
        <v/>
      </c>
      <c r="J29" s="26" t="str">
        <f>IF(ISERROR(VLOOKUP($A29,Bestellungen!$6:$1048576,MATCH(Kasse!J$5,Bestellungen!$A$5:$X$5,0),0))=FALSE,SUMIF(Kalkulation!$A$6:$A$40,Kasse!J$5&amp;"*",Kalkulation!$C$6:$C$40)*VLOOKUP($A29,Bestellungen!$6:$1048576,MATCH(Kasse!J$5,Bestellungen!$A$5:$X$5,0),0),"")</f>
        <v/>
      </c>
      <c r="K29" s="26" t="str">
        <f>IF(ISERROR(VLOOKUP($A29,Bestellungen!$6:$1048576,MATCH(Kasse!K$5,Bestellungen!$A$5:$X$5,0),0))=FALSE,SUMIF(Kalkulation!$A$6:$A$40,Kasse!K$5&amp;"*",Kalkulation!$C$6:$C$40)*VLOOKUP($A29,Bestellungen!$6:$1048576,MATCH(Kasse!K$5,Bestellungen!$A$5:$X$5,0),0),"")</f>
        <v/>
      </c>
      <c r="L29" s="26" t="str">
        <f>IF(ISERROR(VLOOKUP($A29,Bestellungen!$6:$1048576,MATCH(Kasse!L$5,Bestellungen!$A$5:$X$5,0),0))=FALSE,SUMIF(Kalkulation!$A$6:$A$40,Kasse!L$5&amp;"*",Kalkulation!$C$6:$C$40)*VLOOKUP($A29,Bestellungen!$6:$1048576,MATCH(Kasse!L$5,Bestellungen!$A$5:$X$5,0),0),"")</f>
        <v/>
      </c>
      <c r="M29" s="26" t="str">
        <f>IF(ISERROR(VLOOKUP($A29,Bestellungen!$6:$1048576,MATCH(Kasse!M$5,Bestellungen!$A$5:$X$5,0),0))=FALSE,SUMIF(Kalkulation!$A$6:$A$40,Kasse!M$5&amp;"*",Kalkulation!$C$6:$C$40)*VLOOKUP($A29,Bestellungen!$6:$1048576,MATCH(Kasse!M$5,Bestellungen!$A$5:$X$5,0),0),"")</f>
        <v/>
      </c>
      <c r="N29" s="26" t="str">
        <f>IF(ISERROR(VLOOKUP($A29,Bestellungen!$6:$1048576,MATCH(Kasse!N$5,Bestellungen!$A$5:$X$5,0),0))=FALSE,SUMIF(Kalkulation!$A$6:$A$40,Kasse!N$5&amp;"*",Kalkulation!$C$6:$C$40)*VLOOKUP($A29,Bestellungen!$6:$1048576,MATCH(Kasse!N$5,Bestellungen!$A$5:$X$5,0),0),"")</f>
        <v/>
      </c>
      <c r="O29" s="26" t="str">
        <f>IF(ISERROR(VLOOKUP($A29,Bestellungen!$6:$1048576,MATCH(Kasse!O$5,Bestellungen!$A$5:$X$5,0),0))=FALSE,SUMIF(Kalkulation!$A$6:$A$40,Kasse!O$5&amp;"*",Kalkulation!$C$6:$C$40)*VLOOKUP($A29,Bestellungen!$6:$1048576,MATCH(Kasse!O$5,Bestellungen!$A$5:$X$5,0),0),"")</f>
        <v/>
      </c>
      <c r="P29" s="26" t="str">
        <f>IF(ISERROR(VLOOKUP($A29,Bestellungen!$6:$1048576,MATCH(Kasse!P$5,Bestellungen!$A$5:$X$5,0),0))=FALSE,SUMIF(Kalkulation!$A$6:$A$40,Kasse!P$5&amp;"*",Kalkulation!$C$6:$C$40)*VLOOKUP($A29,Bestellungen!$6:$1048576,MATCH(Kasse!P$5,Bestellungen!$A$5:$X$5,0),0),"")</f>
        <v/>
      </c>
      <c r="Q29" s="26" t="str">
        <f>IF(ISERROR(VLOOKUP($A29,Bestellungen!$6:$1048576,MATCH(Kasse!Q$5,Bestellungen!$A$5:$X$5,0),0))=FALSE,SUMIF(Kalkulation!$A$6:$A$40,Kasse!Q$5&amp;"*",Kalkulation!$C$6:$C$40)*VLOOKUP($A29,Bestellungen!$6:$1048576,MATCH(Kasse!Q$5,Bestellungen!$A$5:$X$5,0),0),"")</f>
        <v/>
      </c>
      <c r="R29" s="26" t="str">
        <f>IF(ISERROR(VLOOKUP($A29,Bestellungen!$6:$1048576,MATCH(Kasse!R$5,Bestellungen!$A$5:$X$5,0),0))=FALSE,SUMIF(Kalkulation!$A$6:$A$40,Kasse!R$5&amp;"*",Kalkulation!$C$6:$C$40)*VLOOKUP($A29,Bestellungen!$6:$1048576,MATCH(Kasse!R$5,Bestellungen!$A$5:$X$5,0),0),"")</f>
        <v/>
      </c>
      <c r="S29" s="26" t="str">
        <f>IF(ISERROR(VLOOKUP($A29,Bestellungen!$6:$1048576,MATCH(Kasse!S$5,Bestellungen!$A$5:$X$5,0),0))=FALSE,SUMIF(Kalkulation!$A$6:$A$40,Kasse!S$5&amp;"*",Kalkulation!$C$6:$C$40)*VLOOKUP($A29,Bestellungen!$6:$1048576,MATCH(Kasse!S$5,Bestellungen!$A$5:$X$5,0),0),"")</f>
        <v/>
      </c>
      <c r="T29" s="26" t="str">
        <f>IF(ISERROR(VLOOKUP($A29,Bestellungen!$6:$1048576,MATCH(Kasse!T$5,Bestellungen!$A$5:$X$5,0),0))=FALSE,SUMIF(Kalkulation!$A$6:$A$40,Kasse!T$5&amp;"*",Kalkulation!$C$6:$C$40)*VLOOKUP($A29,Bestellungen!$6:$1048576,MATCH(Kasse!T$5,Bestellungen!$A$5:$X$5,0),0),"")</f>
        <v/>
      </c>
      <c r="U29" s="26" t="str">
        <f t="shared" si="0"/>
        <v/>
      </c>
      <c r="W29" s="26" t="str">
        <f t="shared" si="1"/>
        <v/>
      </c>
      <c r="X29" s="26"/>
      <c r="Y29" s="26"/>
      <c r="Z29" s="26"/>
      <c r="AA29" s="26"/>
    </row>
    <row r="30" spans="1:27" x14ac:dyDescent="0.25">
      <c r="A30" t="str">
        <f>IF(LEN(Bestellungen!$A30)&gt;0,Bestellungen!$A30,"")</f>
        <v/>
      </c>
      <c r="B30" s="26" t="str">
        <f>IF(ISERROR(VLOOKUP($A30,Bestellungen!$6:$1048576,MATCH(Kasse!B$5,Bestellungen!$A$5:$X$5,0),0))=FALSE,SUMIF(Kalkulation!$A$6:$A$40,Kasse!B$5&amp;"*",Kalkulation!$C$6:$C$40)*VLOOKUP($A30,Bestellungen!$6:$1048576,MATCH(Kasse!B$5,Bestellungen!$A$5:$X$5,0),0),"")</f>
        <v/>
      </c>
      <c r="C30" s="26" t="str">
        <f>IF(ISERROR(VLOOKUP($A30,Bestellungen!$6:$1048576,MATCH(Kasse!C$5,Bestellungen!$A$5:$X$5,0),0))=FALSE,SUMIF(Kalkulation!$A$6:$A$40,Kasse!C$5&amp;"*",Kalkulation!$C$6:$C$40)*VLOOKUP($A30,Bestellungen!$6:$1048576,MATCH(Kasse!C$5,Bestellungen!$A$5:$X$5,0),0),"")</f>
        <v/>
      </c>
      <c r="D30" s="26" t="str">
        <f>IF(ISERROR(VLOOKUP($A30,Bestellungen!$6:$1048576,MATCH(Kasse!D$5,Bestellungen!$A$5:$X$5,0),0))=FALSE,SUMIF(Kalkulation!$A$6:$A$40,Kasse!D$5&amp;"*",Kalkulation!$C$6:$C$40)*VLOOKUP($A30,Bestellungen!$6:$1048576,MATCH(Kasse!D$5,Bestellungen!$A$5:$X$5,0),0),"")</f>
        <v/>
      </c>
      <c r="E30" s="26" t="str">
        <f>IF(ISERROR(VLOOKUP($A30,Bestellungen!$6:$1048576,MATCH(Kasse!E$5,Bestellungen!$A$5:$X$5,0),0))=FALSE,SUMIF(Kalkulation!$A$6:$A$40,Kasse!E$5&amp;"*",Kalkulation!$C$6:$C$40)*VLOOKUP($A30,Bestellungen!$6:$1048576,MATCH(Kasse!E$5,Bestellungen!$A$5:$X$5,0),0),"")</f>
        <v/>
      </c>
      <c r="F30" s="26" t="str">
        <f>IF(ISERROR(VLOOKUP($A30,Bestellungen!$6:$1048576,MATCH(Kasse!F$5,Bestellungen!$A$5:$X$5,0),0))=FALSE,SUMIF(Kalkulation!$A$6:$A$40,Kasse!F$5&amp;"*",Kalkulation!$C$6:$C$40)*VLOOKUP($A30,Bestellungen!$6:$1048576,MATCH(Kasse!F$5,Bestellungen!$A$5:$X$5,0),0),"")</f>
        <v/>
      </c>
      <c r="G30" s="26" t="str">
        <f>IF(ISERROR(VLOOKUP($A30,Bestellungen!$6:$1048576,MATCH(Kasse!G$5,Bestellungen!$A$5:$X$5,0),0))=FALSE,SUMIF(Kalkulation!$A$6:$A$40,Kasse!G$5&amp;"*",Kalkulation!$C$6:$C$40)*VLOOKUP($A30,Bestellungen!$6:$1048576,MATCH(Kasse!G$5,Bestellungen!$A$5:$X$5,0),0),"")</f>
        <v/>
      </c>
      <c r="H30" s="26" t="str">
        <f>IF(ISERROR(VLOOKUP($A30,Bestellungen!$6:$1048576,MATCH(Kasse!H$5,Bestellungen!$A$5:$X$5,0),0))=FALSE,SUMIF(Kalkulation!$A$6:$A$40,Kasse!H$5&amp;"*",Kalkulation!$C$6:$C$40)*VLOOKUP($A30,Bestellungen!$6:$1048576,MATCH(Kasse!H$5,Bestellungen!$A$5:$X$5,0),0),"")</f>
        <v/>
      </c>
      <c r="I30" s="26" t="str">
        <f>IF(ISERROR(VLOOKUP($A30,Bestellungen!$6:$1048576,MATCH(Kasse!I$5,Bestellungen!$A$5:$X$5,0),0))=FALSE,SUMIF(Kalkulation!$A$6:$A$40,Kasse!I$5&amp;"*",Kalkulation!$C$6:$C$40)*VLOOKUP($A30,Bestellungen!$6:$1048576,MATCH(Kasse!I$5,Bestellungen!$A$5:$X$5,0),0),"")</f>
        <v/>
      </c>
      <c r="J30" s="26" t="str">
        <f>IF(ISERROR(VLOOKUP($A30,Bestellungen!$6:$1048576,MATCH(Kasse!J$5,Bestellungen!$A$5:$X$5,0),0))=FALSE,SUMIF(Kalkulation!$A$6:$A$40,Kasse!J$5&amp;"*",Kalkulation!$C$6:$C$40)*VLOOKUP($A30,Bestellungen!$6:$1048576,MATCH(Kasse!J$5,Bestellungen!$A$5:$X$5,0),0),"")</f>
        <v/>
      </c>
      <c r="K30" s="26" t="str">
        <f>IF(ISERROR(VLOOKUP($A30,Bestellungen!$6:$1048576,MATCH(Kasse!K$5,Bestellungen!$A$5:$X$5,0),0))=FALSE,SUMIF(Kalkulation!$A$6:$A$40,Kasse!K$5&amp;"*",Kalkulation!$C$6:$C$40)*VLOOKUP($A30,Bestellungen!$6:$1048576,MATCH(Kasse!K$5,Bestellungen!$A$5:$X$5,0),0),"")</f>
        <v/>
      </c>
      <c r="L30" s="26" t="str">
        <f>IF(ISERROR(VLOOKUP($A30,Bestellungen!$6:$1048576,MATCH(Kasse!L$5,Bestellungen!$A$5:$X$5,0),0))=FALSE,SUMIF(Kalkulation!$A$6:$A$40,Kasse!L$5&amp;"*",Kalkulation!$C$6:$C$40)*VLOOKUP($A30,Bestellungen!$6:$1048576,MATCH(Kasse!L$5,Bestellungen!$A$5:$X$5,0),0),"")</f>
        <v/>
      </c>
      <c r="M30" s="26" t="str">
        <f>IF(ISERROR(VLOOKUP($A30,Bestellungen!$6:$1048576,MATCH(Kasse!M$5,Bestellungen!$A$5:$X$5,0),0))=FALSE,SUMIF(Kalkulation!$A$6:$A$40,Kasse!M$5&amp;"*",Kalkulation!$C$6:$C$40)*VLOOKUP($A30,Bestellungen!$6:$1048576,MATCH(Kasse!M$5,Bestellungen!$A$5:$X$5,0),0),"")</f>
        <v/>
      </c>
      <c r="N30" s="26" t="str">
        <f>IF(ISERROR(VLOOKUP($A30,Bestellungen!$6:$1048576,MATCH(Kasse!N$5,Bestellungen!$A$5:$X$5,0),0))=FALSE,SUMIF(Kalkulation!$A$6:$A$40,Kasse!N$5&amp;"*",Kalkulation!$C$6:$C$40)*VLOOKUP($A30,Bestellungen!$6:$1048576,MATCH(Kasse!N$5,Bestellungen!$A$5:$X$5,0),0),"")</f>
        <v/>
      </c>
      <c r="O30" s="26" t="str">
        <f>IF(ISERROR(VLOOKUP($A30,Bestellungen!$6:$1048576,MATCH(Kasse!O$5,Bestellungen!$A$5:$X$5,0),0))=FALSE,SUMIF(Kalkulation!$A$6:$A$40,Kasse!O$5&amp;"*",Kalkulation!$C$6:$C$40)*VLOOKUP($A30,Bestellungen!$6:$1048576,MATCH(Kasse!O$5,Bestellungen!$A$5:$X$5,0),0),"")</f>
        <v/>
      </c>
      <c r="P30" s="26" t="str">
        <f>IF(ISERROR(VLOOKUP($A30,Bestellungen!$6:$1048576,MATCH(Kasse!P$5,Bestellungen!$A$5:$X$5,0),0))=FALSE,SUMIF(Kalkulation!$A$6:$A$40,Kasse!P$5&amp;"*",Kalkulation!$C$6:$C$40)*VLOOKUP($A30,Bestellungen!$6:$1048576,MATCH(Kasse!P$5,Bestellungen!$A$5:$X$5,0),0),"")</f>
        <v/>
      </c>
      <c r="Q30" s="26" t="str">
        <f>IF(ISERROR(VLOOKUP($A30,Bestellungen!$6:$1048576,MATCH(Kasse!Q$5,Bestellungen!$A$5:$X$5,0),0))=FALSE,SUMIF(Kalkulation!$A$6:$A$40,Kasse!Q$5&amp;"*",Kalkulation!$C$6:$C$40)*VLOOKUP($A30,Bestellungen!$6:$1048576,MATCH(Kasse!Q$5,Bestellungen!$A$5:$X$5,0),0),"")</f>
        <v/>
      </c>
      <c r="R30" s="26" t="str">
        <f>IF(ISERROR(VLOOKUP($A30,Bestellungen!$6:$1048576,MATCH(Kasse!R$5,Bestellungen!$A$5:$X$5,0),0))=FALSE,SUMIF(Kalkulation!$A$6:$A$40,Kasse!R$5&amp;"*",Kalkulation!$C$6:$C$40)*VLOOKUP($A30,Bestellungen!$6:$1048576,MATCH(Kasse!R$5,Bestellungen!$A$5:$X$5,0),0),"")</f>
        <v/>
      </c>
      <c r="S30" s="26" t="str">
        <f>IF(ISERROR(VLOOKUP($A30,Bestellungen!$6:$1048576,MATCH(Kasse!S$5,Bestellungen!$A$5:$X$5,0),0))=FALSE,SUMIF(Kalkulation!$A$6:$A$40,Kasse!S$5&amp;"*",Kalkulation!$C$6:$C$40)*VLOOKUP($A30,Bestellungen!$6:$1048576,MATCH(Kasse!S$5,Bestellungen!$A$5:$X$5,0),0),"")</f>
        <v/>
      </c>
      <c r="T30" s="26" t="str">
        <f>IF(ISERROR(VLOOKUP($A30,Bestellungen!$6:$1048576,MATCH(Kasse!T$5,Bestellungen!$A$5:$X$5,0),0))=FALSE,SUMIF(Kalkulation!$A$6:$A$40,Kasse!T$5&amp;"*",Kalkulation!$C$6:$C$40)*VLOOKUP($A30,Bestellungen!$6:$1048576,MATCH(Kasse!T$5,Bestellungen!$A$5:$X$5,0),0),"")</f>
        <v/>
      </c>
      <c r="U30" s="26" t="str">
        <f t="shared" si="0"/>
        <v/>
      </c>
      <c r="W30" s="26" t="str">
        <f t="shared" si="1"/>
        <v/>
      </c>
      <c r="X30" s="26"/>
      <c r="Y30" s="26"/>
      <c r="Z30" s="26"/>
      <c r="AA30" s="26"/>
    </row>
    <row r="31" spans="1:27" x14ac:dyDescent="0.25">
      <c r="A31" t="str">
        <f>IF(LEN(Bestellungen!$A31)&gt;0,Bestellungen!$A31,"")</f>
        <v/>
      </c>
      <c r="B31" s="26" t="str">
        <f>IF(ISERROR(VLOOKUP($A31,Bestellungen!$6:$1048576,MATCH(Kasse!B$5,Bestellungen!$A$5:$X$5,0),0))=FALSE,SUMIF(Kalkulation!$A$6:$A$40,Kasse!B$5&amp;"*",Kalkulation!$C$6:$C$40)*VLOOKUP($A31,Bestellungen!$6:$1048576,MATCH(Kasse!B$5,Bestellungen!$A$5:$X$5,0),0),"")</f>
        <v/>
      </c>
      <c r="C31" s="26" t="str">
        <f>IF(ISERROR(VLOOKUP($A31,Bestellungen!$6:$1048576,MATCH(Kasse!C$5,Bestellungen!$A$5:$X$5,0),0))=FALSE,SUMIF(Kalkulation!$A$6:$A$40,Kasse!C$5&amp;"*",Kalkulation!$C$6:$C$40)*VLOOKUP($A31,Bestellungen!$6:$1048576,MATCH(Kasse!C$5,Bestellungen!$A$5:$X$5,0),0),"")</f>
        <v/>
      </c>
      <c r="D31" s="26" t="str">
        <f>IF(ISERROR(VLOOKUP($A31,Bestellungen!$6:$1048576,MATCH(Kasse!D$5,Bestellungen!$A$5:$X$5,0),0))=FALSE,SUMIF(Kalkulation!$A$6:$A$40,Kasse!D$5&amp;"*",Kalkulation!$C$6:$C$40)*VLOOKUP($A31,Bestellungen!$6:$1048576,MATCH(Kasse!D$5,Bestellungen!$A$5:$X$5,0),0),"")</f>
        <v/>
      </c>
      <c r="E31" s="26" t="str">
        <f>IF(ISERROR(VLOOKUP($A31,Bestellungen!$6:$1048576,MATCH(Kasse!E$5,Bestellungen!$A$5:$X$5,0),0))=FALSE,SUMIF(Kalkulation!$A$6:$A$40,Kasse!E$5&amp;"*",Kalkulation!$C$6:$C$40)*VLOOKUP($A31,Bestellungen!$6:$1048576,MATCH(Kasse!E$5,Bestellungen!$A$5:$X$5,0),0),"")</f>
        <v/>
      </c>
      <c r="F31" s="26" t="str">
        <f>IF(ISERROR(VLOOKUP($A31,Bestellungen!$6:$1048576,MATCH(Kasse!F$5,Bestellungen!$A$5:$X$5,0),0))=FALSE,SUMIF(Kalkulation!$A$6:$A$40,Kasse!F$5&amp;"*",Kalkulation!$C$6:$C$40)*VLOOKUP($A31,Bestellungen!$6:$1048576,MATCH(Kasse!F$5,Bestellungen!$A$5:$X$5,0),0),"")</f>
        <v/>
      </c>
      <c r="G31" s="26" t="str">
        <f>IF(ISERROR(VLOOKUP($A31,Bestellungen!$6:$1048576,MATCH(Kasse!G$5,Bestellungen!$A$5:$X$5,0),0))=FALSE,SUMIF(Kalkulation!$A$6:$A$40,Kasse!G$5&amp;"*",Kalkulation!$C$6:$C$40)*VLOOKUP($A31,Bestellungen!$6:$1048576,MATCH(Kasse!G$5,Bestellungen!$A$5:$X$5,0),0),"")</f>
        <v/>
      </c>
      <c r="H31" s="26" t="str">
        <f>IF(ISERROR(VLOOKUP($A31,Bestellungen!$6:$1048576,MATCH(Kasse!H$5,Bestellungen!$A$5:$X$5,0),0))=FALSE,SUMIF(Kalkulation!$A$6:$A$40,Kasse!H$5&amp;"*",Kalkulation!$C$6:$C$40)*VLOOKUP($A31,Bestellungen!$6:$1048576,MATCH(Kasse!H$5,Bestellungen!$A$5:$X$5,0),0),"")</f>
        <v/>
      </c>
      <c r="I31" s="26" t="str">
        <f>IF(ISERROR(VLOOKUP($A31,Bestellungen!$6:$1048576,MATCH(Kasse!I$5,Bestellungen!$A$5:$X$5,0),0))=FALSE,SUMIF(Kalkulation!$A$6:$A$40,Kasse!I$5&amp;"*",Kalkulation!$C$6:$C$40)*VLOOKUP($A31,Bestellungen!$6:$1048576,MATCH(Kasse!I$5,Bestellungen!$A$5:$X$5,0),0),"")</f>
        <v/>
      </c>
      <c r="J31" s="26" t="str">
        <f>IF(ISERROR(VLOOKUP($A31,Bestellungen!$6:$1048576,MATCH(Kasse!J$5,Bestellungen!$A$5:$X$5,0),0))=FALSE,SUMIF(Kalkulation!$A$6:$A$40,Kasse!J$5&amp;"*",Kalkulation!$C$6:$C$40)*VLOOKUP($A31,Bestellungen!$6:$1048576,MATCH(Kasse!J$5,Bestellungen!$A$5:$X$5,0),0),"")</f>
        <v/>
      </c>
      <c r="K31" s="26" t="str">
        <f>IF(ISERROR(VLOOKUP($A31,Bestellungen!$6:$1048576,MATCH(Kasse!K$5,Bestellungen!$A$5:$X$5,0),0))=FALSE,SUMIF(Kalkulation!$A$6:$A$40,Kasse!K$5&amp;"*",Kalkulation!$C$6:$C$40)*VLOOKUP($A31,Bestellungen!$6:$1048576,MATCH(Kasse!K$5,Bestellungen!$A$5:$X$5,0),0),"")</f>
        <v/>
      </c>
      <c r="L31" s="26" t="str">
        <f>IF(ISERROR(VLOOKUP($A31,Bestellungen!$6:$1048576,MATCH(Kasse!L$5,Bestellungen!$A$5:$X$5,0),0))=FALSE,SUMIF(Kalkulation!$A$6:$A$40,Kasse!L$5&amp;"*",Kalkulation!$C$6:$C$40)*VLOOKUP($A31,Bestellungen!$6:$1048576,MATCH(Kasse!L$5,Bestellungen!$A$5:$X$5,0),0),"")</f>
        <v/>
      </c>
      <c r="M31" s="26" t="str">
        <f>IF(ISERROR(VLOOKUP($A31,Bestellungen!$6:$1048576,MATCH(Kasse!M$5,Bestellungen!$A$5:$X$5,0),0))=FALSE,SUMIF(Kalkulation!$A$6:$A$40,Kasse!M$5&amp;"*",Kalkulation!$C$6:$C$40)*VLOOKUP($A31,Bestellungen!$6:$1048576,MATCH(Kasse!M$5,Bestellungen!$A$5:$X$5,0),0),"")</f>
        <v/>
      </c>
      <c r="N31" s="26" t="str">
        <f>IF(ISERROR(VLOOKUP($A31,Bestellungen!$6:$1048576,MATCH(Kasse!N$5,Bestellungen!$A$5:$X$5,0),0))=FALSE,SUMIF(Kalkulation!$A$6:$A$40,Kasse!N$5&amp;"*",Kalkulation!$C$6:$C$40)*VLOOKUP($A31,Bestellungen!$6:$1048576,MATCH(Kasse!N$5,Bestellungen!$A$5:$X$5,0),0),"")</f>
        <v/>
      </c>
      <c r="O31" s="26" t="str">
        <f>IF(ISERROR(VLOOKUP($A31,Bestellungen!$6:$1048576,MATCH(Kasse!O$5,Bestellungen!$A$5:$X$5,0),0))=FALSE,SUMIF(Kalkulation!$A$6:$A$40,Kasse!O$5&amp;"*",Kalkulation!$C$6:$C$40)*VLOOKUP($A31,Bestellungen!$6:$1048576,MATCH(Kasse!O$5,Bestellungen!$A$5:$X$5,0),0),"")</f>
        <v/>
      </c>
      <c r="P31" s="26" t="str">
        <f>IF(ISERROR(VLOOKUP($A31,Bestellungen!$6:$1048576,MATCH(Kasse!P$5,Bestellungen!$A$5:$X$5,0),0))=FALSE,SUMIF(Kalkulation!$A$6:$A$40,Kasse!P$5&amp;"*",Kalkulation!$C$6:$C$40)*VLOOKUP($A31,Bestellungen!$6:$1048576,MATCH(Kasse!P$5,Bestellungen!$A$5:$X$5,0),0),"")</f>
        <v/>
      </c>
      <c r="Q31" s="26" t="str">
        <f>IF(ISERROR(VLOOKUP($A31,Bestellungen!$6:$1048576,MATCH(Kasse!Q$5,Bestellungen!$A$5:$X$5,0),0))=FALSE,SUMIF(Kalkulation!$A$6:$A$40,Kasse!Q$5&amp;"*",Kalkulation!$C$6:$C$40)*VLOOKUP($A31,Bestellungen!$6:$1048576,MATCH(Kasse!Q$5,Bestellungen!$A$5:$X$5,0),0),"")</f>
        <v/>
      </c>
      <c r="R31" s="26" t="str">
        <f>IF(ISERROR(VLOOKUP($A31,Bestellungen!$6:$1048576,MATCH(Kasse!R$5,Bestellungen!$A$5:$X$5,0),0))=FALSE,SUMIF(Kalkulation!$A$6:$A$40,Kasse!R$5&amp;"*",Kalkulation!$C$6:$C$40)*VLOOKUP($A31,Bestellungen!$6:$1048576,MATCH(Kasse!R$5,Bestellungen!$A$5:$X$5,0),0),"")</f>
        <v/>
      </c>
      <c r="S31" s="26" t="str">
        <f>IF(ISERROR(VLOOKUP($A31,Bestellungen!$6:$1048576,MATCH(Kasse!S$5,Bestellungen!$A$5:$X$5,0),0))=FALSE,SUMIF(Kalkulation!$A$6:$A$40,Kasse!S$5&amp;"*",Kalkulation!$C$6:$C$40)*VLOOKUP($A31,Bestellungen!$6:$1048576,MATCH(Kasse!S$5,Bestellungen!$A$5:$X$5,0),0),"")</f>
        <v/>
      </c>
      <c r="T31" s="26" t="str">
        <f>IF(ISERROR(VLOOKUP($A31,Bestellungen!$6:$1048576,MATCH(Kasse!T$5,Bestellungen!$A$5:$X$5,0),0))=FALSE,SUMIF(Kalkulation!$A$6:$A$40,Kasse!T$5&amp;"*",Kalkulation!$C$6:$C$40)*VLOOKUP($A31,Bestellungen!$6:$1048576,MATCH(Kasse!T$5,Bestellungen!$A$5:$X$5,0),0),"")</f>
        <v/>
      </c>
      <c r="U31" s="26" t="str">
        <f t="shared" si="0"/>
        <v/>
      </c>
      <c r="W31" s="26" t="str">
        <f t="shared" si="1"/>
        <v/>
      </c>
      <c r="X31" s="26"/>
      <c r="Y31" s="26"/>
      <c r="Z31" s="26"/>
      <c r="AA31" s="26"/>
    </row>
    <row r="32" spans="1:27" x14ac:dyDescent="0.25">
      <c r="A32" t="str">
        <f>IF(LEN(Bestellungen!$A32)&gt;0,Bestellungen!$A32,"")</f>
        <v/>
      </c>
      <c r="B32" s="26" t="str">
        <f>IF(ISERROR(VLOOKUP($A32,Bestellungen!$6:$1048576,MATCH(Kasse!B$5,Bestellungen!$A$5:$X$5,0),0))=FALSE,SUMIF(Kalkulation!$A$6:$A$40,Kasse!B$5&amp;"*",Kalkulation!$C$6:$C$40)*VLOOKUP($A32,Bestellungen!$6:$1048576,MATCH(Kasse!B$5,Bestellungen!$A$5:$X$5,0),0),"")</f>
        <v/>
      </c>
      <c r="C32" s="26" t="str">
        <f>IF(ISERROR(VLOOKUP($A32,Bestellungen!$6:$1048576,MATCH(Kasse!C$5,Bestellungen!$A$5:$X$5,0),0))=FALSE,SUMIF(Kalkulation!$A$6:$A$40,Kasse!C$5&amp;"*",Kalkulation!$C$6:$C$40)*VLOOKUP($A32,Bestellungen!$6:$1048576,MATCH(Kasse!C$5,Bestellungen!$A$5:$X$5,0),0),"")</f>
        <v/>
      </c>
      <c r="D32" s="26" t="str">
        <f>IF(ISERROR(VLOOKUP($A32,Bestellungen!$6:$1048576,MATCH(Kasse!D$5,Bestellungen!$A$5:$X$5,0),0))=FALSE,SUMIF(Kalkulation!$A$6:$A$40,Kasse!D$5&amp;"*",Kalkulation!$C$6:$C$40)*VLOOKUP($A32,Bestellungen!$6:$1048576,MATCH(Kasse!D$5,Bestellungen!$A$5:$X$5,0),0),"")</f>
        <v/>
      </c>
      <c r="E32" s="26" t="str">
        <f>IF(ISERROR(VLOOKUP($A32,Bestellungen!$6:$1048576,MATCH(Kasse!E$5,Bestellungen!$A$5:$X$5,0),0))=FALSE,SUMIF(Kalkulation!$A$6:$A$40,Kasse!E$5&amp;"*",Kalkulation!$C$6:$C$40)*VLOOKUP($A32,Bestellungen!$6:$1048576,MATCH(Kasse!E$5,Bestellungen!$A$5:$X$5,0),0),"")</f>
        <v/>
      </c>
      <c r="F32" s="26" t="str">
        <f>IF(ISERROR(VLOOKUP($A32,Bestellungen!$6:$1048576,MATCH(Kasse!F$5,Bestellungen!$A$5:$X$5,0),0))=FALSE,SUMIF(Kalkulation!$A$6:$A$40,Kasse!F$5&amp;"*",Kalkulation!$C$6:$C$40)*VLOOKUP($A32,Bestellungen!$6:$1048576,MATCH(Kasse!F$5,Bestellungen!$A$5:$X$5,0),0),"")</f>
        <v/>
      </c>
      <c r="G32" s="26" t="str">
        <f>IF(ISERROR(VLOOKUP($A32,Bestellungen!$6:$1048576,MATCH(Kasse!G$5,Bestellungen!$A$5:$X$5,0),0))=FALSE,SUMIF(Kalkulation!$A$6:$A$40,Kasse!G$5&amp;"*",Kalkulation!$C$6:$C$40)*VLOOKUP($A32,Bestellungen!$6:$1048576,MATCH(Kasse!G$5,Bestellungen!$A$5:$X$5,0),0),"")</f>
        <v/>
      </c>
      <c r="H32" s="26" t="str">
        <f>IF(ISERROR(VLOOKUP($A32,Bestellungen!$6:$1048576,MATCH(Kasse!H$5,Bestellungen!$A$5:$X$5,0),0))=FALSE,SUMIF(Kalkulation!$A$6:$A$40,Kasse!H$5&amp;"*",Kalkulation!$C$6:$C$40)*VLOOKUP($A32,Bestellungen!$6:$1048576,MATCH(Kasse!H$5,Bestellungen!$A$5:$X$5,0),0),"")</f>
        <v/>
      </c>
      <c r="I32" s="26" t="str">
        <f>IF(ISERROR(VLOOKUP($A32,Bestellungen!$6:$1048576,MATCH(Kasse!I$5,Bestellungen!$A$5:$X$5,0),0))=FALSE,SUMIF(Kalkulation!$A$6:$A$40,Kasse!I$5&amp;"*",Kalkulation!$C$6:$C$40)*VLOOKUP($A32,Bestellungen!$6:$1048576,MATCH(Kasse!I$5,Bestellungen!$A$5:$X$5,0),0),"")</f>
        <v/>
      </c>
      <c r="J32" s="26" t="str">
        <f>IF(ISERROR(VLOOKUP($A32,Bestellungen!$6:$1048576,MATCH(Kasse!J$5,Bestellungen!$A$5:$X$5,0),0))=FALSE,SUMIF(Kalkulation!$A$6:$A$40,Kasse!J$5&amp;"*",Kalkulation!$C$6:$C$40)*VLOOKUP($A32,Bestellungen!$6:$1048576,MATCH(Kasse!J$5,Bestellungen!$A$5:$X$5,0),0),"")</f>
        <v/>
      </c>
      <c r="K32" s="26" t="str">
        <f>IF(ISERROR(VLOOKUP($A32,Bestellungen!$6:$1048576,MATCH(Kasse!K$5,Bestellungen!$A$5:$X$5,0),0))=FALSE,SUMIF(Kalkulation!$A$6:$A$40,Kasse!K$5&amp;"*",Kalkulation!$C$6:$C$40)*VLOOKUP($A32,Bestellungen!$6:$1048576,MATCH(Kasse!K$5,Bestellungen!$A$5:$X$5,0),0),"")</f>
        <v/>
      </c>
      <c r="L32" s="26" t="str">
        <f>IF(ISERROR(VLOOKUP($A32,Bestellungen!$6:$1048576,MATCH(Kasse!L$5,Bestellungen!$A$5:$X$5,0),0))=FALSE,SUMIF(Kalkulation!$A$6:$A$40,Kasse!L$5&amp;"*",Kalkulation!$C$6:$C$40)*VLOOKUP($A32,Bestellungen!$6:$1048576,MATCH(Kasse!L$5,Bestellungen!$A$5:$X$5,0),0),"")</f>
        <v/>
      </c>
      <c r="M32" s="26" t="str">
        <f>IF(ISERROR(VLOOKUP($A32,Bestellungen!$6:$1048576,MATCH(Kasse!M$5,Bestellungen!$A$5:$X$5,0),0))=FALSE,SUMIF(Kalkulation!$A$6:$A$40,Kasse!M$5&amp;"*",Kalkulation!$C$6:$C$40)*VLOOKUP($A32,Bestellungen!$6:$1048576,MATCH(Kasse!M$5,Bestellungen!$A$5:$X$5,0),0),"")</f>
        <v/>
      </c>
      <c r="N32" s="26" t="str">
        <f>IF(ISERROR(VLOOKUP($A32,Bestellungen!$6:$1048576,MATCH(Kasse!N$5,Bestellungen!$A$5:$X$5,0),0))=FALSE,SUMIF(Kalkulation!$A$6:$A$40,Kasse!N$5&amp;"*",Kalkulation!$C$6:$C$40)*VLOOKUP($A32,Bestellungen!$6:$1048576,MATCH(Kasse!N$5,Bestellungen!$A$5:$X$5,0),0),"")</f>
        <v/>
      </c>
      <c r="O32" s="26" t="str">
        <f>IF(ISERROR(VLOOKUP($A32,Bestellungen!$6:$1048576,MATCH(Kasse!O$5,Bestellungen!$A$5:$X$5,0),0))=FALSE,SUMIF(Kalkulation!$A$6:$A$40,Kasse!O$5&amp;"*",Kalkulation!$C$6:$C$40)*VLOOKUP($A32,Bestellungen!$6:$1048576,MATCH(Kasse!O$5,Bestellungen!$A$5:$X$5,0),0),"")</f>
        <v/>
      </c>
      <c r="P32" s="26" t="str">
        <f>IF(ISERROR(VLOOKUP($A32,Bestellungen!$6:$1048576,MATCH(Kasse!P$5,Bestellungen!$A$5:$X$5,0),0))=FALSE,SUMIF(Kalkulation!$A$6:$A$40,Kasse!P$5&amp;"*",Kalkulation!$C$6:$C$40)*VLOOKUP($A32,Bestellungen!$6:$1048576,MATCH(Kasse!P$5,Bestellungen!$A$5:$X$5,0),0),"")</f>
        <v/>
      </c>
      <c r="Q32" s="26" t="str">
        <f>IF(ISERROR(VLOOKUP($A32,Bestellungen!$6:$1048576,MATCH(Kasse!Q$5,Bestellungen!$A$5:$X$5,0),0))=FALSE,SUMIF(Kalkulation!$A$6:$A$40,Kasse!Q$5&amp;"*",Kalkulation!$C$6:$C$40)*VLOOKUP($A32,Bestellungen!$6:$1048576,MATCH(Kasse!Q$5,Bestellungen!$A$5:$X$5,0),0),"")</f>
        <v/>
      </c>
      <c r="R32" s="26" t="str">
        <f>IF(ISERROR(VLOOKUP($A32,Bestellungen!$6:$1048576,MATCH(Kasse!R$5,Bestellungen!$A$5:$X$5,0),0))=FALSE,SUMIF(Kalkulation!$A$6:$A$40,Kasse!R$5&amp;"*",Kalkulation!$C$6:$C$40)*VLOOKUP($A32,Bestellungen!$6:$1048576,MATCH(Kasse!R$5,Bestellungen!$A$5:$X$5,0),0),"")</f>
        <v/>
      </c>
      <c r="S32" s="26" t="str">
        <f>IF(ISERROR(VLOOKUP($A32,Bestellungen!$6:$1048576,MATCH(Kasse!S$5,Bestellungen!$A$5:$X$5,0),0))=FALSE,SUMIF(Kalkulation!$A$6:$A$40,Kasse!S$5&amp;"*",Kalkulation!$C$6:$C$40)*VLOOKUP($A32,Bestellungen!$6:$1048576,MATCH(Kasse!S$5,Bestellungen!$A$5:$X$5,0),0),"")</f>
        <v/>
      </c>
      <c r="T32" s="26" t="str">
        <f>IF(ISERROR(VLOOKUP($A32,Bestellungen!$6:$1048576,MATCH(Kasse!T$5,Bestellungen!$A$5:$X$5,0),0))=FALSE,SUMIF(Kalkulation!$A$6:$A$40,Kasse!T$5&amp;"*",Kalkulation!$C$6:$C$40)*VLOOKUP($A32,Bestellungen!$6:$1048576,MATCH(Kasse!T$5,Bestellungen!$A$5:$X$5,0),0),"")</f>
        <v/>
      </c>
      <c r="U32" s="26" t="str">
        <f t="shared" si="0"/>
        <v/>
      </c>
      <c r="W32" s="26" t="str">
        <f t="shared" si="1"/>
        <v/>
      </c>
      <c r="X32" s="26"/>
      <c r="Y32" s="26"/>
      <c r="Z32" s="26"/>
      <c r="AA32" s="26"/>
    </row>
    <row r="33" spans="1:27" x14ac:dyDescent="0.25">
      <c r="A33" t="str">
        <f>IF(LEN(Bestellungen!$A33)&gt;0,Bestellungen!$A33,"")</f>
        <v/>
      </c>
      <c r="B33" s="26" t="str">
        <f>IF(ISERROR(VLOOKUP($A33,Bestellungen!$6:$1048576,MATCH(Kasse!B$5,Bestellungen!$A$5:$X$5,0),0))=FALSE,SUMIF(Kalkulation!$A$6:$A$40,Kasse!B$5&amp;"*",Kalkulation!$C$6:$C$40)*VLOOKUP($A33,Bestellungen!$6:$1048576,MATCH(Kasse!B$5,Bestellungen!$A$5:$X$5,0),0),"")</f>
        <v/>
      </c>
      <c r="C33" s="26" t="str">
        <f>IF(ISERROR(VLOOKUP($A33,Bestellungen!$6:$1048576,MATCH(Kasse!C$5,Bestellungen!$A$5:$X$5,0),0))=FALSE,SUMIF(Kalkulation!$A$6:$A$40,Kasse!C$5&amp;"*",Kalkulation!$C$6:$C$40)*VLOOKUP($A33,Bestellungen!$6:$1048576,MATCH(Kasse!C$5,Bestellungen!$A$5:$X$5,0),0),"")</f>
        <v/>
      </c>
      <c r="D33" s="26" t="str">
        <f>IF(ISERROR(VLOOKUP($A33,Bestellungen!$6:$1048576,MATCH(Kasse!D$5,Bestellungen!$A$5:$X$5,0),0))=FALSE,SUMIF(Kalkulation!$A$6:$A$40,Kasse!D$5&amp;"*",Kalkulation!$C$6:$C$40)*VLOOKUP($A33,Bestellungen!$6:$1048576,MATCH(Kasse!D$5,Bestellungen!$A$5:$X$5,0),0),"")</f>
        <v/>
      </c>
      <c r="E33" s="26" t="str">
        <f>IF(ISERROR(VLOOKUP($A33,Bestellungen!$6:$1048576,MATCH(Kasse!E$5,Bestellungen!$A$5:$X$5,0),0))=FALSE,SUMIF(Kalkulation!$A$6:$A$40,Kasse!E$5&amp;"*",Kalkulation!$C$6:$C$40)*VLOOKUP($A33,Bestellungen!$6:$1048576,MATCH(Kasse!E$5,Bestellungen!$A$5:$X$5,0),0),"")</f>
        <v/>
      </c>
      <c r="F33" s="26" t="str">
        <f>IF(ISERROR(VLOOKUP($A33,Bestellungen!$6:$1048576,MATCH(Kasse!F$5,Bestellungen!$A$5:$X$5,0),0))=FALSE,SUMIF(Kalkulation!$A$6:$A$40,Kasse!F$5&amp;"*",Kalkulation!$C$6:$C$40)*VLOOKUP($A33,Bestellungen!$6:$1048576,MATCH(Kasse!F$5,Bestellungen!$A$5:$X$5,0),0),"")</f>
        <v/>
      </c>
      <c r="G33" s="26" t="str">
        <f>IF(ISERROR(VLOOKUP($A33,Bestellungen!$6:$1048576,MATCH(Kasse!G$5,Bestellungen!$A$5:$X$5,0),0))=FALSE,SUMIF(Kalkulation!$A$6:$A$40,Kasse!G$5&amp;"*",Kalkulation!$C$6:$C$40)*VLOOKUP($A33,Bestellungen!$6:$1048576,MATCH(Kasse!G$5,Bestellungen!$A$5:$X$5,0),0),"")</f>
        <v/>
      </c>
      <c r="H33" s="26" t="str">
        <f>IF(ISERROR(VLOOKUP($A33,Bestellungen!$6:$1048576,MATCH(Kasse!H$5,Bestellungen!$A$5:$X$5,0),0))=FALSE,SUMIF(Kalkulation!$A$6:$A$40,Kasse!H$5&amp;"*",Kalkulation!$C$6:$C$40)*VLOOKUP($A33,Bestellungen!$6:$1048576,MATCH(Kasse!H$5,Bestellungen!$A$5:$X$5,0),0),"")</f>
        <v/>
      </c>
      <c r="I33" s="26" t="str">
        <f>IF(ISERROR(VLOOKUP($A33,Bestellungen!$6:$1048576,MATCH(Kasse!I$5,Bestellungen!$A$5:$X$5,0),0))=FALSE,SUMIF(Kalkulation!$A$6:$A$40,Kasse!I$5&amp;"*",Kalkulation!$C$6:$C$40)*VLOOKUP($A33,Bestellungen!$6:$1048576,MATCH(Kasse!I$5,Bestellungen!$A$5:$X$5,0),0),"")</f>
        <v/>
      </c>
      <c r="J33" s="26" t="str">
        <f>IF(ISERROR(VLOOKUP($A33,Bestellungen!$6:$1048576,MATCH(Kasse!J$5,Bestellungen!$A$5:$X$5,0),0))=FALSE,SUMIF(Kalkulation!$A$6:$A$40,Kasse!J$5&amp;"*",Kalkulation!$C$6:$C$40)*VLOOKUP($A33,Bestellungen!$6:$1048576,MATCH(Kasse!J$5,Bestellungen!$A$5:$X$5,0),0),"")</f>
        <v/>
      </c>
      <c r="K33" s="26" t="str">
        <f>IF(ISERROR(VLOOKUP($A33,Bestellungen!$6:$1048576,MATCH(Kasse!K$5,Bestellungen!$A$5:$X$5,0),0))=FALSE,SUMIF(Kalkulation!$A$6:$A$40,Kasse!K$5&amp;"*",Kalkulation!$C$6:$C$40)*VLOOKUP($A33,Bestellungen!$6:$1048576,MATCH(Kasse!K$5,Bestellungen!$A$5:$X$5,0),0),"")</f>
        <v/>
      </c>
      <c r="L33" s="26" t="str">
        <f>IF(ISERROR(VLOOKUP($A33,Bestellungen!$6:$1048576,MATCH(Kasse!L$5,Bestellungen!$A$5:$X$5,0),0))=FALSE,SUMIF(Kalkulation!$A$6:$A$40,Kasse!L$5&amp;"*",Kalkulation!$C$6:$C$40)*VLOOKUP($A33,Bestellungen!$6:$1048576,MATCH(Kasse!L$5,Bestellungen!$A$5:$X$5,0),0),"")</f>
        <v/>
      </c>
      <c r="M33" s="26" t="str">
        <f>IF(ISERROR(VLOOKUP($A33,Bestellungen!$6:$1048576,MATCH(Kasse!M$5,Bestellungen!$A$5:$X$5,0),0))=FALSE,SUMIF(Kalkulation!$A$6:$A$40,Kasse!M$5&amp;"*",Kalkulation!$C$6:$C$40)*VLOOKUP($A33,Bestellungen!$6:$1048576,MATCH(Kasse!M$5,Bestellungen!$A$5:$X$5,0),0),"")</f>
        <v/>
      </c>
      <c r="N33" s="26" t="str">
        <f>IF(ISERROR(VLOOKUP($A33,Bestellungen!$6:$1048576,MATCH(Kasse!N$5,Bestellungen!$A$5:$X$5,0),0))=FALSE,SUMIF(Kalkulation!$A$6:$A$40,Kasse!N$5&amp;"*",Kalkulation!$C$6:$C$40)*VLOOKUP($A33,Bestellungen!$6:$1048576,MATCH(Kasse!N$5,Bestellungen!$A$5:$X$5,0),0),"")</f>
        <v/>
      </c>
      <c r="O33" s="26" t="str">
        <f>IF(ISERROR(VLOOKUP($A33,Bestellungen!$6:$1048576,MATCH(Kasse!O$5,Bestellungen!$A$5:$X$5,0),0))=FALSE,SUMIF(Kalkulation!$A$6:$A$40,Kasse!O$5&amp;"*",Kalkulation!$C$6:$C$40)*VLOOKUP($A33,Bestellungen!$6:$1048576,MATCH(Kasse!O$5,Bestellungen!$A$5:$X$5,0),0),"")</f>
        <v/>
      </c>
      <c r="P33" s="26" t="str">
        <f>IF(ISERROR(VLOOKUP($A33,Bestellungen!$6:$1048576,MATCH(Kasse!P$5,Bestellungen!$A$5:$X$5,0),0))=FALSE,SUMIF(Kalkulation!$A$6:$A$40,Kasse!P$5&amp;"*",Kalkulation!$C$6:$C$40)*VLOOKUP($A33,Bestellungen!$6:$1048576,MATCH(Kasse!P$5,Bestellungen!$A$5:$X$5,0),0),"")</f>
        <v/>
      </c>
      <c r="Q33" s="26" t="str">
        <f>IF(ISERROR(VLOOKUP($A33,Bestellungen!$6:$1048576,MATCH(Kasse!Q$5,Bestellungen!$A$5:$X$5,0),0))=FALSE,SUMIF(Kalkulation!$A$6:$A$40,Kasse!Q$5&amp;"*",Kalkulation!$C$6:$C$40)*VLOOKUP($A33,Bestellungen!$6:$1048576,MATCH(Kasse!Q$5,Bestellungen!$A$5:$X$5,0),0),"")</f>
        <v/>
      </c>
      <c r="R33" s="26" t="str">
        <f>IF(ISERROR(VLOOKUP($A33,Bestellungen!$6:$1048576,MATCH(Kasse!R$5,Bestellungen!$A$5:$X$5,0),0))=FALSE,SUMIF(Kalkulation!$A$6:$A$40,Kasse!R$5&amp;"*",Kalkulation!$C$6:$C$40)*VLOOKUP($A33,Bestellungen!$6:$1048576,MATCH(Kasse!R$5,Bestellungen!$A$5:$X$5,0),0),"")</f>
        <v/>
      </c>
      <c r="S33" s="26" t="str">
        <f>IF(ISERROR(VLOOKUP($A33,Bestellungen!$6:$1048576,MATCH(Kasse!S$5,Bestellungen!$A$5:$X$5,0),0))=FALSE,SUMIF(Kalkulation!$A$6:$A$40,Kasse!S$5&amp;"*",Kalkulation!$C$6:$C$40)*VLOOKUP($A33,Bestellungen!$6:$1048576,MATCH(Kasse!S$5,Bestellungen!$A$5:$X$5,0),0),"")</f>
        <v/>
      </c>
      <c r="T33" s="26" t="str">
        <f>IF(ISERROR(VLOOKUP($A33,Bestellungen!$6:$1048576,MATCH(Kasse!T$5,Bestellungen!$A$5:$X$5,0),0))=FALSE,SUMIF(Kalkulation!$A$6:$A$40,Kasse!T$5&amp;"*",Kalkulation!$C$6:$C$40)*VLOOKUP($A33,Bestellungen!$6:$1048576,MATCH(Kasse!T$5,Bestellungen!$A$5:$X$5,0),0),"")</f>
        <v/>
      </c>
      <c r="U33" s="26" t="str">
        <f t="shared" si="0"/>
        <v/>
      </c>
      <c r="W33" s="26" t="str">
        <f t="shared" si="1"/>
        <v/>
      </c>
      <c r="X33" s="26"/>
      <c r="Y33" s="26"/>
      <c r="Z33" s="26"/>
      <c r="AA33" s="26"/>
    </row>
    <row r="34" spans="1:27" x14ac:dyDescent="0.25">
      <c r="A34" t="str">
        <f>IF(LEN(Bestellungen!$A34)&gt;0,Bestellungen!$A34,"")</f>
        <v/>
      </c>
      <c r="B34" s="26" t="str">
        <f>IF(ISERROR(VLOOKUP($A34,Bestellungen!$6:$1048576,MATCH(Kasse!B$5,Bestellungen!$A$5:$X$5,0),0))=FALSE,SUMIF(Kalkulation!$A$6:$A$40,Kasse!B$5&amp;"*",Kalkulation!$C$6:$C$40)*VLOOKUP($A34,Bestellungen!$6:$1048576,MATCH(Kasse!B$5,Bestellungen!$A$5:$X$5,0),0),"")</f>
        <v/>
      </c>
      <c r="C34" s="26" t="str">
        <f>IF(ISERROR(VLOOKUP($A34,Bestellungen!$6:$1048576,MATCH(Kasse!C$5,Bestellungen!$A$5:$X$5,0),0))=FALSE,SUMIF(Kalkulation!$A$6:$A$40,Kasse!C$5&amp;"*",Kalkulation!$C$6:$C$40)*VLOOKUP($A34,Bestellungen!$6:$1048576,MATCH(Kasse!C$5,Bestellungen!$A$5:$X$5,0),0),"")</f>
        <v/>
      </c>
      <c r="D34" s="26" t="str">
        <f>IF(ISERROR(VLOOKUP($A34,Bestellungen!$6:$1048576,MATCH(Kasse!D$5,Bestellungen!$A$5:$X$5,0),0))=FALSE,SUMIF(Kalkulation!$A$6:$A$40,Kasse!D$5&amp;"*",Kalkulation!$C$6:$C$40)*VLOOKUP($A34,Bestellungen!$6:$1048576,MATCH(Kasse!D$5,Bestellungen!$A$5:$X$5,0),0),"")</f>
        <v/>
      </c>
      <c r="E34" s="26" t="str">
        <f>IF(ISERROR(VLOOKUP($A34,Bestellungen!$6:$1048576,MATCH(Kasse!E$5,Bestellungen!$A$5:$X$5,0),0))=FALSE,SUMIF(Kalkulation!$A$6:$A$40,Kasse!E$5&amp;"*",Kalkulation!$C$6:$C$40)*VLOOKUP($A34,Bestellungen!$6:$1048576,MATCH(Kasse!E$5,Bestellungen!$A$5:$X$5,0),0),"")</f>
        <v/>
      </c>
      <c r="F34" s="26" t="str">
        <f>IF(ISERROR(VLOOKUP($A34,Bestellungen!$6:$1048576,MATCH(Kasse!F$5,Bestellungen!$A$5:$X$5,0),0))=FALSE,SUMIF(Kalkulation!$A$6:$A$40,Kasse!F$5&amp;"*",Kalkulation!$C$6:$C$40)*VLOOKUP($A34,Bestellungen!$6:$1048576,MATCH(Kasse!F$5,Bestellungen!$A$5:$X$5,0),0),"")</f>
        <v/>
      </c>
      <c r="G34" s="26" t="str">
        <f>IF(ISERROR(VLOOKUP($A34,Bestellungen!$6:$1048576,MATCH(Kasse!G$5,Bestellungen!$A$5:$X$5,0),0))=FALSE,SUMIF(Kalkulation!$A$6:$A$40,Kasse!G$5&amp;"*",Kalkulation!$C$6:$C$40)*VLOOKUP($A34,Bestellungen!$6:$1048576,MATCH(Kasse!G$5,Bestellungen!$A$5:$X$5,0),0),"")</f>
        <v/>
      </c>
      <c r="H34" s="26" t="str">
        <f>IF(ISERROR(VLOOKUP($A34,Bestellungen!$6:$1048576,MATCH(Kasse!H$5,Bestellungen!$A$5:$X$5,0),0))=FALSE,SUMIF(Kalkulation!$A$6:$A$40,Kasse!H$5&amp;"*",Kalkulation!$C$6:$C$40)*VLOOKUP($A34,Bestellungen!$6:$1048576,MATCH(Kasse!H$5,Bestellungen!$A$5:$X$5,0),0),"")</f>
        <v/>
      </c>
      <c r="I34" s="26" t="str">
        <f>IF(ISERROR(VLOOKUP($A34,Bestellungen!$6:$1048576,MATCH(Kasse!I$5,Bestellungen!$A$5:$X$5,0),0))=FALSE,SUMIF(Kalkulation!$A$6:$A$40,Kasse!I$5&amp;"*",Kalkulation!$C$6:$C$40)*VLOOKUP($A34,Bestellungen!$6:$1048576,MATCH(Kasse!I$5,Bestellungen!$A$5:$X$5,0),0),"")</f>
        <v/>
      </c>
      <c r="J34" s="26" t="str">
        <f>IF(ISERROR(VLOOKUP($A34,Bestellungen!$6:$1048576,MATCH(Kasse!J$5,Bestellungen!$A$5:$X$5,0),0))=FALSE,SUMIF(Kalkulation!$A$6:$A$40,Kasse!J$5&amp;"*",Kalkulation!$C$6:$C$40)*VLOOKUP($A34,Bestellungen!$6:$1048576,MATCH(Kasse!J$5,Bestellungen!$A$5:$X$5,0),0),"")</f>
        <v/>
      </c>
      <c r="K34" s="26" t="str">
        <f>IF(ISERROR(VLOOKUP($A34,Bestellungen!$6:$1048576,MATCH(Kasse!K$5,Bestellungen!$A$5:$X$5,0),0))=FALSE,SUMIF(Kalkulation!$A$6:$A$40,Kasse!K$5&amp;"*",Kalkulation!$C$6:$C$40)*VLOOKUP($A34,Bestellungen!$6:$1048576,MATCH(Kasse!K$5,Bestellungen!$A$5:$X$5,0),0),"")</f>
        <v/>
      </c>
      <c r="L34" s="26" t="str">
        <f>IF(ISERROR(VLOOKUP($A34,Bestellungen!$6:$1048576,MATCH(Kasse!L$5,Bestellungen!$A$5:$X$5,0),0))=FALSE,SUMIF(Kalkulation!$A$6:$A$40,Kasse!L$5&amp;"*",Kalkulation!$C$6:$C$40)*VLOOKUP($A34,Bestellungen!$6:$1048576,MATCH(Kasse!L$5,Bestellungen!$A$5:$X$5,0),0),"")</f>
        <v/>
      </c>
      <c r="M34" s="26" t="str">
        <f>IF(ISERROR(VLOOKUP($A34,Bestellungen!$6:$1048576,MATCH(Kasse!M$5,Bestellungen!$A$5:$X$5,0),0))=FALSE,SUMIF(Kalkulation!$A$6:$A$40,Kasse!M$5&amp;"*",Kalkulation!$C$6:$C$40)*VLOOKUP($A34,Bestellungen!$6:$1048576,MATCH(Kasse!M$5,Bestellungen!$A$5:$X$5,0),0),"")</f>
        <v/>
      </c>
      <c r="N34" s="26" t="str">
        <f>IF(ISERROR(VLOOKUP($A34,Bestellungen!$6:$1048576,MATCH(Kasse!N$5,Bestellungen!$A$5:$X$5,0),0))=FALSE,SUMIF(Kalkulation!$A$6:$A$40,Kasse!N$5&amp;"*",Kalkulation!$C$6:$C$40)*VLOOKUP($A34,Bestellungen!$6:$1048576,MATCH(Kasse!N$5,Bestellungen!$A$5:$X$5,0),0),"")</f>
        <v/>
      </c>
      <c r="O34" s="26" t="str">
        <f>IF(ISERROR(VLOOKUP($A34,Bestellungen!$6:$1048576,MATCH(Kasse!O$5,Bestellungen!$A$5:$X$5,0),0))=FALSE,SUMIF(Kalkulation!$A$6:$A$40,Kasse!O$5&amp;"*",Kalkulation!$C$6:$C$40)*VLOOKUP($A34,Bestellungen!$6:$1048576,MATCH(Kasse!O$5,Bestellungen!$A$5:$X$5,0),0),"")</f>
        <v/>
      </c>
      <c r="P34" s="26" t="str">
        <f>IF(ISERROR(VLOOKUP($A34,Bestellungen!$6:$1048576,MATCH(Kasse!P$5,Bestellungen!$A$5:$X$5,0),0))=FALSE,SUMIF(Kalkulation!$A$6:$A$40,Kasse!P$5&amp;"*",Kalkulation!$C$6:$C$40)*VLOOKUP($A34,Bestellungen!$6:$1048576,MATCH(Kasse!P$5,Bestellungen!$A$5:$X$5,0),0),"")</f>
        <v/>
      </c>
      <c r="Q34" s="26" t="str">
        <f>IF(ISERROR(VLOOKUP($A34,Bestellungen!$6:$1048576,MATCH(Kasse!Q$5,Bestellungen!$A$5:$X$5,0),0))=FALSE,SUMIF(Kalkulation!$A$6:$A$40,Kasse!Q$5&amp;"*",Kalkulation!$C$6:$C$40)*VLOOKUP($A34,Bestellungen!$6:$1048576,MATCH(Kasse!Q$5,Bestellungen!$A$5:$X$5,0),0),"")</f>
        <v/>
      </c>
      <c r="R34" s="26" t="str">
        <f>IF(ISERROR(VLOOKUP($A34,Bestellungen!$6:$1048576,MATCH(Kasse!R$5,Bestellungen!$A$5:$X$5,0),0))=FALSE,SUMIF(Kalkulation!$A$6:$A$40,Kasse!R$5&amp;"*",Kalkulation!$C$6:$C$40)*VLOOKUP($A34,Bestellungen!$6:$1048576,MATCH(Kasse!R$5,Bestellungen!$A$5:$X$5,0),0),"")</f>
        <v/>
      </c>
      <c r="S34" s="26" t="str">
        <f>IF(ISERROR(VLOOKUP($A34,Bestellungen!$6:$1048576,MATCH(Kasse!S$5,Bestellungen!$A$5:$X$5,0),0))=FALSE,SUMIF(Kalkulation!$A$6:$A$40,Kasse!S$5&amp;"*",Kalkulation!$C$6:$C$40)*VLOOKUP($A34,Bestellungen!$6:$1048576,MATCH(Kasse!S$5,Bestellungen!$A$5:$X$5,0),0),"")</f>
        <v/>
      </c>
      <c r="T34" s="26" t="str">
        <f>IF(ISERROR(VLOOKUP($A34,Bestellungen!$6:$1048576,MATCH(Kasse!T$5,Bestellungen!$A$5:$X$5,0),0))=FALSE,SUMIF(Kalkulation!$A$6:$A$40,Kasse!T$5&amp;"*",Kalkulation!$C$6:$C$40)*VLOOKUP($A34,Bestellungen!$6:$1048576,MATCH(Kasse!T$5,Bestellungen!$A$5:$X$5,0),0),"")</f>
        <v/>
      </c>
      <c r="U34" s="26" t="str">
        <f t="shared" si="0"/>
        <v/>
      </c>
      <c r="W34" s="26" t="str">
        <f t="shared" si="1"/>
        <v/>
      </c>
      <c r="X34" s="26"/>
      <c r="Y34" s="26"/>
      <c r="Z34" s="26"/>
      <c r="AA34" s="26"/>
    </row>
    <row r="35" spans="1:27" x14ac:dyDescent="0.25">
      <c r="A35" t="str">
        <f>IF(LEN(Bestellungen!$A35)&gt;0,Bestellungen!$A35,"")</f>
        <v/>
      </c>
      <c r="B35" s="26" t="str">
        <f>IF(ISERROR(VLOOKUP($A35,Bestellungen!$6:$1048576,MATCH(Kasse!B$5,Bestellungen!$A$5:$X$5,0),0))=FALSE,SUMIF(Kalkulation!$A$6:$A$40,Kasse!B$5&amp;"*",Kalkulation!$C$6:$C$40)*VLOOKUP($A35,Bestellungen!$6:$1048576,MATCH(Kasse!B$5,Bestellungen!$A$5:$X$5,0),0),"")</f>
        <v/>
      </c>
      <c r="C35" s="26" t="str">
        <f>IF(ISERROR(VLOOKUP($A35,Bestellungen!$6:$1048576,MATCH(Kasse!C$5,Bestellungen!$A$5:$X$5,0),0))=FALSE,SUMIF(Kalkulation!$A$6:$A$40,Kasse!C$5&amp;"*",Kalkulation!$C$6:$C$40)*VLOOKUP($A35,Bestellungen!$6:$1048576,MATCH(Kasse!C$5,Bestellungen!$A$5:$X$5,0),0),"")</f>
        <v/>
      </c>
      <c r="D35" s="26" t="str">
        <f>IF(ISERROR(VLOOKUP($A35,Bestellungen!$6:$1048576,MATCH(Kasse!D$5,Bestellungen!$A$5:$X$5,0),0))=FALSE,SUMIF(Kalkulation!$A$6:$A$40,Kasse!D$5&amp;"*",Kalkulation!$C$6:$C$40)*VLOOKUP($A35,Bestellungen!$6:$1048576,MATCH(Kasse!D$5,Bestellungen!$A$5:$X$5,0),0),"")</f>
        <v/>
      </c>
      <c r="E35" s="26" t="str">
        <f>IF(ISERROR(VLOOKUP($A35,Bestellungen!$6:$1048576,MATCH(Kasse!E$5,Bestellungen!$A$5:$X$5,0),0))=FALSE,SUMIF(Kalkulation!$A$6:$A$40,Kasse!E$5&amp;"*",Kalkulation!$C$6:$C$40)*VLOOKUP($A35,Bestellungen!$6:$1048576,MATCH(Kasse!E$5,Bestellungen!$A$5:$X$5,0),0),"")</f>
        <v/>
      </c>
      <c r="F35" s="26" t="str">
        <f>IF(ISERROR(VLOOKUP($A35,Bestellungen!$6:$1048576,MATCH(Kasse!F$5,Bestellungen!$A$5:$X$5,0),0))=FALSE,SUMIF(Kalkulation!$A$6:$A$40,Kasse!F$5&amp;"*",Kalkulation!$C$6:$C$40)*VLOOKUP($A35,Bestellungen!$6:$1048576,MATCH(Kasse!F$5,Bestellungen!$A$5:$X$5,0),0),"")</f>
        <v/>
      </c>
      <c r="G35" s="26" t="str">
        <f>IF(ISERROR(VLOOKUP($A35,Bestellungen!$6:$1048576,MATCH(Kasse!G$5,Bestellungen!$A$5:$X$5,0),0))=FALSE,SUMIF(Kalkulation!$A$6:$A$40,Kasse!G$5&amp;"*",Kalkulation!$C$6:$C$40)*VLOOKUP($A35,Bestellungen!$6:$1048576,MATCH(Kasse!G$5,Bestellungen!$A$5:$X$5,0),0),"")</f>
        <v/>
      </c>
      <c r="H35" s="26" t="str">
        <f>IF(ISERROR(VLOOKUP($A35,Bestellungen!$6:$1048576,MATCH(Kasse!H$5,Bestellungen!$A$5:$X$5,0),0))=FALSE,SUMIF(Kalkulation!$A$6:$A$40,Kasse!H$5&amp;"*",Kalkulation!$C$6:$C$40)*VLOOKUP($A35,Bestellungen!$6:$1048576,MATCH(Kasse!H$5,Bestellungen!$A$5:$X$5,0),0),"")</f>
        <v/>
      </c>
      <c r="I35" s="26" t="str">
        <f>IF(ISERROR(VLOOKUP($A35,Bestellungen!$6:$1048576,MATCH(Kasse!I$5,Bestellungen!$A$5:$X$5,0),0))=FALSE,SUMIF(Kalkulation!$A$6:$A$40,Kasse!I$5&amp;"*",Kalkulation!$C$6:$C$40)*VLOOKUP($A35,Bestellungen!$6:$1048576,MATCH(Kasse!I$5,Bestellungen!$A$5:$X$5,0),0),"")</f>
        <v/>
      </c>
      <c r="J35" s="26" t="str">
        <f>IF(ISERROR(VLOOKUP($A35,Bestellungen!$6:$1048576,MATCH(Kasse!J$5,Bestellungen!$A$5:$X$5,0),0))=FALSE,SUMIF(Kalkulation!$A$6:$A$40,Kasse!J$5&amp;"*",Kalkulation!$C$6:$C$40)*VLOOKUP($A35,Bestellungen!$6:$1048576,MATCH(Kasse!J$5,Bestellungen!$A$5:$X$5,0),0),"")</f>
        <v/>
      </c>
      <c r="K35" s="26" t="str">
        <f>IF(ISERROR(VLOOKUP($A35,Bestellungen!$6:$1048576,MATCH(Kasse!K$5,Bestellungen!$A$5:$X$5,0),0))=FALSE,SUMIF(Kalkulation!$A$6:$A$40,Kasse!K$5&amp;"*",Kalkulation!$C$6:$C$40)*VLOOKUP($A35,Bestellungen!$6:$1048576,MATCH(Kasse!K$5,Bestellungen!$A$5:$X$5,0),0),"")</f>
        <v/>
      </c>
      <c r="L35" s="26" t="str">
        <f>IF(ISERROR(VLOOKUP($A35,Bestellungen!$6:$1048576,MATCH(Kasse!L$5,Bestellungen!$A$5:$X$5,0),0))=FALSE,SUMIF(Kalkulation!$A$6:$A$40,Kasse!L$5&amp;"*",Kalkulation!$C$6:$C$40)*VLOOKUP($A35,Bestellungen!$6:$1048576,MATCH(Kasse!L$5,Bestellungen!$A$5:$X$5,0),0),"")</f>
        <v/>
      </c>
      <c r="M35" s="26" t="str">
        <f>IF(ISERROR(VLOOKUP($A35,Bestellungen!$6:$1048576,MATCH(Kasse!M$5,Bestellungen!$A$5:$X$5,0),0))=FALSE,SUMIF(Kalkulation!$A$6:$A$40,Kasse!M$5&amp;"*",Kalkulation!$C$6:$C$40)*VLOOKUP($A35,Bestellungen!$6:$1048576,MATCH(Kasse!M$5,Bestellungen!$A$5:$X$5,0),0),"")</f>
        <v/>
      </c>
      <c r="N35" s="26" t="str">
        <f>IF(ISERROR(VLOOKUP($A35,Bestellungen!$6:$1048576,MATCH(Kasse!N$5,Bestellungen!$A$5:$X$5,0),0))=FALSE,SUMIF(Kalkulation!$A$6:$A$40,Kasse!N$5&amp;"*",Kalkulation!$C$6:$C$40)*VLOOKUP($A35,Bestellungen!$6:$1048576,MATCH(Kasse!N$5,Bestellungen!$A$5:$X$5,0),0),"")</f>
        <v/>
      </c>
      <c r="O35" s="26" t="str">
        <f>IF(ISERROR(VLOOKUP($A35,Bestellungen!$6:$1048576,MATCH(Kasse!O$5,Bestellungen!$A$5:$X$5,0),0))=FALSE,SUMIF(Kalkulation!$A$6:$A$40,Kasse!O$5&amp;"*",Kalkulation!$C$6:$C$40)*VLOOKUP($A35,Bestellungen!$6:$1048576,MATCH(Kasse!O$5,Bestellungen!$A$5:$X$5,0),0),"")</f>
        <v/>
      </c>
      <c r="P35" s="26" t="str">
        <f>IF(ISERROR(VLOOKUP($A35,Bestellungen!$6:$1048576,MATCH(Kasse!P$5,Bestellungen!$A$5:$X$5,0),0))=FALSE,SUMIF(Kalkulation!$A$6:$A$40,Kasse!P$5&amp;"*",Kalkulation!$C$6:$C$40)*VLOOKUP($A35,Bestellungen!$6:$1048576,MATCH(Kasse!P$5,Bestellungen!$A$5:$X$5,0),0),"")</f>
        <v/>
      </c>
      <c r="Q35" s="26" t="str">
        <f>IF(ISERROR(VLOOKUP($A35,Bestellungen!$6:$1048576,MATCH(Kasse!Q$5,Bestellungen!$A$5:$X$5,0),0))=FALSE,SUMIF(Kalkulation!$A$6:$A$40,Kasse!Q$5&amp;"*",Kalkulation!$C$6:$C$40)*VLOOKUP($A35,Bestellungen!$6:$1048576,MATCH(Kasse!Q$5,Bestellungen!$A$5:$X$5,0),0),"")</f>
        <v/>
      </c>
      <c r="R35" s="26" t="str">
        <f>IF(ISERROR(VLOOKUP($A35,Bestellungen!$6:$1048576,MATCH(Kasse!R$5,Bestellungen!$A$5:$X$5,0),0))=FALSE,SUMIF(Kalkulation!$A$6:$A$40,Kasse!R$5&amp;"*",Kalkulation!$C$6:$C$40)*VLOOKUP($A35,Bestellungen!$6:$1048576,MATCH(Kasse!R$5,Bestellungen!$A$5:$X$5,0),0),"")</f>
        <v/>
      </c>
      <c r="S35" s="26" t="str">
        <f>IF(ISERROR(VLOOKUP($A35,Bestellungen!$6:$1048576,MATCH(Kasse!S$5,Bestellungen!$A$5:$X$5,0),0))=FALSE,SUMIF(Kalkulation!$A$6:$A$40,Kasse!S$5&amp;"*",Kalkulation!$C$6:$C$40)*VLOOKUP($A35,Bestellungen!$6:$1048576,MATCH(Kasse!S$5,Bestellungen!$A$5:$X$5,0),0),"")</f>
        <v/>
      </c>
      <c r="T35" s="26" t="str">
        <f>IF(ISERROR(VLOOKUP($A35,Bestellungen!$6:$1048576,MATCH(Kasse!T$5,Bestellungen!$A$5:$X$5,0),0))=FALSE,SUMIF(Kalkulation!$A$6:$A$40,Kasse!T$5&amp;"*",Kalkulation!$C$6:$C$40)*VLOOKUP($A35,Bestellungen!$6:$1048576,MATCH(Kasse!T$5,Bestellungen!$A$5:$X$5,0),0),"")</f>
        <v/>
      </c>
      <c r="U35" s="26" t="str">
        <f t="shared" si="0"/>
        <v/>
      </c>
      <c r="W35" s="26" t="str">
        <f t="shared" si="1"/>
        <v/>
      </c>
      <c r="X35" s="26"/>
      <c r="Y35" s="26"/>
      <c r="Z35" s="26"/>
      <c r="AA35" s="26"/>
    </row>
    <row r="36" spans="1:27" x14ac:dyDescent="0.25">
      <c r="A36" t="str">
        <f>IF(LEN(Bestellungen!$A36)&gt;0,Bestellungen!$A36,"")</f>
        <v/>
      </c>
      <c r="B36" s="26" t="str">
        <f>IF(ISERROR(VLOOKUP($A36,Bestellungen!$6:$1048576,MATCH(Kasse!B$5,Bestellungen!$A$5:$X$5,0),0))=FALSE,SUMIF(Kalkulation!$A$6:$A$40,Kasse!B$5&amp;"*",Kalkulation!$C$6:$C$40)*VLOOKUP($A36,Bestellungen!$6:$1048576,MATCH(Kasse!B$5,Bestellungen!$A$5:$X$5,0),0),"")</f>
        <v/>
      </c>
      <c r="C36" s="26" t="str">
        <f>IF(ISERROR(VLOOKUP($A36,Bestellungen!$6:$1048576,MATCH(Kasse!C$5,Bestellungen!$A$5:$X$5,0),0))=FALSE,SUMIF(Kalkulation!$A$6:$A$40,Kasse!C$5&amp;"*",Kalkulation!$C$6:$C$40)*VLOOKUP($A36,Bestellungen!$6:$1048576,MATCH(Kasse!C$5,Bestellungen!$A$5:$X$5,0),0),"")</f>
        <v/>
      </c>
      <c r="D36" s="26" t="str">
        <f>IF(ISERROR(VLOOKUP($A36,Bestellungen!$6:$1048576,MATCH(Kasse!D$5,Bestellungen!$A$5:$X$5,0),0))=FALSE,SUMIF(Kalkulation!$A$6:$A$40,Kasse!D$5&amp;"*",Kalkulation!$C$6:$C$40)*VLOOKUP($A36,Bestellungen!$6:$1048576,MATCH(Kasse!D$5,Bestellungen!$A$5:$X$5,0),0),"")</f>
        <v/>
      </c>
      <c r="E36" s="26" t="str">
        <f>IF(ISERROR(VLOOKUP($A36,Bestellungen!$6:$1048576,MATCH(Kasse!E$5,Bestellungen!$A$5:$X$5,0),0))=FALSE,SUMIF(Kalkulation!$A$6:$A$40,Kasse!E$5&amp;"*",Kalkulation!$C$6:$C$40)*VLOOKUP($A36,Bestellungen!$6:$1048576,MATCH(Kasse!E$5,Bestellungen!$A$5:$X$5,0),0),"")</f>
        <v/>
      </c>
      <c r="F36" s="26" t="str">
        <f>IF(ISERROR(VLOOKUP($A36,Bestellungen!$6:$1048576,MATCH(Kasse!F$5,Bestellungen!$A$5:$X$5,0),0))=FALSE,SUMIF(Kalkulation!$A$6:$A$40,Kasse!F$5&amp;"*",Kalkulation!$C$6:$C$40)*VLOOKUP($A36,Bestellungen!$6:$1048576,MATCH(Kasse!F$5,Bestellungen!$A$5:$X$5,0),0),"")</f>
        <v/>
      </c>
      <c r="G36" s="26" t="str">
        <f>IF(ISERROR(VLOOKUP($A36,Bestellungen!$6:$1048576,MATCH(Kasse!G$5,Bestellungen!$A$5:$X$5,0),0))=FALSE,SUMIF(Kalkulation!$A$6:$A$40,Kasse!G$5&amp;"*",Kalkulation!$C$6:$C$40)*VLOOKUP($A36,Bestellungen!$6:$1048576,MATCH(Kasse!G$5,Bestellungen!$A$5:$X$5,0),0),"")</f>
        <v/>
      </c>
      <c r="H36" s="26" t="str">
        <f>IF(ISERROR(VLOOKUP($A36,Bestellungen!$6:$1048576,MATCH(Kasse!H$5,Bestellungen!$A$5:$X$5,0),0))=FALSE,SUMIF(Kalkulation!$A$6:$A$40,Kasse!H$5&amp;"*",Kalkulation!$C$6:$C$40)*VLOOKUP($A36,Bestellungen!$6:$1048576,MATCH(Kasse!H$5,Bestellungen!$A$5:$X$5,0),0),"")</f>
        <v/>
      </c>
      <c r="I36" s="26" t="str">
        <f>IF(ISERROR(VLOOKUP($A36,Bestellungen!$6:$1048576,MATCH(Kasse!I$5,Bestellungen!$A$5:$X$5,0),0))=FALSE,SUMIF(Kalkulation!$A$6:$A$40,Kasse!I$5&amp;"*",Kalkulation!$C$6:$C$40)*VLOOKUP($A36,Bestellungen!$6:$1048576,MATCH(Kasse!I$5,Bestellungen!$A$5:$X$5,0),0),"")</f>
        <v/>
      </c>
      <c r="J36" s="26" t="str">
        <f>IF(ISERROR(VLOOKUP($A36,Bestellungen!$6:$1048576,MATCH(Kasse!J$5,Bestellungen!$A$5:$X$5,0),0))=FALSE,SUMIF(Kalkulation!$A$6:$A$40,Kasse!J$5&amp;"*",Kalkulation!$C$6:$C$40)*VLOOKUP($A36,Bestellungen!$6:$1048576,MATCH(Kasse!J$5,Bestellungen!$A$5:$X$5,0),0),"")</f>
        <v/>
      </c>
      <c r="K36" s="26" t="str">
        <f>IF(ISERROR(VLOOKUP($A36,Bestellungen!$6:$1048576,MATCH(Kasse!K$5,Bestellungen!$A$5:$X$5,0),0))=FALSE,SUMIF(Kalkulation!$A$6:$A$40,Kasse!K$5&amp;"*",Kalkulation!$C$6:$C$40)*VLOOKUP($A36,Bestellungen!$6:$1048576,MATCH(Kasse!K$5,Bestellungen!$A$5:$X$5,0),0),"")</f>
        <v/>
      </c>
      <c r="L36" s="26" t="str">
        <f>IF(ISERROR(VLOOKUP($A36,Bestellungen!$6:$1048576,MATCH(Kasse!L$5,Bestellungen!$A$5:$X$5,0),0))=FALSE,SUMIF(Kalkulation!$A$6:$A$40,Kasse!L$5&amp;"*",Kalkulation!$C$6:$C$40)*VLOOKUP($A36,Bestellungen!$6:$1048576,MATCH(Kasse!L$5,Bestellungen!$A$5:$X$5,0),0),"")</f>
        <v/>
      </c>
      <c r="M36" s="26" t="str">
        <f>IF(ISERROR(VLOOKUP($A36,Bestellungen!$6:$1048576,MATCH(Kasse!M$5,Bestellungen!$A$5:$X$5,0),0))=FALSE,SUMIF(Kalkulation!$A$6:$A$40,Kasse!M$5&amp;"*",Kalkulation!$C$6:$C$40)*VLOOKUP($A36,Bestellungen!$6:$1048576,MATCH(Kasse!M$5,Bestellungen!$A$5:$X$5,0),0),"")</f>
        <v/>
      </c>
      <c r="N36" s="26" t="str">
        <f>IF(ISERROR(VLOOKUP($A36,Bestellungen!$6:$1048576,MATCH(Kasse!N$5,Bestellungen!$A$5:$X$5,0),0))=FALSE,SUMIF(Kalkulation!$A$6:$A$40,Kasse!N$5&amp;"*",Kalkulation!$C$6:$C$40)*VLOOKUP($A36,Bestellungen!$6:$1048576,MATCH(Kasse!N$5,Bestellungen!$A$5:$X$5,0),0),"")</f>
        <v/>
      </c>
      <c r="O36" s="26" t="str">
        <f>IF(ISERROR(VLOOKUP($A36,Bestellungen!$6:$1048576,MATCH(Kasse!O$5,Bestellungen!$A$5:$X$5,0),0))=FALSE,SUMIF(Kalkulation!$A$6:$A$40,Kasse!O$5&amp;"*",Kalkulation!$C$6:$C$40)*VLOOKUP($A36,Bestellungen!$6:$1048576,MATCH(Kasse!O$5,Bestellungen!$A$5:$X$5,0),0),"")</f>
        <v/>
      </c>
      <c r="P36" s="26" t="str">
        <f>IF(ISERROR(VLOOKUP($A36,Bestellungen!$6:$1048576,MATCH(Kasse!P$5,Bestellungen!$A$5:$X$5,0),0))=FALSE,SUMIF(Kalkulation!$A$6:$A$40,Kasse!P$5&amp;"*",Kalkulation!$C$6:$C$40)*VLOOKUP($A36,Bestellungen!$6:$1048576,MATCH(Kasse!P$5,Bestellungen!$A$5:$X$5,0),0),"")</f>
        <v/>
      </c>
      <c r="Q36" s="26" t="str">
        <f>IF(ISERROR(VLOOKUP($A36,Bestellungen!$6:$1048576,MATCH(Kasse!Q$5,Bestellungen!$A$5:$X$5,0),0))=FALSE,SUMIF(Kalkulation!$A$6:$A$40,Kasse!Q$5&amp;"*",Kalkulation!$C$6:$C$40)*VLOOKUP($A36,Bestellungen!$6:$1048576,MATCH(Kasse!Q$5,Bestellungen!$A$5:$X$5,0),0),"")</f>
        <v/>
      </c>
      <c r="R36" s="26" t="str">
        <f>IF(ISERROR(VLOOKUP($A36,Bestellungen!$6:$1048576,MATCH(Kasse!R$5,Bestellungen!$A$5:$X$5,0),0))=FALSE,SUMIF(Kalkulation!$A$6:$A$40,Kasse!R$5&amp;"*",Kalkulation!$C$6:$C$40)*VLOOKUP($A36,Bestellungen!$6:$1048576,MATCH(Kasse!R$5,Bestellungen!$A$5:$X$5,0),0),"")</f>
        <v/>
      </c>
      <c r="S36" s="26" t="str">
        <f>IF(ISERROR(VLOOKUP($A36,Bestellungen!$6:$1048576,MATCH(Kasse!S$5,Bestellungen!$A$5:$X$5,0),0))=FALSE,SUMIF(Kalkulation!$A$6:$A$40,Kasse!S$5&amp;"*",Kalkulation!$C$6:$C$40)*VLOOKUP($A36,Bestellungen!$6:$1048576,MATCH(Kasse!S$5,Bestellungen!$A$5:$X$5,0),0),"")</f>
        <v/>
      </c>
      <c r="T36" s="26" t="str">
        <f>IF(ISERROR(VLOOKUP($A36,Bestellungen!$6:$1048576,MATCH(Kasse!T$5,Bestellungen!$A$5:$X$5,0),0))=FALSE,SUMIF(Kalkulation!$A$6:$A$40,Kasse!T$5&amp;"*",Kalkulation!$C$6:$C$40)*VLOOKUP($A36,Bestellungen!$6:$1048576,MATCH(Kasse!T$5,Bestellungen!$A$5:$X$5,0),0),"")</f>
        <v/>
      </c>
      <c r="U36" s="26" t="str">
        <f t="shared" si="0"/>
        <v/>
      </c>
      <c r="W36" s="26" t="str">
        <f t="shared" si="1"/>
        <v/>
      </c>
      <c r="X36" s="26"/>
      <c r="Y36" s="26"/>
      <c r="Z36" s="26"/>
      <c r="AA36" s="26"/>
    </row>
    <row r="37" spans="1:27" x14ac:dyDescent="0.25">
      <c r="A37" t="str">
        <f>IF(LEN(Bestellungen!$A37)&gt;0,Bestellungen!$A37,"")</f>
        <v/>
      </c>
      <c r="B37" s="26" t="str">
        <f>IF(ISERROR(VLOOKUP($A37,Bestellungen!$6:$1048576,MATCH(Kasse!B$5,Bestellungen!$A$5:$X$5,0),0))=FALSE,SUMIF(Kalkulation!$A$6:$A$40,Kasse!B$5&amp;"*",Kalkulation!$C$6:$C$40)*VLOOKUP($A37,Bestellungen!$6:$1048576,MATCH(Kasse!B$5,Bestellungen!$A$5:$X$5,0),0),"")</f>
        <v/>
      </c>
      <c r="C37" s="26" t="str">
        <f>IF(ISERROR(VLOOKUP($A37,Bestellungen!$6:$1048576,MATCH(Kasse!C$5,Bestellungen!$A$5:$X$5,0),0))=FALSE,SUMIF(Kalkulation!$A$6:$A$40,Kasse!C$5&amp;"*",Kalkulation!$C$6:$C$40)*VLOOKUP($A37,Bestellungen!$6:$1048576,MATCH(Kasse!C$5,Bestellungen!$A$5:$X$5,0),0),"")</f>
        <v/>
      </c>
      <c r="D37" s="26" t="str">
        <f>IF(ISERROR(VLOOKUP($A37,Bestellungen!$6:$1048576,MATCH(Kasse!D$5,Bestellungen!$A$5:$X$5,0),0))=FALSE,SUMIF(Kalkulation!$A$6:$A$40,Kasse!D$5&amp;"*",Kalkulation!$C$6:$C$40)*VLOOKUP($A37,Bestellungen!$6:$1048576,MATCH(Kasse!D$5,Bestellungen!$A$5:$X$5,0),0),"")</f>
        <v/>
      </c>
      <c r="E37" s="26" t="str">
        <f>IF(ISERROR(VLOOKUP($A37,Bestellungen!$6:$1048576,MATCH(Kasse!E$5,Bestellungen!$A$5:$X$5,0),0))=FALSE,SUMIF(Kalkulation!$A$6:$A$40,Kasse!E$5&amp;"*",Kalkulation!$C$6:$C$40)*VLOOKUP($A37,Bestellungen!$6:$1048576,MATCH(Kasse!E$5,Bestellungen!$A$5:$X$5,0),0),"")</f>
        <v/>
      </c>
      <c r="F37" s="26" t="str">
        <f>IF(ISERROR(VLOOKUP($A37,Bestellungen!$6:$1048576,MATCH(Kasse!F$5,Bestellungen!$A$5:$X$5,0),0))=FALSE,SUMIF(Kalkulation!$A$6:$A$40,Kasse!F$5&amp;"*",Kalkulation!$C$6:$C$40)*VLOOKUP($A37,Bestellungen!$6:$1048576,MATCH(Kasse!F$5,Bestellungen!$A$5:$X$5,0),0),"")</f>
        <v/>
      </c>
      <c r="G37" s="26" t="str">
        <f>IF(ISERROR(VLOOKUP($A37,Bestellungen!$6:$1048576,MATCH(Kasse!G$5,Bestellungen!$A$5:$X$5,0),0))=FALSE,SUMIF(Kalkulation!$A$6:$A$40,Kasse!G$5&amp;"*",Kalkulation!$C$6:$C$40)*VLOOKUP($A37,Bestellungen!$6:$1048576,MATCH(Kasse!G$5,Bestellungen!$A$5:$X$5,0),0),"")</f>
        <v/>
      </c>
      <c r="H37" s="26" t="str">
        <f>IF(ISERROR(VLOOKUP($A37,Bestellungen!$6:$1048576,MATCH(Kasse!H$5,Bestellungen!$A$5:$X$5,0),0))=FALSE,SUMIF(Kalkulation!$A$6:$A$40,Kasse!H$5&amp;"*",Kalkulation!$C$6:$C$40)*VLOOKUP($A37,Bestellungen!$6:$1048576,MATCH(Kasse!H$5,Bestellungen!$A$5:$X$5,0),0),"")</f>
        <v/>
      </c>
      <c r="I37" s="26" t="str">
        <f>IF(ISERROR(VLOOKUP($A37,Bestellungen!$6:$1048576,MATCH(Kasse!I$5,Bestellungen!$A$5:$X$5,0),0))=FALSE,SUMIF(Kalkulation!$A$6:$A$40,Kasse!I$5&amp;"*",Kalkulation!$C$6:$C$40)*VLOOKUP($A37,Bestellungen!$6:$1048576,MATCH(Kasse!I$5,Bestellungen!$A$5:$X$5,0),0),"")</f>
        <v/>
      </c>
      <c r="J37" s="26" t="str">
        <f>IF(ISERROR(VLOOKUP($A37,Bestellungen!$6:$1048576,MATCH(Kasse!J$5,Bestellungen!$A$5:$X$5,0),0))=FALSE,SUMIF(Kalkulation!$A$6:$A$40,Kasse!J$5&amp;"*",Kalkulation!$C$6:$C$40)*VLOOKUP($A37,Bestellungen!$6:$1048576,MATCH(Kasse!J$5,Bestellungen!$A$5:$X$5,0),0),"")</f>
        <v/>
      </c>
      <c r="K37" s="26" t="str">
        <f>IF(ISERROR(VLOOKUP($A37,Bestellungen!$6:$1048576,MATCH(Kasse!K$5,Bestellungen!$A$5:$X$5,0),0))=FALSE,SUMIF(Kalkulation!$A$6:$A$40,Kasse!K$5&amp;"*",Kalkulation!$C$6:$C$40)*VLOOKUP($A37,Bestellungen!$6:$1048576,MATCH(Kasse!K$5,Bestellungen!$A$5:$X$5,0),0),"")</f>
        <v/>
      </c>
      <c r="L37" s="26" t="str">
        <f>IF(ISERROR(VLOOKUP($A37,Bestellungen!$6:$1048576,MATCH(Kasse!L$5,Bestellungen!$A$5:$X$5,0),0))=FALSE,SUMIF(Kalkulation!$A$6:$A$40,Kasse!L$5&amp;"*",Kalkulation!$C$6:$C$40)*VLOOKUP($A37,Bestellungen!$6:$1048576,MATCH(Kasse!L$5,Bestellungen!$A$5:$X$5,0),0),"")</f>
        <v/>
      </c>
      <c r="M37" s="26" t="str">
        <f>IF(ISERROR(VLOOKUP($A37,Bestellungen!$6:$1048576,MATCH(Kasse!M$5,Bestellungen!$A$5:$X$5,0),0))=FALSE,SUMIF(Kalkulation!$A$6:$A$40,Kasse!M$5&amp;"*",Kalkulation!$C$6:$C$40)*VLOOKUP($A37,Bestellungen!$6:$1048576,MATCH(Kasse!M$5,Bestellungen!$A$5:$X$5,0),0),"")</f>
        <v/>
      </c>
      <c r="N37" s="26" t="str">
        <f>IF(ISERROR(VLOOKUP($A37,Bestellungen!$6:$1048576,MATCH(Kasse!N$5,Bestellungen!$A$5:$X$5,0),0))=FALSE,SUMIF(Kalkulation!$A$6:$A$40,Kasse!N$5&amp;"*",Kalkulation!$C$6:$C$40)*VLOOKUP($A37,Bestellungen!$6:$1048576,MATCH(Kasse!N$5,Bestellungen!$A$5:$X$5,0),0),"")</f>
        <v/>
      </c>
      <c r="O37" s="26" t="str">
        <f>IF(ISERROR(VLOOKUP($A37,Bestellungen!$6:$1048576,MATCH(Kasse!O$5,Bestellungen!$A$5:$X$5,0),0))=FALSE,SUMIF(Kalkulation!$A$6:$A$40,Kasse!O$5&amp;"*",Kalkulation!$C$6:$C$40)*VLOOKUP($A37,Bestellungen!$6:$1048576,MATCH(Kasse!O$5,Bestellungen!$A$5:$X$5,0),0),"")</f>
        <v/>
      </c>
      <c r="P37" s="26" t="str">
        <f>IF(ISERROR(VLOOKUP($A37,Bestellungen!$6:$1048576,MATCH(Kasse!P$5,Bestellungen!$A$5:$X$5,0),0))=FALSE,SUMIF(Kalkulation!$A$6:$A$40,Kasse!P$5&amp;"*",Kalkulation!$C$6:$C$40)*VLOOKUP($A37,Bestellungen!$6:$1048576,MATCH(Kasse!P$5,Bestellungen!$A$5:$X$5,0),0),"")</f>
        <v/>
      </c>
      <c r="Q37" s="26" t="str">
        <f>IF(ISERROR(VLOOKUP($A37,Bestellungen!$6:$1048576,MATCH(Kasse!Q$5,Bestellungen!$A$5:$X$5,0),0))=FALSE,SUMIF(Kalkulation!$A$6:$A$40,Kasse!Q$5&amp;"*",Kalkulation!$C$6:$C$40)*VLOOKUP($A37,Bestellungen!$6:$1048576,MATCH(Kasse!Q$5,Bestellungen!$A$5:$X$5,0),0),"")</f>
        <v/>
      </c>
      <c r="R37" s="26" t="str">
        <f>IF(ISERROR(VLOOKUP($A37,Bestellungen!$6:$1048576,MATCH(Kasse!R$5,Bestellungen!$A$5:$X$5,0),0))=FALSE,SUMIF(Kalkulation!$A$6:$A$40,Kasse!R$5&amp;"*",Kalkulation!$C$6:$C$40)*VLOOKUP($A37,Bestellungen!$6:$1048576,MATCH(Kasse!R$5,Bestellungen!$A$5:$X$5,0),0),"")</f>
        <v/>
      </c>
      <c r="S37" s="26" t="str">
        <f>IF(ISERROR(VLOOKUP($A37,Bestellungen!$6:$1048576,MATCH(Kasse!S$5,Bestellungen!$A$5:$X$5,0),0))=FALSE,SUMIF(Kalkulation!$A$6:$A$40,Kasse!S$5&amp;"*",Kalkulation!$C$6:$C$40)*VLOOKUP($A37,Bestellungen!$6:$1048576,MATCH(Kasse!S$5,Bestellungen!$A$5:$X$5,0),0),"")</f>
        <v/>
      </c>
      <c r="T37" s="26" t="str">
        <f>IF(ISERROR(VLOOKUP($A37,Bestellungen!$6:$1048576,MATCH(Kasse!T$5,Bestellungen!$A$5:$X$5,0),0))=FALSE,SUMIF(Kalkulation!$A$6:$A$40,Kasse!T$5&amp;"*",Kalkulation!$C$6:$C$40)*VLOOKUP($A37,Bestellungen!$6:$1048576,MATCH(Kasse!T$5,Bestellungen!$A$5:$X$5,0),0),"")</f>
        <v/>
      </c>
      <c r="U37" s="26" t="str">
        <f t="shared" si="0"/>
        <v/>
      </c>
      <c r="W37" s="26" t="str">
        <f t="shared" si="1"/>
        <v/>
      </c>
      <c r="X37" s="26"/>
      <c r="Y37" s="26"/>
      <c r="Z37" s="26"/>
      <c r="AA37" s="26"/>
    </row>
    <row r="38" spans="1:27" x14ac:dyDescent="0.25">
      <c r="A38" t="str">
        <f>IF(LEN(Bestellungen!$A38)&gt;0,Bestellungen!$A38,"")</f>
        <v/>
      </c>
      <c r="B38" s="26" t="str">
        <f>IF(ISERROR(VLOOKUP($A38,Bestellungen!$6:$1048576,MATCH(Kasse!B$5,Bestellungen!$A$5:$X$5,0),0))=FALSE,SUMIF(Kalkulation!$A$6:$A$40,Kasse!B$5&amp;"*",Kalkulation!$C$6:$C$40)*VLOOKUP($A38,Bestellungen!$6:$1048576,MATCH(Kasse!B$5,Bestellungen!$A$5:$X$5,0),0),"")</f>
        <v/>
      </c>
      <c r="C38" s="26" t="str">
        <f>IF(ISERROR(VLOOKUP($A38,Bestellungen!$6:$1048576,MATCH(Kasse!C$5,Bestellungen!$A$5:$X$5,0),0))=FALSE,SUMIF(Kalkulation!$A$6:$A$40,Kasse!C$5&amp;"*",Kalkulation!$C$6:$C$40)*VLOOKUP($A38,Bestellungen!$6:$1048576,MATCH(Kasse!C$5,Bestellungen!$A$5:$X$5,0),0),"")</f>
        <v/>
      </c>
      <c r="D38" s="26" t="str">
        <f>IF(ISERROR(VLOOKUP($A38,Bestellungen!$6:$1048576,MATCH(Kasse!D$5,Bestellungen!$A$5:$X$5,0),0))=FALSE,SUMIF(Kalkulation!$A$6:$A$40,Kasse!D$5&amp;"*",Kalkulation!$C$6:$C$40)*VLOOKUP($A38,Bestellungen!$6:$1048576,MATCH(Kasse!D$5,Bestellungen!$A$5:$X$5,0),0),"")</f>
        <v/>
      </c>
      <c r="E38" s="26" t="str">
        <f>IF(ISERROR(VLOOKUP($A38,Bestellungen!$6:$1048576,MATCH(Kasse!E$5,Bestellungen!$A$5:$X$5,0),0))=FALSE,SUMIF(Kalkulation!$A$6:$A$40,Kasse!E$5&amp;"*",Kalkulation!$C$6:$C$40)*VLOOKUP($A38,Bestellungen!$6:$1048576,MATCH(Kasse!E$5,Bestellungen!$A$5:$X$5,0),0),"")</f>
        <v/>
      </c>
      <c r="F38" s="26" t="str">
        <f>IF(ISERROR(VLOOKUP($A38,Bestellungen!$6:$1048576,MATCH(Kasse!F$5,Bestellungen!$A$5:$X$5,0),0))=FALSE,SUMIF(Kalkulation!$A$6:$A$40,Kasse!F$5&amp;"*",Kalkulation!$C$6:$C$40)*VLOOKUP($A38,Bestellungen!$6:$1048576,MATCH(Kasse!F$5,Bestellungen!$A$5:$X$5,0),0),"")</f>
        <v/>
      </c>
      <c r="G38" s="26" t="str">
        <f>IF(ISERROR(VLOOKUP($A38,Bestellungen!$6:$1048576,MATCH(Kasse!G$5,Bestellungen!$A$5:$X$5,0),0))=FALSE,SUMIF(Kalkulation!$A$6:$A$40,Kasse!G$5&amp;"*",Kalkulation!$C$6:$C$40)*VLOOKUP($A38,Bestellungen!$6:$1048576,MATCH(Kasse!G$5,Bestellungen!$A$5:$X$5,0),0),"")</f>
        <v/>
      </c>
      <c r="H38" s="26" t="str">
        <f>IF(ISERROR(VLOOKUP($A38,Bestellungen!$6:$1048576,MATCH(Kasse!H$5,Bestellungen!$A$5:$X$5,0),0))=FALSE,SUMIF(Kalkulation!$A$6:$A$40,Kasse!H$5&amp;"*",Kalkulation!$C$6:$C$40)*VLOOKUP($A38,Bestellungen!$6:$1048576,MATCH(Kasse!H$5,Bestellungen!$A$5:$X$5,0),0),"")</f>
        <v/>
      </c>
      <c r="I38" s="26" t="str">
        <f>IF(ISERROR(VLOOKUP($A38,Bestellungen!$6:$1048576,MATCH(Kasse!I$5,Bestellungen!$A$5:$X$5,0),0))=FALSE,SUMIF(Kalkulation!$A$6:$A$40,Kasse!I$5&amp;"*",Kalkulation!$C$6:$C$40)*VLOOKUP($A38,Bestellungen!$6:$1048576,MATCH(Kasse!I$5,Bestellungen!$A$5:$X$5,0),0),"")</f>
        <v/>
      </c>
      <c r="J38" s="26" t="str">
        <f>IF(ISERROR(VLOOKUP($A38,Bestellungen!$6:$1048576,MATCH(Kasse!J$5,Bestellungen!$A$5:$X$5,0),0))=FALSE,SUMIF(Kalkulation!$A$6:$A$40,Kasse!J$5&amp;"*",Kalkulation!$C$6:$C$40)*VLOOKUP($A38,Bestellungen!$6:$1048576,MATCH(Kasse!J$5,Bestellungen!$A$5:$X$5,0),0),"")</f>
        <v/>
      </c>
      <c r="K38" s="26" t="str">
        <f>IF(ISERROR(VLOOKUP($A38,Bestellungen!$6:$1048576,MATCH(Kasse!K$5,Bestellungen!$A$5:$X$5,0),0))=FALSE,SUMIF(Kalkulation!$A$6:$A$40,Kasse!K$5&amp;"*",Kalkulation!$C$6:$C$40)*VLOOKUP($A38,Bestellungen!$6:$1048576,MATCH(Kasse!K$5,Bestellungen!$A$5:$X$5,0),0),"")</f>
        <v/>
      </c>
      <c r="L38" s="26" t="str">
        <f>IF(ISERROR(VLOOKUP($A38,Bestellungen!$6:$1048576,MATCH(Kasse!L$5,Bestellungen!$A$5:$X$5,0),0))=FALSE,SUMIF(Kalkulation!$A$6:$A$40,Kasse!L$5&amp;"*",Kalkulation!$C$6:$C$40)*VLOOKUP($A38,Bestellungen!$6:$1048576,MATCH(Kasse!L$5,Bestellungen!$A$5:$X$5,0),0),"")</f>
        <v/>
      </c>
      <c r="M38" s="26" t="str">
        <f>IF(ISERROR(VLOOKUP($A38,Bestellungen!$6:$1048576,MATCH(Kasse!M$5,Bestellungen!$A$5:$X$5,0),0))=FALSE,SUMIF(Kalkulation!$A$6:$A$40,Kasse!M$5&amp;"*",Kalkulation!$C$6:$C$40)*VLOOKUP($A38,Bestellungen!$6:$1048576,MATCH(Kasse!M$5,Bestellungen!$A$5:$X$5,0),0),"")</f>
        <v/>
      </c>
      <c r="N38" s="26" t="str">
        <f>IF(ISERROR(VLOOKUP($A38,Bestellungen!$6:$1048576,MATCH(Kasse!N$5,Bestellungen!$A$5:$X$5,0),0))=FALSE,SUMIF(Kalkulation!$A$6:$A$40,Kasse!N$5&amp;"*",Kalkulation!$C$6:$C$40)*VLOOKUP($A38,Bestellungen!$6:$1048576,MATCH(Kasse!N$5,Bestellungen!$A$5:$X$5,0),0),"")</f>
        <v/>
      </c>
      <c r="O38" s="26" t="str">
        <f>IF(ISERROR(VLOOKUP($A38,Bestellungen!$6:$1048576,MATCH(Kasse!O$5,Bestellungen!$A$5:$X$5,0),0))=FALSE,SUMIF(Kalkulation!$A$6:$A$40,Kasse!O$5&amp;"*",Kalkulation!$C$6:$C$40)*VLOOKUP($A38,Bestellungen!$6:$1048576,MATCH(Kasse!O$5,Bestellungen!$A$5:$X$5,0),0),"")</f>
        <v/>
      </c>
      <c r="P38" s="26" t="str">
        <f>IF(ISERROR(VLOOKUP($A38,Bestellungen!$6:$1048576,MATCH(Kasse!P$5,Bestellungen!$A$5:$X$5,0),0))=FALSE,SUMIF(Kalkulation!$A$6:$A$40,Kasse!P$5&amp;"*",Kalkulation!$C$6:$C$40)*VLOOKUP($A38,Bestellungen!$6:$1048576,MATCH(Kasse!P$5,Bestellungen!$A$5:$X$5,0),0),"")</f>
        <v/>
      </c>
      <c r="Q38" s="26" t="str">
        <f>IF(ISERROR(VLOOKUP($A38,Bestellungen!$6:$1048576,MATCH(Kasse!Q$5,Bestellungen!$A$5:$X$5,0),0))=FALSE,SUMIF(Kalkulation!$A$6:$A$40,Kasse!Q$5&amp;"*",Kalkulation!$C$6:$C$40)*VLOOKUP($A38,Bestellungen!$6:$1048576,MATCH(Kasse!Q$5,Bestellungen!$A$5:$X$5,0),0),"")</f>
        <v/>
      </c>
      <c r="R38" s="26" t="str">
        <f>IF(ISERROR(VLOOKUP($A38,Bestellungen!$6:$1048576,MATCH(Kasse!R$5,Bestellungen!$A$5:$X$5,0),0))=FALSE,SUMIF(Kalkulation!$A$6:$A$40,Kasse!R$5&amp;"*",Kalkulation!$C$6:$C$40)*VLOOKUP($A38,Bestellungen!$6:$1048576,MATCH(Kasse!R$5,Bestellungen!$A$5:$X$5,0),0),"")</f>
        <v/>
      </c>
      <c r="S38" s="26" t="str">
        <f>IF(ISERROR(VLOOKUP($A38,Bestellungen!$6:$1048576,MATCH(Kasse!S$5,Bestellungen!$A$5:$X$5,0),0))=FALSE,SUMIF(Kalkulation!$A$6:$A$40,Kasse!S$5&amp;"*",Kalkulation!$C$6:$C$40)*VLOOKUP($A38,Bestellungen!$6:$1048576,MATCH(Kasse!S$5,Bestellungen!$A$5:$X$5,0),0),"")</f>
        <v/>
      </c>
      <c r="T38" s="26" t="str">
        <f>IF(ISERROR(VLOOKUP($A38,Bestellungen!$6:$1048576,MATCH(Kasse!T$5,Bestellungen!$A$5:$X$5,0),0))=FALSE,SUMIF(Kalkulation!$A$6:$A$40,Kasse!T$5&amp;"*",Kalkulation!$C$6:$C$40)*VLOOKUP($A38,Bestellungen!$6:$1048576,MATCH(Kasse!T$5,Bestellungen!$A$5:$X$5,0),0),"")</f>
        <v/>
      </c>
      <c r="U38" s="26" t="str">
        <f t="shared" si="0"/>
        <v/>
      </c>
      <c r="W38" s="26" t="str">
        <f t="shared" si="1"/>
        <v/>
      </c>
      <c r="X38" s="26"/>
      <c r="Y38" s="26"/>
      <c r="Z38" s="26"/>
      <c r="AA38" s="26"/>
    </row>
    <row r="39" spans="1:27" x14ac:dyDescent="0.25">
      <c r="A39" t="str">
        <f>IF(LEN(Bestellungen!$A39)&gt;0,Bestellungen!$A39,"")</f>
        <v/>
      </c>
      <c r="B39" s="26" t="str">
        <f>IF(ISERROR(VLOOKUP($A39,Bestellungen!$6:$1048576,MATCH(Kasse!B$5,Bestellungen!$A$5:$X$5,0),0))=FALSE,SUMIF(Kalkulation!$A$6:$A$40,Kasse!B$5&amp;"*",Kalkulation!$C$6:$C$40)*VLOOKUP($A39,Bestellungen!$6:$1048576,MATCH(Kasse!B$5,Bestellungen!$A$5:$X$5,0),0),"")</f>
        <v/>
      </c>
      <c r="C39" s="26" t="str">
        <f>IF(ISERROR(VLOOKUP($A39,Bestellungen!$6:$1048576,MATCH(Kasse!C$5,Bestellungen!$A$5:$X$5,0),0))=FALSE,SUMIF(Kalkulation!$A$6:$A$40,Kasse!C$5&amp;"*",Kalkulation!$C$6:$C$40)*VLOOKUP($A39,Bestellungen!$6:$1048576,MATCH(Kasse!C$5,Bestellungen!$A$5:$X$5,0),0),"")</f>
        <v/>
      </c>
      <c r="D39" s="26" t="str">
        <f>IF(ISERROR(VLOOKUP($A39,Bestellungen!$6:$1048576,MATCH(Kasse!D$5,Bestellungen!$A$5:$X$5,0),0))=FALSE,SUMIF(Kalkulation!$A$6:$A$40,Kasse!D$5&amp;"*",Kalkulation!$C$6:$C$40)*VLOOKUP($A39,Bestellungen!$6:$1048576,MATCH(Kasse!D$5,Bestellungen!$A$5:$X$5,0),0),"")</f>
        <v/>
      </c>
      <c r="E39" s="26" t="str">
        <f>IF(ISERROR(VLOOKUP($A39,Bestellungen!$6:$1048576,MATCH(Kasse!E$5,Bestellungen!$A$5:$X$5,0),0))=FALSE,SUMIF(Kalkulation!$A$6:$A$40,Kasse!E$5&amp;"*",Kalkulation!$C$6:$C$40)*VLOOKUP($A39,Bestellungen!$6:$1048576,MATCH(Kasse!E$5,Bestellungen!$A$5:$X$5,0),0),"")</f>
        <v/>
      </c>
      <c r="F39" s="26" t="str">
        <f>IF(ISERROR(VLOOKUP($A39,Bestellungen!$6:$1048576,MATCH(Kasse!F$5,Bestellungen!$A$5:$X$5,0),0))=FALSE,SUMIF(Kalkulation!$A$6:$A$40,Kasse!F$5&amp;"*",Kalkulation!$C$6:$C$40)*VLOOKUP($A39,Bestellungen!$6:$1048576,MATCH(Kasse!F$5,Bestellungen!$A$5:$X$5,0),0),"")</f>
        <v/>
      </c>
      <c r="G39" s="26" t="str">
        <f>IF(ISERROR(VLOOKUP($A39,Bestellungen!$6:$1048576,MATCH(Kasse!G$5,Bestellungen!$A$5:$X$5,0),0))=FALSE,SUMIF(Kalkulation!$A$6:$A$40,Kasse!G$5&amp;"*",Kalkulation!$C$6:$C$40)*VLOOKUP($A39,Bestellungen!$6:$1048576,MATCH(Kasse!G$5,Bestellungen!$A$5:$X$5,0),0),"")</f>
        <v/>
      </c>
      <c r="H39" s="26" t="str">
        <f>IF(ISERROR(VLOOKUP($A39,Bestellungen!$6:$1048576,MATCH(Kasse!H$5,Bestellungen!$A$5:$X$5,0),0))=FALSE,SUMIF(Kalkulation!$A$6:$A$40,Kasse!H$5&amp;"*",Kalkulation!$C$6:$C$40)*VLOOKUP($A39,Bestellungen!$6:$1048576,MATCH(Kasse!H$5,Bestellungen!$A$5:$X$5,0),0),"")</f>
        <v/>
      </c>
      <c r="I39" s="26" t="str">
        <f>IF(ISERROR(VLOOKUP($A39,Bestellungen!$6:$1048576,MATCH(Kasse!I$5,Bestellungen!$A$5:$X$5,0),0))=FALSE,SUMIF(Kalkulation!$A$6:$A$40,Kasse!I$5&amp;"*",Kalkulation!$C$6:$C$40)*VLOOKUP($A39,Bestellungen!$6:$1048576,MATCH(Kasse!I$5,Bestellungen!$A$5:$X$5,0),0),"")</f>
        <v/>
      </c>
      <c r="J39" s="26" t="str">
        <f>IF(ISERROR(VLOOKUP($A39,Bestellungen!$6:$1048576,MATCH(Kasse!J$5,Bestellungen!$A$5:$X$5,0),0))=FALSE,SUMIF(Kalkulation!$A$6:$A$40,Kasse!J$5&amp;"*",Kalkulation!$C$6:$C$40)*VLOOKUP($A39,Bestellungen!$6:$1048576,MATCH(Kasse!J$5,Bestellungen!$A$5:$X$5,0),0),"")</f>
        <v/>
      </c>
      <c r="K39" s="26" t="str">
        <f>IF(ISERROR(VLOOKUP($A39,Bestellungen!$6:$1048576,MATCH(Kasse!K$5,Bestellungen!$A$5:$X$5,0),0))=FALSE,SUMIF(Kalkulation!$A$6:$A$40,Kasse!K$5&amp;"*",Kalkulation!$C$6:$C$40)*VLOOKUP($A39,Bestellungen!$6:$1048576,MATCH(Kasse!K$5,Bestellungen!$A$5:$X$5,0),0),"")</f>
        <v/>
      </c>
      <c r="L39" s="26" t="str">
        <f>IF(ISERROR(VLOOKUP($A39,Bestellungen!$6:$1048576,MATCH(Kasse!L$5,Bestellungen!$A$5:$X$5,0),0))=FALSE,SUMIF(Kalkulation!$A$6:$A$40,Kasse!L$5&amp;"*",Kalkulation!$C$6:$C$40)*VLOOKUP($A39,Bestellungen!$6:$1048576,MATCH(Kasse!L$5,Bestellungen!$A$5:$X$5,0),0),"")</f>
        <v/>
      </c>
      <c r="M39" s="26" t="str">
        <f>IF(ISERROR(VLOOKUP($A39,Bestellungen!$6:$1048576,MATCH(Kasse!M$5,Bestellungen!$A$5:$X$5,0),0))=FALSE,SUMIF(Kalkulation!$A$6:$A$40,Kasse!M$5&amp;"*",Kalkulation!$C$6:$C$40)*VLOOKUP($A39,Bestellungen!$6:$1048576,MATCH(Kasse!M$5,Bestellungen!$A$5:$X$5,0),0),"")</f>
        <v/>
      </c>
      <c r="N39" s="26" t="str">
        <f>IF(ISERROR(VLOOKUP($A39,Bestellungen!$6:$1048576,MATCH(Kasse!N$5,Bestellungen!$A$5:$X$5,0),0))=FALSE,SUMIF(Kalkulation!$A$6:$A$40,Kasse!N$5&amp;"*",Kalkulation!$C$6:$C$40)*VLOOKUP($A39,Bestellungen!$6:$1048576,MATCH(Kasse!N$5,Bestellungen!$A$5:$X$5,0),0),"")</f>
        <v/>
      </c>
      <c r="O39" s="26" t="str">
        <f>IF(ISERROR(VLOOKUP($A39,Bestellungen!$6:$1048576,MATCH(Kasse!O$5,Bestellungen!$A$5:$X$5,0),0))=FALSE,SUMIF(Kalkulation!$A$6:$A$40,Kasse!O$5&amp;"*",Kalkulation!$C$6:$C$40)*VLOOKUP($A39,Bestellungen!$6:$1048576,MATCH(Kasse!O$5,Bestellungen!$A$5:$X$5,0),0),"")</f>
        <v/>
      </c>
      <c r="P39" s="26" t="str">
        <f>IF(ISERROR(VLOOKUP($A39,Bestellungen!$6:$1048576,MATCH(Kasse!P$5,Bestellungen!$A$5:$X$5,0),0))=FALSE,SUMIF(Kalkulation!$A$6:$A$40,Kasse!P$5&amp;"*",Kalkulation!$C$6:$C$40)*VLOOKUP($A39,Bestellungen!$6:$1048576,MATCH(Kasse!P$5,Bestellungen!$A$5:$X$5,0),0),"")</f>
        <v/>
      </c>
      <c r="Q39" s="26" t="str">
        <f>IF(ISERROR(VLOOKUP($A39,Bestellungen!$6:$1048576,MATCH(Kasse!Q$5,Bestellungen!$A$5:$X$5,0),0))=FALSE,SUMIF(Kalkulation!$A$6:$A$40,Kasse!Q$5&amp;"*",Kalkulation!$C$6:$C$40)*VLOOKUP($A39,Bestellungen!$6:$1048576,MATCH(Kasse!Q$5,Bestellungen!$A$5:$X$5,0),0),"")</f>
        <v/>
      </c>
      <c r="R39" s="26" t="str">
        <f>IF(ISERROR(VLOOKUP($A39,Bestellungen!$6:$1048576,MATCH(Kasse!R$5,Bestellungen!$A$5:$X$5,0),0))=FALSE,SUMIF(Kalkulation!$A$6:$A$40,Kasse!R$5&amp;"*",Kalkulation!$C$6:$C$40)*VLOOKUP($A39,Bestellungen!$6:$1048576,MATCH(Kasse!R$5,Bestellungen!$A$5:$X$5,0),0),"")</f>
        <v/>
      </c>
      <c r="S39" s="26" t="str">
        <f>IF(ISERROR(VLOOKUP($A39,Bestellungen!$6:$1048576,MATCH(Kasse!S$5,Bestellungen!$A$5:$X$5,0),0))=FALSE,SUMIF(Kalkulation!$A$6:$A$40,Kasse!S$5&amp;"*",Kalkulation!$C$6:$C$40)*VLOOKUP($A39,Bestellungen!$6:$1048576,MATCH(Kasse!S$5,Bestellungen!$A$5:$X$5,0),0),"")</f>
        <v/>
      </c>
      <c r="T39" s="26" t="str">
        <f>IF(ISERROR(VLOOKUP($A39,Bestellungen!$6:$1048576,MATCH(Kasse!T$5,Bestellungen!$A$5:$X$5,0),0))=FALSE,SUMIF(Kalkulation!$A$6:$A$40,Kasse!T$5&amp;"*",Kalkulation!$C$6:$C$40)*VLOOKUP($A39,Bestellungen!$6:$1048576,MATCH(Kasse!T$5,Bestellungen!$A$5:$X$5,0),0),"")</f>
        <v/>
      </c>
      <c r="U39" s="26" t="str">
        <f t="shared" si="0"/>
        <v/>
      </c>
      <c r="W39" s="26" t="str">
        <f t="shared" si="1"/>
        <v/>
      </c>
      <c r="X39" s="26"/>
      <c r="Y39" s="26"/>
      <c r="Z39" s="26"/>
      <c r="AA39" s="26"/>
    </row>
    <row r="40" spans="1:27" x14ac:dyDescent="0.25">
      <c r="A40" t="str">
        <f>IF(LEN(Bestellungen!$A40)&gt;0,Bestellungen!$A40,"")</f>
        <v/>
      </c>
      <c r="B40" s="26" t="str">
        <f>IF(ISERROR(VLOOKUP($A40,Bestellungen!$6:$1048576,MATCH(Kasse!B$5,Bestellungen!$A$5:$X$5,0),0))=FALSE,SUMIF(Kalkulation!$A$6:$A$40,Kasse!B$5&amp;"*",Kalkulation!$C$6:$C$40)*VLOOKUP($A40,Bestellungen!$6:$1048576,MATCH(Kasse!B$5,Bestellungen!$A$5:$X$5,0),0),"")</f>
        <v/>
      </c>
      <c r="C40" s="26" t="str">
        <f>IF(ISERROR(VLOOKUP($A40,Bestellungen!$6:$1048576,MATCH(Kasse!C$5,Bestellungen!$A$5:$X$5,0),0))=FALSE,SUMIF(Kalkulation!$A$6:$A$40,Kasse!C$5&amp;"*",Kalkulation!$C$6:$C$40)*VLOOKUP($A40,Bestellungen!$6:$1048576,MATCH(Kasse!C$5,Bestellungen!$A$5:$X$5,0),0),"")</f>
        <v/>
      </c>
      <c r="D40" s="26" t="str">
        <f>IF(ISERROR(VLOOKUP($A40,Bestellungen!$6:$1048576,MATCH(Kasse!D$5,Bestellungen!$A$5:$X$5,0),0))=FALSE,SUMIF(Kalkulation!$A$6:$A$40,Kasse!D$5&amp;"*",Kalkulation!$C$6:$C$40)*VLOOKUP($A40,Bestellungen!$6:$1048576,MATCH(Kasse!D$5,Bestellungen!$A$5:$X$5,0),0),"")</f>
        <v/>
      </c>
      <c r="E40" s="26" t="str">
        <f>IF(ISERROR(VLOOKUP($A40,Bestellungen!$6:$1048576,MATCH(Kasse!E$5,Bestellungen!$A$5:$X$5,0),0))=FALSE,SUMIF(Kalkulation!$A$6:$A$40,Kasse!E$5&amp;"*",Kalkulation!$C$6:$C$40)*VLOOKUP($A40,Bestellungen!$6:$1048576,MATCH(Kasse!E$5,Bestellungen!$A$5:$X$5,0),0),"")</f>
        <v/>
      </c>
      <c r="F40" s="26" t="str">
        <f>IF(ISERROR(VLOOKUP($A40,Bestellungen!$6:$1048576,MATCH(Kasse!F$5,Bestellungen!$A$5:$X$5,0),0))=FALSE,SUMIF(Kalkulation!$A$6:$A$40,Kasse!F$5&amp;"*",Kalkulation!$C$6:$C$40)*VLOOKUP($A40,Bestellungen!$6:$1048576,MATCH(Kasse!F$5,Bestellungen!$A$5:$X$5,0),0),"")</f>
        <v/>
      </c>
      <c r="G40" s="26" t="str">
        <f>IF(ISERROR(VLOOKUP($A40,Bestellungen!$6:$1048576,MATCH(Kasse!G$5,Bestellungen!$A$5:$X$5,0),0))=FALSE,SUMIF(Kalkulation!$A$6:$A$40,Kasse!G$5&amp;"*",Kalkulation!$C$6:$C$40)*VLOOKUP($A40,Bestellungen!$6:$1048576,MATCH(Kasse!G$5,Bestellungen!$A$5:$X$5,0),0),"")</f>
        <v/>
      </c>
      <c r="H40" s="26" t="str">
        <f>IF(ISERROR(VLOOKUP($A40,Bestellungen!$6:$1048576,MATCH(Kasse!H$5,Bestellungen!$A$5:$X$5,0),0))=FALSE,SUMIF(Kalkulation!$A$6:$A$40,Kasse!H$5&amp;"*",Kalkulation!$C$6:$C$40)*VLOOKUP($A40,Bestellungen!$6:$1048576,MATCH(Kasse!H$5,Bestellungen!$A$5:$X$5,0),0),"")</f>
        <v/>
      </c>
      <c r="I40" s="26" t="str">
        <f>IF(ISERROR(VLOOKUP($A40,Bestellungen!$6:$1048576,MATCH(Kasse!I$5,Bestellungen!$A$5:$X$5,0),0))=FALSE,SUMIF(Kalkulation!$A$6:$A$40,Kasse!I$5&amp;"*",Kalkulation!$C$6:$C$40)*VLOOKUP($A40,Bestellungen!$6:$1048576,MATCH(Kasse!I$5,Bestellungen!$A$5:$X$5,0),0),"")</f>
        <v/>
      </c>
      <c r="J40" s="26" t="str">
        <f>IF(ISERROR(VLOOKUP($A40,Bestellungen!$6:$1048576,MATCH(Kasse!J$5,Bestellungen!$A$5:$X$5,0),0))=FALSE,SUMIF(Kalkulation!$A$6:$A$40,Kasse!J$5&amp;"*",Kalkulation!$C$6:$C$40)*VLOOKUP($A40,Bestellungen!$6:$1048576,MATCH(Kasse!J$5,Bestellungen!$A$5:$X$5,0),0),"")</f>
        <v/>
      </c>
      <c r="K40" s="26" t="str">
        <f>IF(ISERROR(VLOOKUP($A40,Bestellungen!$6:$1048576,MATCH(Kasse!K$5,Bestellungen!$A$5:$X$5,0),0))=FALSE,SUMIF(Kalkulation!$A$6:$A$40,Kasse!K$5&amp;"*",Kalkulation!$C$6:$C$40)*VLOOKUP($A40,Bestellungen!$6:$1048576,MATCH(Kasse!K$5,Bestellungen!$A$5:$X$5,0),0),"")</f>
        <v/>
      </c>
      <c r="L40" s="26" t="str">
        <f>IF(ISERROR(VLOOKUP($A40,Bestellungen!$6:$1048576,MATCH(Kasse!L$5,Bestellungen!$A$5:$X$5,0),0))=FALSE,SUMIF(Kalkulation!$A$6:$A$40,Kasse!L$5&amp;"*",Kalkulation!$C$6:$C$40)*VLOOKUP($A40,Bestellungen!$6:$1048576,MATCH(Kasse!L$5,Bestellungen!$A$5:$X$5,0),0),"")</f>
        <v/>
      </c>
      <c r="M40" s="26" t="str">
        <f>IF(ISERROR(VLOOKUP($A40,Bestellungen!$6:$1048576,MATCH(Kasse!M$5,Bestellungen!$A$5:$X$5,0),0))=FALSE,SUMIF(Kalkulation!$A$6:$A$40,Kasse!M$5&amp;"*",Kalkulation!$C$6:$C$40)*VLOOKUP($A40,Bestellungen!$6:$1048576,MATCH(Kasse!M$5,Bestellungen!$A$5:$X$5,0),0),"")</f>
        <v/>
      </c>
      <c r="N40" s="26" t="str">
        <f>IF(ISERROR(VLOOKUP($A40,Bestellungen!$6:$1048576,MATCH(Kasse!N$5,Bestellungen!$A$5:$X$5,0),0))=FALSE,SUMIF(Kalkulation!$A$6:$A$40,Kasse!N$5&amp;"*",Kalkulation!$C$6:$C$40)*VLOOKUP($A40,Bestellungen!$6:$1048576,MATCH(Kasse!N$5,Bestellungen!$A$5:$X$5,0),0),"")</f>
        <v/>
      </c>
      <c r="O40" s="26" t="str">
        <f>IF(ISERROR(VLOOKUP($A40,Bestellungen!$6:$1048576,MATCH(Kasse!O$5,Bestellungen!$A$5:$X$5,0),0))=FALSE,SUMIF(Kalkulation!$A$6:$A$40,Kasse!O$5&amp;"*",Kalkulation!$C$6:$C$40)*VLOOKUP($A40,Bestellungen!$6:$1048576,MATCH(Kasse!O$5,Bestellungen!$A$5:$X$5,0),0),"")</f>
        <v/>
      </c>
      <c r="P40" s="26" t="str">
        <f>IF(ISERROR(VLOOKUP($A40,Bestellungen!$6:$1048576,MATCH(Kasse!P$5,Bestellungen!$A$5:$X$5,0),0))=FALSE,SUMIF(Kalkulation!$A$6:$A$40,Kasse!P$5&amp;"*",Kalkulation!$C$6:$C$40)*VLOOKUP($A40,Bestellungen!$6:$1048576,MATCH(Kasse!P$5,Bestellungen!$A$5:$X$5,0),0),"")</f>
        <v/>
      </c>
      <c r="Q40" s="26" t="str">
        <f>IF(ISERROR(VLOOKUP($A40,Bestellungen!$6:$1048576,MATCH(Kasse!Q$5,Bestellungen!$A$5:$X$5,0),0))=FALSE,SUMIF(Kalkulation!$A$6:$A$40,Kasse!Q$5&amp;"*",Kalkulation!$C$6:$C$40)*VLOOKUP($A40,Bestellungen!$6:$1048576,MATCH(Kasse!Q$5,Bestellungen!$A$5:$X$5,0),0),"")</f>
        <v/>
      </c>
      <c r="R40" s="26" t="str">
        <f>IF(ISERROR(VLOOKUP($A40,Bestellungen!$6:$1048576,MATCH(Kasse!R$5,Bestellungen!$A$5:$X$5,0),0))=FALSE,SUMIF(Kalkulation!$A$6:$A$40,Kasse!R$5&amp;"*",Kalkulation!$C$6:$C$40)*VLOOKUP($A40,Bestellungen!$6:$1048576,MATCH(Kasse!R$5,Bestellungen!$A$5:$X$5,0),0),"")</f>
        <v/>
      </c>
      <c r="S40" s="26" t="str">
        <f>IF(ISERROR(VLOOKUP($A40,Bestellungen!$6:$1048576,MATCH(Kasse!S$5,Bestellungen!$A$5:$X$5,0),0))=FALSE,SUMIF(Kalkulation!$A$6:$A$40,Kasse!S$5&amp;"*",Kalkulation!$C$6:$C$40)*VLOOKUP($A40,Bestellungen!$6:$1048576,MATCH(Kasse!S$5,Bestellungen!$A$5:$X$5,0),0),"")</f>
        <v/>
      </c>
      <c r="T40" s="26" t="str">
        <f>IF(ISERROR(VLOOKUP($A40,Bestellungen!$6:$1048576,MATCH(Kasse!T$5,Bestellungen!$A$5:$X$5,0),0))=FALSE,SUMIF(Kalkulation!$A$6:$A$40,Kasse!T$5&amp;"*",Kalkulation!$C$6:$C$40)*VLOOKUP($A40,Bestellungen!$6:$1048576,MATCH(Kasse!T$5,Bestellungen!$A$5:$X$5,0),0),"")</f>
        <v/>
      </c>
      <c r="U40" s="26" t="str">
        <f t="shared" si="0"/>
        <v/>
      </c>
      <c r="W40" s="26" t="str">
        <f t="shared" si="1"/>
        <v/>
      </c>
      <c r="X40" s="26"/>
      <c r="Y40" s="26"/>
      <c r="Z40" s="26"/>
      <c r="AA40" s="26"/>
    </row>
    <row r="41" spans="1:27" x14ac:dyDescent="0.25">
      <c r="A41" t="str">
        <f>IF(LEN(Bestellungen!$A41)&gt;0,Bestellungen!$A41,"")</f>
        <v/>
      </c>
      <c r="B41" s="26" t="str">
        <f>IF(ISERROR(VLOOKUP($A41,Bestellungen!$6:$1048576,MATCH(Kasse!B$5,Bestellungen!$A$5:$X$5,0),0))=FALSE,SUMIF(Kalkulation!$A$6:$A$40,Kasse!B$5&amp;"*",Kalkulation!$C$6:$C$40)*VLOOKUP($A41,Bestellungen!$6:$1048576,MATCH(Kasse!B$5,Bestellungen!$A$5:$X$5,0),0),"")</f>
        <v/>
      </c>
      <c r="C41" s="26" t="str">
        <f>IF(ISERROR(VLOOKUP($A41,Bestellungen!$6:$1048576,MATCH(Kasse!C$5,Bestellungen!$A$5:$X$5,0),0))=FALSE,SUMIF(Kalkulation!$A$6:$A$40,Kasse!C$5&amp;"*",Kalkulation!$C$6:$C$40)*VLOOKUP($A41,Bestellungen!$6:$1048576,MATCH(Kasse!C$5,Bestellungen!$A$5:$X$5,0),0),"")</f>
        <v/>
      </c>
      <c r="D41" s="26" t="str">
        <f>IF(ISERROR(VLOOKUP($A41,Bestellungen!$6:$1048576,MATCH(Kasse!D$5,Bestellungen!$A$5:$X$5,0),0))=FALSE,SUMIF(Kalkulation!$A$6:$A$40,Kasse!D$5&amp;"*",Kalkulation!$C$6:$C$40)*VLOOKUP($A41,Bestellungen!$6:$1048576,MATCH(Kasse!D$5,Bestellungen!$A$5:$X$5,0),0),"")</f>
        <v/>
      </c>
      <c r="E41" s="26" t="str">
        <f>IF(ISERROR(VLOOKUP($A41,Bestellungen!$6:$1048576,MATCH(Kasse!E$5,Bestellungen!$A$5:$X$5,0),0))=FALSE,SUMIF(Kalkulation!$A$6:$A$40,Kasse!E$5&amp;"*",Kalkulation!$C$6:$C$40)*VLOOKUP($A41,Bestellungen!$6:$1048576,MATCH(Kasse!E$5,Bestellungen!$A$5:$X$5,0),0),"")</f>
        <v/>
      </c>
      <c r="F41" s="26" t="str">
        <f>IF(ISERROR(VLOOKUP($A41,Bestellungen!$6:$1048576,MATCH(Kasse!F$5,Bestellungen!$A$5:$X$5,0),0))=FALSE,SUMIF(Kalkulation!$A$6:$A$40,Kasse!F$5&amp;"*",Kalkulation!$C$6:$C$40)*VLOOKUP($A41,Bestellungen!$6:$1048576,MATCH(Kasse!F$5,Bestellungen!$A$5:$X$5,0),0),"")</f>
        <v/>
      </c>
      <c r="G41" s="26" t="str">
        <f>IF(ISERROR(VLOOKUP($A41,Bestellungen!$6:$1048576,MATCH(Kasse!G$5,Bestellungen!$A$5:$X$5,0),0))=FALSE,SUMIF(Kalkulation!$A$6:$A$40,Kasse!G$5&amp;"*",Kalkulation!$C$6:$C$40)*VLOOKUP($A41,Bestellungen!$6:$1048576,MATCH(Kasse!G$5,Bestellungen!$A$5:$X$5,0),0),"")</f>
        <v/>
      </c>
      <c r="H41" s="26" t="str">
        <f>IF(ISERROR(VLOOKUP($A41,Bestellungen!$6:$1048576,MATCH(Kasse!H$5,Bestellungen!$A$5:$X$5,0),0))=FALSE,SUMIF(Kalkulation!$A$6:$A$40,Kasse!H$5&amp;"*",Kalkulation!$C$6:$C$40)*VLOOKUP($A41,Bestellungen!$6:$1048576,MATCH(Kasse!H$5,Bestellungen!$A$5:$X$5,0),0),"")</f>
        <v/>
      </c>
      <c r="I41" s="26" t="str">
        <f>IF(ISERROR(VLOOKUP($A41,Bestellungen!$6:$1048576,MATCH(Kasse!I$5,Bestellungen!$A$5:$X$5,0),0))=FALSE,SUMIF(Kalkulation!$A$6:$A$40,Kasse!I$5&amp;"*",Kalkulation!$C$6:$C$40)*VLOOKUP($A41,Bestellungen!$6:$1048576,MATCH(Kasse!I$5,Bestellungen!$A$5:$X$5,0),0),"")</f>
        <v/>
      </c>
      <c r="J41" s="26" t="str">
        <f>IF(ISERROR(VLOOKUP($A41,Bestellungen!$6:$1048576,MATCH(Kasse!J$5,Bestellungen!$A$5:$X$5,0),0))=FALSE,SUMIF(Kalkulation!$A$6:$A$40,Kasse!J$5&amp;"*",Kalkulation!$C$6:$C$40)*VLOOKUP($A41,Bestellungen!$6:$1048576,MATCH(Kasse!J$5,Bestellungen!$A$5:$X$5,0),0),"")</f>
        <v/>
      </c>
      <c r="K41" s="26" t="str">
        <f>IF(ISERROR(VLOOKUP($A41,Bestellungen!$6:$1048576,MATCH(Kasse!K$5,Bestellungen!$A$5:$X$5,0),0))=FALSE,SUMIF(Kalkulation!$A$6:$A$40,Kasse!K$5&amp;"*",Kalkulation!$C$6:$C$40)*VLOOKUP($A41,Bestellungen!$6:$1048576,MATCH(Kasse!K$5,Bestellungen!$A$5:$X$5,0),0),"")</f>
        <v/>
      </c>
      <c r="L41" s="26" t="str">
        <f>IF(ISERROR(VLOOKUP($A41,Bestellungen!$6:$1048576,MATCH(Kasse!L$5,Bestellungen!$A$5:$X$5,0),0))=FALSE,SUMIF(Kalkulation!$A$6:$A$40,Kasse!L$5&amp;"*",Kalkulation!$C$6:$C$40)*VLOOKUP($A41,Bestellungen!$6:$1048576,MATCH(Kasse!L$5,Bestellungen!$A$5:$X$5,0),0),"")</f>
        <v/>
      </c>
      <c r="M41" s="26" t="str">
        <f>IF(ISERROR(VLOOKUP($A41,Bestellungen!$6:$1048576,MATCH(Kasse!M$5,Bestellungen!$A$5:$X$5,0),0))=FALSE,SUMIF(Kalkulation!$A$6:$A$40,Kasse!M$5&amp;"*",Kalkulation!$C$6:$C$40)*VLOOKUP($A41,Bestellungen!$6:$1048576,MATCH(Kasse!M$5,Bestellungen!$A$5:$X$5,0),0),"")</f>
        <v/>
      </c>
      <c r="N41" s="26" t="str">
        <f>IF(ISERROR(VLOOKUP($A41,Bestellungen!$6:$1048576,MATCH(Kasse!N$5,Bestellungen!$A$5:$X$5,0),0))=FALSE,SUMIF(Kalkulation!$A$6:$A$40,Kasse!N$5&amp;"*",Kalkulation!$C$6:$C$40)*VLOOKUP($A41,Bestellungen!$6:$1048576,MATCH(Kasse!N$5,Bestellungen!$A$5:$X$5,0),0),"")</f>
        <v/>
      </c>
      <c r="O41" s="26" t="str">
        <f>IF(ISERROR(VLOOKUP($A41,Bestellungen!$6:$1048576,MATCH(Kasse!O$5,Bestellungen!$A$5:$X$5,0),0))=FALSE,SUMIF(Kalkulation!$A$6:$A$40,Kasse!O$5&amp;"*",Kalkulation!$C$6:$C$40)*VLOOKUP($A41,Bestellungen!$6:$1048576,MATCH(Kasse!O$5,Bestellungen!$A$5:$X$5,0),0),"")</f>
        <v/>
      </c>
      <c r="P41" s="26" t="str">
        <f>IF(ISERROR(VLOOKUP($A41,Bestellungen!$6:$1048576,MATCH(Kasse!P$5,Bestellungen!$A$5:$X$5,0),0))=FALSE,SUMIF(Kalkulation!$A$6:$A$40,Kasse!P$5&amp;"*",Kalkulation!$C$6:$C$40)*VLOOKUP($A41,Bestellungen!$6:$1048576,MATCH(Kasse!P$5,Bestellungen!$A$5:$X$5,0),0),"")</f>
        <v/>
      </c>
      <c r="Q41" s="26" t="str">
        <f>IF(ISERROR(VLOOKUP($A41,Bestellungen!$6:$1048576,MATCH(Kasse!Q$5,Bestellungen!$A$5:$X$5,0),0))=FALSE,SUMIF(Kalkulation!$A$6:$A$40,Kasse!Q$5&amp;"*",Kalkulation!$C$6:$C$40)*VLOOKUP($A41,Bestellungen!$6:$1048576,MATCH(Kasse!Q$5,Bestellungen!$A$5:$X$5,0),0),"")</f>
        <v/>
      </c>
      <c r="R41" s="26" t="str">
        <f>IF(ISERROR(VLOOKUP($A41,Bestellungen!$6:$1048576,MATCH(Kasse!R$5,Bestellungen!$A$5:$X$5,0),0))=FALSE,SUMIF(Kalkulation!$A$6:$A$40,Kasse!R$5&amp;"*",Kalkulation!$C$6:$C$40)*VLOOKUP($A41,Bestellungen!$6:$1048576,MATCH(Kasse!R$5,Bestellungen!$A$5:$X$5,0),0),"")</f>
        <v/>
      </c>
      <c r="S41" s="26" t="str">
        <f>IF(ISERROR(VLOOKUP($A41,Bestellungen!$6:$1048576,MATCH(Kasse!S$5,Bestellungen!$A$5:$X$5,0),0))=FALSE,SUMIF(Kalkulation!$A$6:$A$40,Kasse!S$5&amp;"*",Kalkulation!$C$6:$C$40)*VLOOKUP($A41,Bestellungen!$6:$1048576,MATCH(Kasse!S$5,Bestellungen!$A$5:$X$5,0),0),"")</f>
        <v/>
      </c>
      <c r="T41" s="26" t="str">
        <f>IF(ISERROR(VLOOKUP($A41,Bestellungen!$6:$1048576,MATCH(Kasse!T$5,Bestellungen!$A$5:$X$5,0),0))=FALSE,SUMIF(Kalkulation!$A$6:$A$40,Kasse!T$5&amp;"*",Kalkulation!$C$6:$C$40)*VLOOKUP($A41,Bestellungen!$6:$1048576,MATCH(Kasse!T$5,Bestellungen!$A$5:$X$5,0),0),"")</f>
        <v/>
      </c>
      <c r="U41" s="26" t="str">
        <f t="shared" si="0"/>
        <v/>
      </c>
      <c r="W41" s="26" t="str">
        <f t="shared" si="1"/>
        <v/>
      </c>
      <c r="X41" s="26"/>
      <c r="Y41" s="26"/>
      <c r="Z41" s="26"/>
      <c r="AA41" s="26"/>
    </row>
    <row r="42" spans="1:27" x14ac:dyDescent="0.25">
      <c r="A42" t="str">
        <f>IF(LEN(Bestellungen!$A42)&gt;0,Bestellungen!$A42,"")</f>
        <v/>
      </c>
      <c r="B42" s="26" t="str">
        <f>IF(ISERROR(VLOOKUP($A42,Bestellungen!$6:$1048576,MATCH(Kasse!B$5,Bestellungen!$A$5:$X$5,0),0))=FALSE,SUMIF(Kalkulation!$A$6:$A$40,Kasse!B$5&amp;"*",Kalkulation!$C$6:$C$40)*VLOOKUP($A42,Bestellungen!$6:$1048576,MATCH(Kasse!B$5,Bestellungen!$A$5:$X$5,0),0),"")</f>
        <v/>
      </c>
      <c r="C42" s="26" t="str">
        <f>IF(ISERROR(VLOOKUP($A42,Bestellungen!$6:$1048576,MATCH(Kasse!C$5,Bestellungen!$A$5:$X$5,0),0))=FALSE,SUMIF(Kalkulation!$A$6:$A$40,Kasse!C$5&amp;"*",Kalkulation!$C$6:$C$40)*VLOOKUP($A42,Bestellungen!$6:$1048576,MATCH(Kasse!C$5,Bestellungen!$A$5:$X$5,0),0),"")</f>
        <v/>
      </c>
      <c r="D42" s="26" t="str">
        <f>IF(ISERROR(VLOOKUP($A42,Bestellungen!$6:$1048576,MATCH(Kasse!D$5,Bestellungen!$A$5:$X$5,0),0))=FALSE,SUMIF(Kalkulation!$A$6:$A$40,Kasse!D$5&amp;"*",Kalkulation!$C$6:$C$40)*VLOOKUP($A42,Bestellungen!$6:$1048576,MATCH(Kasse!D$5,Bestellungen!$A$5:$X$5,0),0),"")</f>
        <v/>
      </c>
      <c r="E42" s="26" t="str">
        <f>IF(ISERROR(VLOOKUP($A42,Bestellungen!$6:$1048576,MATCH(Kasse!E$5,Bestellungen!$A$5:$X$5,0),0))=FALSE,SUMIF(Kalkulation!$A$6:$A$40,Kasse!E$5&amp;"*",Kalkulation!$C$6:$C$40)*VLOOKUP($A42,Bestellungen!$6:$1048576,MATCH(Kasse!E$5,Bestellungen!$A$5:$X$5,0),0),"")</f>
        <v/>
      </c>
      <c r="F42" s="26" t="str">
        <f>IF(ISERROR(VLOOKUP($A42,Bestellungen!$6:$1048576,MATCH(Kasse!F$5,Bestellungen!$A$5:$X$5,0),0))=FALSE,SUMIF(Kalkulation!$A$6:$A$40,Kasse!F$5&amp;"*",Kalkulation!$C$6:$C$40)*VLOOKUP($A42,Bestellungen!$6:$1048576,MATCH(Kasse!F$5,Bestellungen!$A$5:$X$5,0),0),"")</f>
        <v/>
      </c>
      <c r="G42" s="26" t="str">
        <f>IF(ISERROR(VLOOKUP($A42,Bestellungen!$6:$1048576,MATCH(Kasse!G$5,Bestellungen!$A$5:$X$5,0),0))=FALSE,SUMIF(Kalkulation!$A$6:$A$40,Kasse!G$5&amp;"*",Kalkulation!$C$6:$C$40)*VLOOKUP($A42,Bestellungen!$6:$1048576,MATCH(Kasse!G$5,Bestellungen!$A$5:$X$5,0),0),"")</f>
        <v/>
      </c>
      <c r="H42" s="26" t="str">
        <f>IF(ISERROR(VLOOKUP($A42,Bestellungen!$6:$1048576,MATCH(Kasse!H$5,Bestellungen!$A$5:$X$5,0),0))=FALSE,SUMIF(Kalkulation!$A$6:$A$40,Kasse!H$5&amp;"*",Kalkulation!$C$6:$C$40)*VLOOKUP($A42,Bestellungen!$6:$1048576,MATCH(Kasse!H$5,Bestellungen!$A$5:$X$5,0),0),"")</f>
        <v/>
      </c>
      <c r="I42" s="26" t="str">
        <f>IF(ISERROR(VLOOKUP($A42,Bestellungen!$6:$1048576,MATCH(Kasse!I$5,Bestellungen!$A$5:$X$5,0),0))=FALSE,SUMIF(Kalkulation!$A$6:$A$40,Kasse!I$5&amp;"*",Kalkulation!$C$6:$C$40)*VLOOKUP($A42,Bestellungen!$6:$1048576,MATCH(Kasse!I$5,Bestellungen!$A$5:$X$5,0),0),"")</f>
        <v/>
      </c>
      <c r="J42" s="26" t="str">
        <f>IF(ISERROR(VLOOKUP($A42,Bestellungen!$6:$1048576,MATCH(Kasse!J$5,Bestellungen!$A$5:$X$5,0),0))=FALSE,SUMIF(Kalkulation!$A$6:$A$40,Kasse!J$5&amp;"*",Kalkulation!$C$6:$C$40)*VLOOKUP($A42,Bestellungen!$6:$1048576,MATCH(Kasse!J$5,Bestellungen!$A$5:$X$5,0),0),"")</f>
        <v/>
      </c>
      <c r="K42" s="26" t="str">
        <f>IF(ISERROR(VLOOKUP($A42,Bestellungen!$6:$1048576,MATCH(Kasse!K$5,Bestellungen!$A$5:$X$5,0),0))=FALSE,SUMIF(Kalkulation!$A$6:$A$40,Kasse!K$5&amp;"*",Kalkulation!$C$6:$C$40)*VLOOKUP($A42,Bestellungen!$6:$1048576,MATCH(Kasse!K$5,Bestellungen!$A$5:$X$5,0),0),"")</f>
        <v/>
      </c>
      <c r="L42" s="26" t="str">
        <f>IF(ISERROR(VLOOKUP($A42,Bestellungen!$6:$1048576,MATCH(Kasse!L$5,Bestellungen!$A$5:$X$5,0),0))=FALSE,SUMIF(Kalkulation!$A$6:$A$40,Kasse!L$5&amp;"*",Kalkulation!$C$6:$C$40)*VLOOKUP($A42,Bestellungen!$6:$1048576,MATCH(Kasse!L$5,Bestellungen!$A$5:$X$5,0),0),"")</f>
        <v/>
      </c>
      <c r="M42" s="26" t="str">
        <f>IF(ISERROR(VLOOKUP($A42,Bestellungen!$6:$1048576,MATCH(Kasse!M$5,Bestellungen!$A$5:$X$5,0),0))=FALSE,SUMIF(Kalkulation!$A$6:$A$40,Kasse!M$5&amp;"*",Kalkulation!$C$6:$C$40)*VLOOKUP($A42,Bestellungen!$6:$1048576,MATCH(Kasse!M$5,Bestellungen!$A$5:$X$5,0),0),"")</f>
        <v/>
      </c>
      <c r="N42" s="26" t="str">
        <f>IF(ISERROR(VLOOKUP($A42,Bestellungen!$6:$1048576,MATCH(Kasse!N$5,Bestellungen!$A$5:$X$5,0),0))=FALSE,SUMIF(Kalkulation!$A$6:$A$40,Kasse!N$5&amp;"*",Kalkulation!$C$6:$C$40)*VLOOKUP($A42,Bestellungen!$6:$1048576,MATCH(Kasse!N$5,Bestellungen!$A$5:$X$5,0),0),"")</f>
        <v/>
      </c>
      <c r="O42" s="26" t="str">
        <f>IF(ISERROR(VLOOKUP($A42,Bestellungen!$6:$1048576,MATCH(Kasse!O$5,Bestellungen!$A$5:$X$5,0),0))=FALSE,SUMIF(Kalkulation!$A$6:$A$40,Kasse!O$5&amp;"*",Kalkulation!$C$6:$C$40)*VLOOKUP($A42,Bestellungen!$6:$1048576,MATCH(Kasse!O$5,Bestellungen!$A$5:$X$5,0),0),"")</f>
        <v/>
      </c>
      <c r="P42" s="26" t="str">
        <f>IF(ISERROR(VLOOKUP($A42,Bestellungen!$6:$1048576,MATCH(Kasse!P$5,Bestellungen!$A$5:$X$5,0),0))=FALSE,SUMIF(Kalkulation!$A$6:$A$40,Kasse!P$5&amp;"*",Kalkulation!$C$6:$C$40)*VLOOKUP($A42,Bestellungen!$6:$1048576,MATCH(Kasse!P$5,Bestellungen!$A$5:$X$5,0),0),"")</f>
        <v/>
      </c>
      <c r="Q42" s="26" t="str">
        <f>IF(ISERROR(VLOOKUP($A42,Bestellungen!$6:$1048576,MATCH(Kasse!Q$5,Bestellungen!$A$5:$X$5,0),0))=FALSE,SUMIF(Kalkulation!$A$6:$A$40,Kasse!Q$5&amp;"*",Kalkulation!$C$6:$C$40)*VLOOKUP($A42,Bestellungen!$6:$1048576,MATCH(Kasse!Q$5,Bestellungen!$A$5:$X$5,0),0),"")</f>
        <v/>
      </c>
      <c r="R42" s="26" t="str">
        <f>IF(ISERROR(VLOOKUP($A42,Bestellungen!$6:$1048576,MATCH(Kasse!R$5,Bestellungen!$A$5:$X$5,0),0))=FALSE,SUMIF(Kalkulation!$A$6:$A$40,Kasse!R$5&amp;"*",Kalkulation!$C$6:$C$40)*VLOOKUP($A42,Bestellungen!$6:$1048576,MATCH(Kasse!R$5,Bestellungen!$A$5:$X$5,0),0),"")</f>
        <v/>
      </c>
      <c r="S42" s="26" t="str">
        <f>IF(ISERROR(VLOOKUP($A42,Bestellungen!$6:$1048576,MATCH(Kasse!S$5,Bestellungen!$A$5:$X$5,0),0))=FALSE,SUMIF(Kalkulation!$A$6:$A$40,Kasse!S$5&amp;"*",Kalkulation!$C$6:$C$40)*VLOOKUP($A42,Bestellungen!$6:$1048576,MATCH(Kasse!S$5,Bestellungen!$A$5:$X$5,0),0),"")</f>
        <v/>
      </c>
      <c r="T42" s="26" t="str">
        <f>IF(ISERROR(VLOOKUP($A42,Bestellungen!$6:$1048576,MATCH(Kasse!T$5,Bestellungen!$A$5:$X$5,0),0))=FALSE,SUMIF(Kalkulation!$A$6:$A$40,Kasse!T$5&amp;"*",Kalkulation!$C$6:$C$40)*VLOOKUP($A42,Bestellungen!$6:$1048576,MATCH(Kasse!T$5,Bestellungen!$A$5:$X$5,0),0),"")</f>
        <v/>
      </c>
      <c r="U42" s="26" t="str">
        <f t="shared" si="0"/>
        <v/>
      </c>
      <c r="W42" s="26" t="str">
        <f t="shared" si="1"/>
        <v/>
      </c>
      <c r="X42" s="26"/>
      <c r="Y42" s="26"/>
      <c r="Z42" s="26"/>
      <c r="AA42" s="26"/>
    </row>
    <row r="43" spans="1:27" x14ac:dyDescent="0.25">
      <c r="A43" t="str">
        <f>IF(LEN(Bestellungen!$A43)&gt;0,Bestellungen!$A43,"")</f>
        <v/>
      </c>
      <c r="B43" s="26" t="str">
        <f>IF(ISERROR(VLOOKUP($A43,Bestellungen!$6:$1048576,MATCH(Kasse!B$5,Bestellungen!$A$5:$X$5,0),0))=FALSE,SUMIF(Kalkulation!$A$6:$A$40,Kasse!B$5&amp;"*",Kalkulation!$C$6:$C$40)*VLOOKUP($A43,Bestellungen!$6:$1048576,MATCH(Kasse!B$5,Bestellungen!$A$5:$X$5,0),0),"")</f>
        <v/>
      </c>
      <c r="C43" s="26" t="str">
        <f>IF(ISERROR(VLOOKUP($A43,Bestellungen!$6:$1048576,MATCH(Kasse!C$5,Bestellungen!$A$5:$X$5,0),0))=FALSE,SUMIF(Kalkulation!$A$6:$A$40,Kasse!C$5&amp;"*",Kalkulation!$C$6:$C$40)*VLOOKUP($A43,Bestellungen!$6:$1048576,MATCH(Kasse!C$5,Bestellungen!$A$5:$X$5,0),0),"")</f>
        <v/>
      </c>
      <c r="D43" s="26" t="str">
        <f>IF(ISERROR(VLOOKUP($A43,Bestellungen!$6:$1048576,MATCH(Kasse!D$5,Bestellungen!$A$5:$X$5,0),0))=FALSE,SUMIF(Kalkulation!$A$6:$A$40,Kasse!D$5&amp;"*",Kalkulation!$C$6:$C$40)*VLOOKUP($A43,Bestellungen!$6:$1048576,MATCH(Kasse!D$5,Bestellungen!$A$5:$X$5,0),0),"")</f>
        <v/>
      </c>
      <c r="E43" s="26" t="str">
        <f>IF(ISERROR(VLOOKUP($A43,Bestellungen!$6:$1048576,MATCH(Kasse!E$5,Bestellungen!$A$5:$X$5,0),0))=FALSE,SUMIF(Kalkulation!$A$6:$A$40,Kasse!E$5&amp;"*",Kalkulation!$C$6:$C$40)*VLOOKUP($A43,Bestellungen!$6:$1048576,MATCH(Kasse!E$5,Bestellungen!$A$5:$X$5,0),0),"")</f>
        <v/>
      </c>
      <c r="F43" s="26" t="str">
        <f>IF(ISERROR(VLOOKUP($A43,Bestellungen!$6:$1048576,MATCH(Kasse!F$5,Bestellungen!$A$5:$X$5,0),0))=FALSE,SUMIF(Kalkulation!$A$6:$A$40,Kasse!F$5&amp;"*",Kalkulation!$C$6:$C$40)*VLOOKUP($A43,Bestellungen!$6:$1048576,MATCH(Kasse!F$5,Bestellungen!$A$5:$X$5,0),0),"")</f>
        <v/>
      </c>
      <c r="G43" s="26" t="str">
        <f>IF(ISERROR(VLOOKUP($A43,Bestellungen!$6:$1048576,MATCH(Kasse!G$5,Bestellungen!$A$5:$X$5,0),0))=FALSE,SUMIF(Kalkulation!$A$6:$A$40,Kasse!G$5&amp;"*",Kalkulation!$C$6:$C$40)*VLOOKUP($A43,Bestellungen!$6:$1048576,MATCH(Kasse!G$5,Bestellungen!$A$5:$X$5,0),0),"")</f>
        <v/>
      </c>
      <c r="H43" s="26" t="str">
        <f>IF(ISERROR(VLOOKUP($A43,Bestellungen!$6:$1048576,MATCH(Kasse!H$5,Bestellungen!$A$5:$X$5,0),0))=FALSE,SUMIF(Kalkulation!$A$6:$A$40,Kasse!H$5&amp;"*",Kalkulation!$C$6:$C$40)*VLOOKUP($A43,Bestellungen!$6:$1048576,MATCH(Kasse!H$5,Bestellungen!$A$5:$X$5,0),0),"")</f>
        <v/>
      </c>
      <c r="I43" s="26" t="str">
        <f>IF(ISERROR(VLOOKUP($A43,Bestellungen!$6:$1048576,MATCH(Kasse!I$5,Bestellungen!$A$5:$X$5,0),0))=FALSE,SUMIF(Kalkulation!$A$6:$A$40,Kasse!I$5&amp;"*",Kalkulation!$C$6:$C$40)*VLOOKUP($A43,Bestellungen!$6:$1048576,MATCH(Kasse!I$5,Bestellungen!$A$5:$X$5,0),0),"")</f>
        <v/>
      </c>
      <c r="J43" s="26" t="str">
        <f>IF(ISERROR(VLOOKUP($A43,Bestellungen!$6:$1048576,MATCH(Kasse!J$5,Bestellungen!$A$5:$X$5,0),0))=FALSE,SUMIF(Kalkulation!$A$6:$A$40,Kasse!J$5&amp;"*",Kalkulation!$C$6:$C$40)*VLOOKUP($A43,Bestellungen!$6:$1048576,MATCH(Kasse!J$5,Bestellungen!$A$5:$X$5,0),0),"")</f>
        <v/>
      </c>
      <c r="K43" s="26" t="str">
        <f>IF(ISERROR(VLOOKUP($A43,Bestellungen!$6:$1048576,MATCH(Kasse!K$5,Bestellungen!$A$5:$X$5,0),0))=FALSE,SUMIF(Kalkulation!$A$6:$A$40,Kasse!K$5&amp;"*",Kalkulation!$C$6:$C$40)*VLOOKUP($A43,Bestellungen!$6:$1048576,MATCH(Kasse!K$5,Bestellungen!$A$5:$X$5,0),0),"")</f>
        <v/>
      </c>
      <c r="L43" s="26" t="str">
        <f>IF(ISERROR(VLOOKUP($A43,Bestellungen!$6:$1048576,MATCH(Kasse!L$5,Bestellungen!$A$5:$X$5,0),0))=FALSE,SUMIF(Kalkulation!$A$6:$A$40,Kasse!L$5&amp;"*",Kalkulation!$C$6:$C$40)*VLOOKUP($A43,Bestellungen!$6:$1048576,MATCH(Kasse!L$5,Bestellungen!$A$5:$X$5,0),0),"")</f>
        <v/>
      </c>
      <c r="M43" s="26" t="str">
        <f>IF(ISERROR(VLOOKUP($A43,Bestellungen!$6:$1048576,MATCH(Kasse!M$5,Bestellungen!$A$5:$X$5,0),0))=FALSE,SUMIF(Kalkulation!$A$6:$A$40,Kasse!M$5&amp;"*",Kalkulation!$C$6:$C$40)*VLOOKUP($A43,Bestellungen!$6:$1048576,MATCH(Kasse!M$5,Bestellungen!$A$5:$X$5,0),0),"")</f>
        <v/>
      </c>
      <c r="N43" s="26" t="str">
        <f>IF(ISERROR(VLOOKUP($A43,Bestellungen!$6:$1048576,MATCH(Kasse!N$5,Bestellungen!$A$5:$X$5,0),0))=FALSE,SUMIF(Kalkulation!$A$6:$A$40,Kasse!N$5&amp;"*",Kalkulation!$C$6:$C$40)*VLOOKUP($A43,Bestellungen!$6:$1048576,MATCH(Kasse!N$5,Bestellungen!$A$5:$X$5,0),0),"")</f>
        <v/>
      </c>
      <c r="O43" s="26" t="str">
        <f>IF(ISERROR(VLOOKUP($A43,Bestellungen!$6:$1048576,MATCH(Kasse!O$5,Bestellungen!$A$5:$X$5,0),0))=FALSE,SUMIF(Kalkulation!$A$6:$A$40,Kasse!O$5&amp;"*",Kalkulation!$C$6:$C$40)*VLOOKUP($A43,Bestellungen!$6:$1048576,MATCH(Kasse!O$5,Bestellungen!$A$5:$X$5,0),0),"")</f>
        <v/>
      </c>
      <c r="P43" s="26" t="str">
        <f>IF(ISERROR(VLOOKUP($A43,Bestellungen!$6:$1048576,MATCH(Kasse!P$5,Bestellungen!$A$5:$X$5,0),0))=FALSE,SUMIF(Kalkulation!$A$6:$A$40,Kasse!P$5&amp;"*",Kalkulation!$C$6:$C$40)*VLOOKUP($A43,Bestellungen!$6:$1048576,MATCH(Kasse!P$5,Bestellungen!$A$5:$X$5,0),0),"")</f>
        <v/>
      </c>
      <c r="Q43" s="26" t="str">
        <f>IF(ISERROR(VLOOKUP($A43,Bestellungen!$6:$1048576,MATCH(Kasse!Q$5,Bestellungen!$A$5:$X$5,0),0))=FALSE,SUMIF(Kalkulation!$A$6:$A$40,Kasse!Q$5&amp;"*",Kalkulation!$C$6:$C$40)*VLOOKUP($A43,Bestellungen!$6:$1048576,MATCH(Kasse!Q$5,Bestellungen!$A$5:$X$5,0),0),"")</f>
        <v/>
      </c>
      <c r="R43" s="26" t="str">
        <f>IF(ISERROR(VLOOKUP($A43,Bestellungen!$6:$1048576,MATCH(Kasse!R$5,Bestellungen!$A$5:$X$5,0),0))=FALSE,SUMIF(Kalkulation!$A$6:$A$40,Kasse!R$5&amp;"*",Kalkulation!$C$6:$C$40)*VLOOKUP($A43,Bestellungen!$6:$1048576,MATCH(Kasse!R$5,Bestellungen!$A$5:$X$5,0),0),"")</f>
        <v/>
      </c>
      <c r="S43" s="26" t="str">
        <f>IF(ISERROR(VLOOKUP($A43,Bestellungen!$6:$1048576,MATCH(Kasse!S$5,Bestellungen!$A$5:$X$5,0),0))=FALSE,SUMIF(Kalkulation!$A$6:$A$40,Kasse!S$5&amp;"*",Kalkulation!$C$6:$C$40)*VLOOKUP($A43,Bestellungen!$6:$1048576,MATCH(Kasse!S$5,Bestellungen!$A$5:$X$5,0),0),"")</f>
        <v/>
      </c>
      <c r="T43" s="26" t="str">
        <f>IF(ISERROR(VLOOKUP($A43,Bestellungen!$6:$1048576,MATCH(Kasse!T$5,Bestellungen!$A$5:$X$5,0),0))=FALSE,SUMIF(Kalkulation!$A$6:$A$40,Kasse!T$5&amp;"*",Kalkulation!$C$6:$C$40)*VLOOKUP($A43,Bestellungen!$6:$1048576,MATCH(Kasse!T$5,Bestellungen!$A$5:$X$5,0),0),"")</f>
        <v/>
      </c>
      <c r="U43" s="26" t="str">
        <f t="shared" si="0"/>
        <v/>
      </c>
      <c r="W43" s="26" t="str">
        <f t="shared" si="1"/>
        <v/>
      </c>
      <c r="X43" s="26"/>
      <c r="Y43" s="26"/>
      <c r="Z43" s="26"/>
      <c r="AA43" s="26"/>
    </row>
    <row r="44" spans="1:27" x14ac:dyDescent="0.25">
      <c r="A44" t="str">
        <f>IF(LEN(Bestellungen!$A44)&gt;0,Bestellungen!$A44,"")</f>
        <v/>
      </c>
      <c r="B44" s="26" t="str">
        <f>IF(ISERROR(VLOOKUP($A44,Bestellungen!$6:$1048576,MATCH(Kasse!B$5,Bestellungen!$A$5:$X$5,0),0))=FALSE,SUMIF(Kalkulation!$A$6:$A$40,Kasse!B$5&amp;"*",Kalkulation!$C$6:$C$40)*VLOOKUP($A44,Bestellungen!$6:$1048576,MATCH(Kasse!B$5,Bestellungen!$A$5:$X$5,0),0),"")</f>
        <v/>
      </c>
      <c r="C44" s="26" t="str">
        <f>IF(ISERROR(VLOOKUP($A44,Bestellungen!$6:$1048576,MATCH(Kasse!C$5,Bestellungen!$A$5:$X$5,0),0))=FALSE,SUMIF(Kalkulation!$A$6:$A$40,Kasse!C$5&amp;"*",Kalkulation!$C$6:$C$40)*VLOOKUP($A44,Bestellungen!$6:$1048576,MATCH(Kasse!C$5,Bestellungen!$A$5:$X$5,0),0),"")</f>
        <v/>
      </c>
      <c r="D44" s="26" t="str">
        <f>IF(ISERROR(VLOOKUP($A44,Bestellungen!$6:$1048576,MATCH(Kasse!D$5,Bestellungen!$A$5:$X$5,0),0))=FALSE,SUMIF(Kalkulation!$A$6:$A$40,Kasse!D$5&amp;"*",Kalkulation!$C$6:$C$40)*VLOOKUP($A44,Bestellungen!$6:$1048576,MATCH(Kasse!D$5,Bestellungen!$A$5:$X$5,0),0),"")</f>
        <v/>
      </c>
      <c r="E44" s="26" t="str">
        <f>IF(ISERROR(VLOOKUP($A44,Bestellungen!$6:$1048576,MATCH(Kasse!E$5,Bestellungen!$A$5:$X$5,0),0))=FALSE,SUMIF(Kalkulation!$A$6:$A$40,Kasse!E$5&amp;"*",Kalkulation!$C$6:$C$40)*VLOOKUP($A44,Bestellungen!$6:$1048576,MATCH(Kasse!E$5,Bestellungen!$A$5:$X$5,0),0),"")</f>
        <v/>
      </c>
      <c r="F44" s="26" t="str">
        <f>IF(ISERROR(VLOOKUP($A44,Bestellungen!$6:$1048576,MATCH(Kasse!F$5,Bestellungen!$A$5:$X$5,0),0))=FALSE,SUMIF(Kalkulation!$A$6:$A$40,Kasse!F$5&amp;"*",Kalkulation!$C$6:$C$40)*VLOOKUP($A44,Bestellungen!$6:$1048576,MATCH(Kasse!F$5,Bestellungen!$A$5:$X$5,0),0),"")</f>
        <v/>
      </c>
      <c r="G44" s="26" t="str">
        <f>IF(ISERROR(VLOOKUP($A44,Bestellungen!$6:$1048576,MATCH(Kasse!G$5,Bestellungen!$A$5:$X$5,0),0))=FALSE,SUMIF(Kalkulation!$A$6:$A$40,Kasse!G$5&amp;"*",Kalkulation!$C$6:$C$40)*VLOOKUP($A44,Bestellungen!$6:$1048576,MATCH(Kasse!G$5,Bestellungen!$A$5:$X$5,0),0),"")</f>
        <v/>
      </c>
      <c r="H44" s="26" t="str">
        <f>IF(ISERROR(VLOOKUP($A44,Bestellungen!$6:$1048576,MATCH(Kasse!H$5,Bestellungen!$A$5:$X$5,0),0))=FALSE,SUMIF(Kalkulation!$A$6:$A$40,Kasse!H$5&amp;"*",Kalkulation!$C$6:$C$40)*VLOOKUP($A44,Bestellungen!$6:$1048576,MATCH(Kasse!H$5,Bestellungen!$A$5:$X$5,0),0),"")</f>
        <v/>
      </c>
      <c r="I44" s="26" t="str">
        <f>IF(ISERROR(VLOOKUP($A44,Bestellungen!$6:$1048576,MATCH(Kasse!I$5,Bestellungen!$A$5:$X$5,0),0))=FALSE,SUMIF(Kalkulation!$A$6:$A$40,Kasse!I$5&amp;"*",Kalkulation!$C$6:$C$40)*VLOOKUP($A44,Bestellungen!$6:$1048576,MATCH(Kasse!I$5,Bestellungen!$A$5:$X$5,0),0),"")</f>
        <v/>
      </c>
      <c r="J44" s="26" t="str">
        <f>IF(ISERROR(VLOOKUP($A44,Bestellungen!$6:$1048576,MATCH(Kasse!J$5,Bestellungen!$A$5:$X$5,0),0))=FALSE,SUMIF(Kalkulation!$A$6:$A$40,Kasse!J$5&amp;"*",Kalkulation!$C$6:$C$40)*VLOOKUP($A44,Bestellungen!$6:$1048576,MATCH(Kasse!J$5,Bestellungen!$A$5:$X$5,0),0),"")</f>
        <v/>
      </c>
      <c r="K44" s="26" t="str">
        <f>IF(ISERROR(VLOOKUP($A44,Bestellungen!$6:$1048576,MATCH(Kasse!K$5,Bestellungen!$A$5:$X$5,0),0))=FALSE,SUMIF(Kalkulation!$A$6:$A$40,Kasse!K$5&amp;"*",Kalkulation!$C$6:$C$40)*VLOOKUP($A44,Bestellungen!$6:$1048576,MATCH(Kasse!K$5,Bestellungen!$A$5:$X$5,0),0),"")</f>
        <v/>
      </c>
      <c r="L44" s="26" t="str">
        <f>IF(ISERROR(VLOOKUP($A44,Bestellungen!$6:$1048576,MATCH(Kasse!L$5,Bestellungen!$A$5:$X$5,0),0))=FALSE,SUMIF(Kalkulation!$A$6:$A$40,Kasse!L$5&amp;"*",Kalkulation!$C$6:$C$40)*VLOOKUP($A44,Bestellungen!$6:$1048576,MATCH(Kasse!L$5,Bestellungen!$A$5:$X$5,0),0),"")</f>
        <v/>
      </c>
      <c r="M44" s="26" t="str">
        <f>IF(ISERROR(VLOOKUP($A44,Bestellungen!$6:$1048576,MATCH(Kasse!M$5,Bestellungen!$A$5:$X$5,0),0))=FALSE,SUMIF(Kalkulation!$A$6:$A$40,Kasse!M$5&amp;"*",Kalkulation!$C$6:$C$40)*VLOOKUP($A44,Bestellungen!$6:$1048576,MATCH(Kasse!M$5,Bestellungen!$A$5:$X$5,0),0),"")</f>
        <v/>
      </c>
      <c r="N44" s="26" t="str">
        <f>IF(ISERROR(VLOOKUP($A44,Bestellungen!$6:$1048576,MATCH(Kasse!N$5,Bestellungen!$A$5:$X$5,0),0))=FALSE,SUMIF(Kalkulation!$A$6:$A$40,Kasse!N$5&amp;"*",Kalkulation!$C$6:$C$40)*VLOOKUP($A44,Bestellungen!$6:$1048576,MATCH(Kasse!N$5,Bestellungen!$A$5:$X$5,0),0),"")</f>
        <v/>
      </c>
      <c r="O44" s="26" t="str">
        <f>IF(ISERROR(VLOOKUP($A44,Bestellungen!$6:$1048576,MATCH(Kasse!O$5,Bestellungen!$A$5:$X$5,0),0))=FALSE,SUMIF(Kalkulation!$A$6:$A$40,Kasse!O$5&amp;"*",Kalkulation!$C$6:$C$40)*VLOOKUP($A44,Bestellungen!$6:$1048576,MATCH(Kasse!O$5,Bestellungen!$A$5:$X$5,0),0),"")</f>
        <v/>
      </c>
      <c r="P44" s="26" t="str">
        <f>IF(ISERROR(VLOOKUP($A44,Bestellungen!$6:$1048576,MATCH(Kasse!P$5,Bestellungen!$A$5:$X$5,0),0))=FALSE,SUMIF(Kalkulation!$A$6:$A$40,Kasse!P$5&amp;"*",Kalkulation!$C$6:$C$40)*VLOOKUP($A44,Bestellungen!$6:$1048576,MATCH(Kasse!P$5,Bestellungen!$A$5:$X$5,0),0),"")</f>
        <v/>
      </c>
      <c r="Q44" s="26" t="str">
        <f>IF(ISERROR(VLOOKUP($A44,Bestellungen!$6:$1048576,MATCH(Kasse!Q$5,Bestellungen!$A$5:$X$5,0),0))=FALSE,SUMIF(Kalkulation!$A$6:$A$40,Kasse!Q$5&amp;"*",Kalkulation!$C$6:$C$40)*VLOOKUP($A44,Bestellungen!$6:$1048576,MATCH(Kasse!Q$5,Bestellungen!$A$5:$X$5,0),0),"")</f>
        <v/>
      </c>
      <c r="R44" s="26" t="str">
        <f>IF(ISERROR(VLOOKUP($A44,Bestellungen!$6:$1048576,MATCH(Kasse!R$5,Bestellungen!$A$5:$X$5,0),0))=FALSE,SUMIF(Kalkulation!$A$6:$A$40,Kasse!R$5&amp;"*",Kalkulation!$C$6:$C$40)*VLOOKUP($A44,Bestellungen!$6:$1048576,MATCH(Kasse!R$5,Bestellungen!$A$5:$X$5,0),0),"")</f>
        <v/>
      </c>
      <c r="S44" s="26" t="str">
        <f>IF(ISERROR(VLOOKUP($A44,Bestellungen!$6:$1048576,MATCH(Kasse!S$5,Bestellungen!$A$5:$X$5,0),0))=FALSE,SUMIF(Kalkulation!$A$6:$A$40,Kasse!S$5&amp;"*",Kalkulation!$C$6:$C$40)*VLOOKUP($A44,Bestellungen!$6:$1048576,MATCH(Kasse!S$5,Bestellungen!$A$5:$X$5,0),0),"")</f>
        <v/>
      </c>
      <c r="T44" s="26" t="str">
        <f>IF(ISERROR(VLOOKUP($A44,Bestellungen!$6:$1048576,MATCH(Kasse!T$5,Bestellungen!$A$5:$X$5,0),0))=FALSE,SUMIF(Kalkulation!$A$6:$A$40,Kasse!T$5&amp;"*",Kalkulation!$C$6:$C$40)*VLOOKUP($A44,Bestellungen!$6:$1048576,MATCH(Kasse!T$5,Bestellungen!$A$5:$X$5,0),0),"")</f>
        <v/>
      </c>
      <c r="U44" s="26" t="str">
        <f t="shared" si="0"/>
        <v/>
      </c>
      <c r="W44" s="26" t="str">
        <f t="shared" si="1"/>
        <v/>
      </c>
      <c r="X44" s="26"/>
      <c r="Y44" s="26"/>
      <c r="Z44" s="26"/>
      <c r="AA44" s="26"/>
    </row>
    <row r="45" spans="1:27" x14ac:dyDescent="0.25">
      <c r="A45" t="str">
        <f>IF(LEN(Bestellungen!$A45)&gt;0,Bestellungen!$A45,"")</f>
        <v/>
      </c>
      <c r="B45" s="26" t="str">
        <f>IF(ISERROR(VLOOKUP($A45,Bestellungen!$6:$1048576,MATCH(Kasse!B$5,Bestellungen!$A$5:$X$5,0),0))=FALSE,SUMIF(Kalkulation!$A$6:$A$40,Kasse!B$5&amp;"*",Kalkulation!$C$6:$C$40)*VLOOKUP($A45,Bestellungen!$6:$1048576,MATCH(Kasse!B$5,Bestellungen!$A$5:$X$5,0),0),"")</f>
        <v/>
      </c>
      <c r="C45" s="26" t="str">
        <f>IF(ISERROR(VLOOKUP($A45,Bestellungen!$6:$1048576,MATCH(Kasse!C$5,Bestellungen!$A$5:$X$5,0),0))=FALSE,SUMIF(Kalkulation!$A$6:$A$40,Kasse!C$5&amp;"*",Kalkulation!$C$6:$C$40)*VLOOKUP($A45,Bestellungen!$6:$1048576,MATCH(Kasse!C$5,Bestellungen!$A$5:$X$5,0),0),"")</f>
        <v/>
      </c>
      <c r="D45" s="26" t="str">
        <f>IF(ISERROR(VLOOKUP($A45,Bestellungen!$6:$1048576,MATCH(Kasse!D$5,Bestellungen!$A$5:$X$5,0),0))=FALSE,SUMIF(Kalkulation!$A$6:$A$40,Kasse!D$5&amp;"*",Kalkulation!$C$6:$C$40)*VLOOKUP($A45,Bestellungen!$6:$1048576,MATCH(Kasse!D$5,Bestellungen!$A$5:$X$5,0),0),"")</f>
        <v/>
      </c>
      <c r="E45" s="26" t="str">
        <f>IF(ISERROR(VLOOKUP($A45,Bestellungen!$6:$1048576,MATCH(Kasse!E$5,Bestellungen!$A$5:$X$5,0),0))=FALSE,SUMIF(Kalkulation!$A$6:$A$40,Kasse!E$5&amp;"*",Kalkulation!$C$6:$C$40)*VLOOKUP($A45,Bestellungen!$6:$1048576,MATCH(Kasse!E$5,Bestellungen!$A$5:$X$5,0),0),"")</f>
        <v/>
      </c>
      <c r="F45" s="26" t="str">
        <f>IF(ISERROR(VLOOKUP($A45,Bestellungen!$6:$1048576,MATCH(Kasse!F$5,Bestellungen!$A$5:$X$5,0),0))=FALSE,SUMIF(Kalkulation!$A$6:$A$40,Kasse!F$5&amp;"*",Kalkulation!$C$6:$C$40)*VLOOKUP($A45,Bestellungen!$6:$1048576,MATCH(Kasse!F$5,Bestellungen!$A$5:$X$5,0),0),"")</f>
        <v/>
      </c>
      <c r="G45" s="26" t="str">
        <f>IF(ISERROR(VLOOKUP($A45,Bestellungen!$6:$1048576,MATCH(Kasse!G$5,Bestellungen!$A$5:$X$5,0),0))=FALSE,SUMIF(Kalkulation!$A$6:$A$40,Kasse!G$5&amp;"*",Kalkulation!$C$6:$C$40)*VLOOKUP($A45,Bestellungen!$6:$1048576,MATCH(Kasse!G$5,Bestellungen!$A$5:$X$5,0),0),"")</f>
        <v/>
      </c>
      <c r="H45" s="26" t="str">
        <f>IF(ISERROR(VLOOKUP($A45,Bestellungen!$6:$1048576,MATCH(Kasse!H$5,Bestellungen!$A$5:$X$5,0),0))=FALSE,SUMIF(Kalkulation!$A$6:$A$40,Kasse!H$5&amp;"*",Kalkulation!$C$6:$C$40)*VLOOKUP($A45,Bestellungen!$6:$1048576,MATCH(Kasse!H$5,Bestellungen!$A$5:$X$5,0),0),"")</f>
        <v/>
      </c>
      <c r="I45" s="26" t="str">
        <f>IF(ISERROR(VLOOKUP($A45,Bestellungen!$6:$1048576,MATCH(Kasse!I$5,Bestellungen!$A$5:$X$5,0),0))=FALSE,SUMIF(Kalkulation!$A$6:$A$40,Kasse!I$5&amp;"*",Kalkulation!$C$6:$C$40)*VLOOKUP($A45,Bestellungen!$6:$1048576,MATCH(Kasse!I$5,Bestellungen!$A$5:$X$5,0),0),"")</f>
        <v/>
      </c>
      <c r="J45" s="26" t="str">
        <f>IF(ISERROR(VLOOKUP($A45,Bestellungen!$6:$1048576,MATCH(Kasse!J$5,Bestellungen!$A$5:$X$5,0),0))=FALSE,SUMIF(Kalkulation!$A$6:$A$40,Kasse!J$5&amp;"*",Kalkulation!$C$6:$C$40)*VLOOKUP($A45,Bestellungen!$6:$1048576,MATCH(Kasse!J$5,Bestellungen!$A$5:$X$5,0),0),"")</f>
        <v/>
      </c>
      <c r="K45" s="26" t="str">
        <f>IF(ISERROR(VLOOKUP($A45,Bestellungen!$6:$1048576,MATCH(Kasse!K$5,Bestellungen!$A$5:$X$5,0),0))=FALSE,SUMIF(Kalkulation!$A$6:$A$40,Kasse!K$5&amp;"*",Kalkulation!$C$6:$C$40)*VLOOKUP($A45,Bestellungen!$6:$1048576,MATCH(Kasse!K$5,Bestellungen!$A$5:$X$5,0),0),"")</f>
        <v/>
      </c>
      <c r="L45" s="26" t="str">
        <f>IF(ISERROR(VLOOKUP($A45,Bestellungen!$6:$1048576,MATCH(Kasse!L$5,Bestellungen!$A$5:$X$5,0),0))=FALSE,SUMIF(Kalkulation!$A$6:$A$40,Kasse!L$5&amp;"*",Kalkulation!$C$6:$C$40)*VLOOKUP($A45,Bestellungen!$6:$1048576,MATCH(Kasse!L$5,Bestellungen!$A$5:$X$5,0),0),"")</f>
        <v/>
      </c>
      <c r="M45" s="26" t="str">
        <f>IF(ISERROR(VLOOKUP($A45,Bestellungen!$6:$1048576,MATCH(Kasse!M$5,Bestellungen!$A$5:$X$5,0),0))=FALSE,SUMIF(Kalkulation!$A$6:$A$40,Kasse!M$5&amp;"*",Kalkulation!$C$6:$C$40)*VLOOKUP($A45,Bestellungen!$6:$1048576,MATCH(Kasse!M$5,Bestellungen!$A$5:$X$5,0),0),"")</f>
        <v/>
      </c>
      <c r="N45" s="26" t="str">
        <f>IF(ISERROR(VLOOKUP($A45,Bestellungen!$6:$1048576,MATCH(Kasse!N$5,Bestellungen!$A$5:$X$5,0),0))=FALSE,SUMIF(Kalkulation!$A$6:$A$40,Kasse!N$5&amp;"*",Kalkulation!$C$6:$C$40)*VLOOKUP($A45,Bestellungen!$6:$1048576,MATCH(Kasse!N$5,Bestellungen!$A$5:$X$5,0),0),"")</f>
        <v/>
      </c>
      <c r="O45" s="26" t="str">
        <f>IF(ISERROR(VLOOKUP($A45,Bestellungen!$6:$1048576,MATCH(Kasse!O$5,Bestellungen!$A$5:$X$5,0),0))=FALSE,SUMIF(Kalkulation!$A$6:$A$40,Kasse!O$5&amp;"*",Kalkulation!$C$6:$C$40)*VLOOKUP($A45,Bestellungen!$6:$1048576,MATCH(Kasse!O$5,Bestellungen!$A$5:$X$5,0),0),"")</f>
        <v/>
      </c>
      <c r="P45" s="26" t="str">
        <f>IF(ISERROR(VLOOKUP($A45,Bestellungen!$6:$1048576,MATCH(Kasse!P$5,Bestellungen!$A$5:$X$5,0),0))=FALSE,SUMIF(Kalkulation!$A$6:$A$40,Kasse!P$5&amp;"*",Kalkulation!$C$6:$C$40)*VLOOKUP($A45,Bestellungen!$6:$1048576,MATCH(Kasse!P$5,Bestellungen!$A$5:$X$5,0),0),"")</f>
        <v/>
      </c>
      <c r="Q45" s="26" t="str">
        <f>IF(ISERROR(VLOOKUP($A45,Bestellungen!$6:$1048576,MATCH(Kasse!Q$5,Bestellungen!$A$5:$X$5,0),0))=FALSE,SUMIF(Kalkulation!$A$6:$A$40,Kasse!Q$5&amp;"*",Kalkulation!$C$6:$C$40)*VLOOKUP($A45,Bestellungen!$6:$1048576,MATCH(Kasse!Q$5,Bestellungen!$A$5:$X$5,0),0),"")</f>
        <v/>
      </c>
      <c r="R45" s="26" t="str">
        <f>IF(ISERROR(VLOOKUP($A45,Bestellungen!$6:$1048576,MATCH(Kasse!R$5,Bestellungen!$A$5:$X$5,0),0))=FALSE,SUMIF(Kalkulation!$A$6:$A$40,Kasse!R$5&amp;"*",Kalkulation!$C$6:$C$40)*VLOOKUP($A45,Bestellungen!$6:$1048576,MATCH(Kasse!R$5,Bestellungen!$A$5:$X$5,0),0),"")</f>
        <v/>
      </c>
      <c r="S45" s="26" t="str">
        <f>IF(ISERROR(VLOOKUP($A45,Bestellungen!$6:$1048576,MATCH(Kasse!S$5,Bestellungen!$A$5:$X$5,0),0))=FALSE,SUMIF(Kalkulation!$A$6:$A$40,Kasse!S$5&amp;"*",Kalkulation!$C$6:$C$40)*VLOOKUP($A45,Bestellungen!$6:$1048576,MATCH(Kasse!S$5,Bestellungen!$A$5:$X$5,0),0),"")</f>
        <v/>
      </c>
      <c r="T45" s="26" t="str">
        <f>IF(ISERROR(VLOOKUP($A45,Bestellungen!$6:$1048576,MATCH(Kasse!T$5,Bestellungen!$A$5:$X$5,0),0))=FALSE,SUMIF(Kalkulation!$A$6:$A$40,Kasse!T$5&amp;"*",Kalkulation!$C$6:$C$40)*VLOOKUP($A45,Bestellungen!$6:$1048576,MATCH(Kasse!T$5,Bestellungen!$A$5:$X$5,0),0),"")</f>
        <v/>
      </c>
      <c r="U45" s="26" t="str">
        <f t="shared" si="0"/>
        <v/>
      </c>
      <c r="W45" s="26" t="str">
        <f t="shared" si="1"/>
        <v/>
      </c>
      <c r="X45" s="26"/>
      <c r="Y45" s="26"/>
      <c r="Z45" s="26"/>
      <c r="AA45" s="26"/>
    </row>
    <row r="46" spans="1:27" x14ac:dyDescent="0.25">
      <c r="A46" t="str">
        <f>IF(LEN(Bestellungen!$A46)&gt;0,Bestellungen!$A46,"")</f>
        <v/>
      </c>
      <c r="B46" s="26" t="str">
        <f>IF(ISERROR(VLOOKUP($A46,Bestellungen!$6:$1048576,MATCH(Kasse!B$5,Bestellungen!$A$5:$X$5,0),0))=FALSE,SUMIF(Kalkulation!$A$6:$A$40,Kasse!B$5&amp;"*",Kalkulation!$C$6:$C$40)*VLOOKUP($A46,Bestellungen!$6:$1048576,MATCH(Kasse!B$5,Bestellungen!$A$5:$X$5,0),0),"")</f>
        <v/>
      </c>
      <c r="C46" s="26" t="str">
        <f>IF(ISERROR(VLOOKUP($A46,Bestellungen!$6:$1048576,MATCH(Kasse!C$5,Bestellungen!$A$5:$X$5,0),0))=FALSE,SUMIF(Kalkulation!$A$6:$A$40,Kasse!C$5&amp;"*",Kalkulation!$C$6:$C$40)*VLOOKUP($A46,Bestellungen!$6:$1048576,MATCH(Kasse!C$5,Bestellungen!$A$5:$X$5,0),0),"")</f>
        <v/>
      </c>
      <c r="D46" s="26" t="str">
        <f>IF(ISERROR(VLOOKUP($A46,Bestellungen!$6:$1048576,MATCH(Kasse!D$5,Bestellungen!$A$5:$X$5,0),0))=FALSE,SUMIF(Kalkulation!$A$6:$A$40,Kasse!D$5&amp;"*",Kalkulation!$C$6:$C$40)*VLOOKUP($A46,Bestellungen!$6:$1048576,MATCH(Kasse!D$5,Bestellungen!$A$5:$X$5,0),0),"")</f>
        <v/>
      </c>
      <c r="E46" s="26" t="str">
        <f>IF(ISERROR(VLOOKUP($A46,Bestellungen!$6:$1048576,MATCH(Kasse!E$5,Bestellungen!$A$5:$X$5,0),0))=FALSE,SUMIF(Kalkulation!$A$6:$A$40,Kasse!E$5&amp;"*",Kalkulation!$C$6:$C$40)*VLOOKUP($A46,Bestellungen!$6:$1048576,MATCH(Kasse!E$5,Bestellungen!$A$5:$X$5,0),0),"")</f>
        <v/>
      </c>
      <c r="F46" s="26" t="str">
        <f>IF(ISERROR(VLOOKUP($A46,Bestellungen!$6:$1048576,MATCH(Kasse!F$5,Bestellungen!$A$5:$X$5,0),0))=FALSE,SUMIF(Kalkulation!$A$6:$A$40,Kasse!F$5&amp;"*",Kalkulation!$C$6:$C$40)*VLOOKUP($A46,Bestellungen!$6:$1048576,MATCH(Kasse!F$5,Bestellungen!$A$5:$X$5,0),0),"")</f>
        <v/>
      </c>
      <c r="G46" s="26" t="str">
        <f>IF(ISERROR(VLOOKUP($A46,Bestellungen!$6:$1048576,MATCH(Kasse!G$5,Bestellungen!$A$5:$X$5,0),0))=FALSE,SUMIF(Kalkulation!$A$6:$A$40,Kasse!G$5&amp;"*",Kalkulation!$C$6:$C$40)*VLOOKUP($A46,Bestellungen!$6:$1048576,MATCH(Kasse!G$5,Bestellungen!$A$5:$X$5,0),0),"")</f>
        <v/>
      </c>
      <c r="H46" s="26" t="str">
        <f>IF(ISERROR(VLOOKUP($A46,Bestellungen!$6:$1048576,MATCH(Kasse!H$5,Bestellungen!$A$5:$X$5,0),0))=FALSE,SUMIF(Kalkulation!$A$6:$A$40,Kasse!H$5&amp;"*",Kalkulation!$C$6:$C$40)*VLOOKUP($A46,Bestellungen!$6:$1048576,MATCH(Kasse!H$5,Bestellungen!$A$5:$X$5,0),0),"")</f>
        <v/>
      </c>
      <c r="I46" s="26" t="str">
        <f>IF(ISERROR(VLOOKUP($A46,Bestellungen!$6:$1048576,MATCH(Kasse!I$5,Bestellungen!$A$5:$X$5,0),0))=FALSE,SUMIF(Kalkulation!$A$6:$A$40,Kasse!I$5&amp;"*",Kalkulation!$C$6:$C$40)*VLOOKUP($A46,Bestellungen!$6:$1048576,MATCH(Kasse!I$5,Bestellungen!$A$5:$X$5,0),0),"")</f>
        <v/>
      </c>
      <c r="J46" s="26" t="str">
        <f>IF(ISERROR(VLOOKUP($A46,Bestellungen!$6:$1048576,MATCH(Kasse!J$5,Bestellungen!$A$5:$X$5,0),0))=FALSE,SUMIF(Kalkulation!$A$6:$A$40,Kasse!J$5&amp;"*",Kalkulation!$C$6:$C$40)*VLOOKUP($A46,Bestellungen!$6:$1048576,MATCH(Kasse!J$5,Bestellungen!$A$5:$X$5,0),0),"")</f>
        <v/>
      </c>
      <c r="K46" s="26" t="str">
        <f>IF(ISERROR(VLOOKUP($A46,Bestellungen!$6:$1048576,MATCH(Kasse!K$5,Bestellungen!$A$5:$X$5,0),0))=FALSE,SUMIF(Kalkulation!$A$6:$A$40,Kasse!K$5&amp;"*",Kalkulation!$C$6:$C$40)*VLOOKUP($A46,Bestellungen!$6:$1048576,MATCH(Kasse!K$5,Bestellungen!$A$5:$X$5,0),0),"")</f>
        <v/>
      </c>
      <c r="L46" s="26" t="str">
        <f>IF(ISERROR(VLOOKUP($A46,Bestellungen!$6:$1048576,MATCH(Kasse!L$5,Bestellungen!$A$5:$X$5,0),0))=FALSE,SUMIF(Kalkulation!$A$6:$A$40,Kasse!L$5&amp;"*",Kalkulation!$C$6:$C$40)*VLOOKUP($A46,Bestellungen!$6:$1048576,MATCH(Kasse!L$5,Bestellungen!$A$5:$X$5,0),0),"")</f>
        <v/>
      </c>
      <c r="M46" s="26" t="str">
        <f>IF(ISERROR(VLOOKUP($A46,Bestellungen!$6:$1048576,MATCH(Kasse!M$5,Bestellungen!$A$5:$X$5,0),0))=FALSE,SUMIF(Kalkulation!$A$6:$A$40,Kasse!M$5&amp;"*",Kalkulation!$C$6:$C$40)*VLOOKUP($A46,Bestellungen!$6:$1048576,MATCH(Kasse!M$5,Bestellungen!$A$5:$X$5,0),0),"")</f>
        <v/>
      </c>
      <c r="N46" s="26" t="str">
        <f>IF(ISERROR(VLOOKUP($A46,Bestellungen!$6:$1048576,MATCH(Kasse!N$5,Bestellungen!$A$5:$X$5,0),0))=FALSE,SUMIF(Kalkulation!$A$6:$A$40,Kasse!N$5&amp;"*",Kalkulation!$C$6:$C$40)*VLOOKUP($A46,Bestellungen!$6:$1048576,MATCH(Kasse!N$5,Bestellungen!$A$5:$X$5,0),0),"")</f>
        <v/>
      </c>
      <c r="O46" s="26" t="str">
        <f>IF(ISERROR(VLOOKUP($A46,Bestellungen!$6:$1048576,MATCH(Kasse!O$5,Bestellungen!$A$5:$X$5,0),0))=FALSE,SUMIF(Kalkulation!$A$6:$A$40,Kasse!O$5&amp;"*",Kalkulation!$C$6:$C$40)*VLOOKUP($A46,Bestellungen!$6:$1048576,MATCH(Kasse!O$5,Bestellungen!$A$5:$X$5,0),0),"")</f>
        <v/>
      </c>
      <c r="P46" s="26" t="str">
        <f>IF(ISERROR(VLOOKUP($A46,Bestellungen!$6:$1048576,MATCH(Kasse!P$5,Bestellungen!$A$5:$X$5,0),0))=FALSE,SUMIF(Kalkulation!$A$6:$A$40,Kasse!P$5&amp;"*",Kalkulation!$C$6:$C$40)*VLOOKUP($A46,Bestellungen!$6:$1048576,MATCH(Kasse!P$5,Bestellungen!$A$5:$X$5,0),0),"")</f>
        <v/>
      </c>
      <c r="Q46" s="26" t="str">
        <f>IF(ISERROR(VLOOKUP($A46,Bestellungen!$6:$1048576,MATCH(Kasse!Q$5,Bestellungen!$A$5:$X$5,0),0))=FALSE,SUMIF(Kalkulation!$A$6:$A$40,Kasse!Q$5&amp;"*",Kalkulation!$C$6:$C$40)*VLOOKUP($A46,Bestellungen!$6:$1048576,MATCH(Kasse!Q$5,Bestellungen!$A$5:$X$5,0),0),"")</f>
        <v/>
      </c>
      <c r="R46" s="26" t="str">
        <f>IF(ISERROR(VLOOKUP($A46,Bestellungen!$6:$1048576,MATCH(Kasse!R$5,Bestellungen!$A$5:$X$5,0),0))=FALSE,SUMIF(Kalkulation!$A$6:$A$40,Kasse!R$5&amp;"*",Kalkulation!$C$6:$C$40)*VLOOKUP($A46,Bestellungen!$6:$1048576,MATCH(Kasse!R$5,Bestellungen!$A$5:$X$5,0),0),"")</f>
        <v/>
      </c>
      <c r="S46" s="26" t="str">
        <f>IF(ISERROR(VLOOKUP($A46,Bestellungen!$6:$1048576,MATCH(Kasse!S$5,Bestellungen!$A$5:$X$5,0),0))=FALSE,SUMIF(Kalkulation!$A$6:$A$40,Kasse!S$5&amp;"*",Kalkulation!$C$6:$C$40)*VLOOKUP($A46,Bestellungen!$6:$1048576,MATCH(Kasse!S$5,Bestellungen!$A$5:$X$5,0),0),"")</f>
        <v/>
      </c>
      <c r="T46" s="26" t="str">
        <f>IF(ISERROR(VLOOKUP($A46,Bestellungen!$6:$1048576,MATCH(Kasse!T$5,Bestellungen!$A$5:$X$5,0),0))=FALSE,SUMIF(Kalkulation!$A$6:$A$40,Kasse!T$5&amp;"*",Kalkulation!$C$6:$C$40)*VLOOKUP($A46,Bestellungen!$6:$1048576,MATCH(Kasse!T$5,Bestellungen!$A$5:$X$5,0),0),"")</f>
        <v/>
      </c>
      <c r="U46" s="26" t="str">
        <f t="shared" si="0"/>
        <v/>
      </c>
      <c r="W46" s="26" t="str">
        <f t="shared" si="1"/>
        <v/>
      </c>
      <c r="X46" s="26"/>
      <c r="Y46" s="26"/>
      <c r="Z46" s="26"/>
      <c r="AA46" s="26"/>
    </row>
    <row r="47" spans="1:27" x14ac:dyDescent="0.25">
      <c r="A47" t="str">
        <f>IF(LEN(Bestellungen!$A47)&gt;0,Bestellungen!$A47,"")</f>
        <v/>
      </c>
      <c r="B47" s="26" t="str">
        <f>IF(ISERROR(VLOOKUP($A47,Bestellungen!$6:$1048576,MATCH(Kasse!B$5,Bestellungen!$A$5:$X$5,0),0))=FALSE,SUMIF(Kalkulation!$A$6:$A$40,Kasse!B$5&amp;"*",Kalkulation!$C$6:$C$40)*VLOOKUP($A47,Bestellungen!$6:$1048576,MATCH(Kasse!B$5,Bestellungen!$A$5:$X$5,0),0),"")</f>
        <v/>
      </c>
      <c r="C47" s="26" t="str">
        <f>IF(ISERROR(VLOOKUP($A47,Bestellungen!$6:$1048576,MATCH(Kasse!C$5,Bestellungen!$A$5:$X$5,0),0))=FALSE,SUMIF(Kalkulation!$A$6:$A$40,Kasse!C$5&amp;"*",Kalkulation!$C$6:$C$40)*VLOOKUP($A47,Bestellungen!$6:$1048576,MATCH(Kasse!C$5,Bestellungen!$A$5:$X$5,0),0),"")</f>
        <v/>
      </c>
      <c r="D47" s="26" t="str">
        <f>IF(ISERROR(VLOOKUP($A47,Bestellungen!$6:$1048576,MATCH(Kasse!D$5,Bestellungen!$A$5:$X$5,0),0))=FALSE,SUMIF(Kalkulation!$A$6:$A$40,Kasse!D$5&amp;"*",Kalkulation!$C$6:$C$40)*VLOOKUP($A47,Bestellungen!$6:$1048576,MATCH(Kasse!D$5,Bestellungen!$A$5:$X$5,0),0),"")</f>
        <v/>
      </c>
      <c r="E47" s="26" t="str">
        <f>IF(ISERROR(VLOOKUP($A47,Bestellungen!$6:$1048576,MATCH(Kasse!E$5,Bestellungen!$A$5:$X$5,0),0))=FALSE,SUMIF(Kalkulation!$A$6:$A$40,Kasse!E$5&amp;"*",Kalkulation!$C$6:$C$40)*VLOOKUP($A47,Bestellungen!$6:$1048576,MATCH(Kasse!E$5,Bestellungen!$A$5:$X$5,0),0),"")</f>
        <v/>
      </c>
      <c r="F47" s="26" t="str">
        <f>IF(ISERROR(VLOOKUP($A47,Bestellungen!$6:$1048576,MATCH(Kasse!F$5,Bestellungen!$A$5:$X$5,0),0))=FALSE,SUMIF(Kalkulation!$A$6:$A$40,Kasse!F$5&amp;"*",Kalkulation!$C$6:$C$40)*VLOOKUP($A47,Bestellungen!$6:$1048576,MATCH(Kasse!F$5,Bestellungen!$A$5:$X$5,0),0),"")</f>
        <v/>
      </c>
      <c r="G47" s="26" t="str">
        <f>IF(ISERROR(VLOOKUP($A47,Bestellungen!$6:$1048576,MATCH(Kasse!G$5,Bestellungen!$A$5:$X$5,0),0))=FALSE,SUMIF(Kalkulation!$A$6:$A$40,Kasse!G$5&amp;"*",Kalkulation!$C$6:$C$40)*VLOOKUP($A47,Bestellungen!$6:$1048576,MATCH(Kasse!G$5,Bestellungen!$A$5:$X$5,0),0),"")</f>
        <v/>
      </c>
      <c r="H47" s="26" t="str">
        <f>IF(ISERROR(VLOOKUP($A47,Bestellungen!$6:$1048576,MATCH(Kasse!H$5,Bestellungen!$A$5:$X$5,0),0))=FALSE,SUMIF(Kalkulation!$A$6:$A$40,Kasse!H$5&amp;"*",Kalkulation!$C$6:$C$40)*VLOOKUP($A47,Bestellungen!$6:$1048576,MATCH(Kasse!H$5,Bestellungen!$A$5:$X$5,0),0),"")</f>
        <v/>
      </c>
      <c r="I47" s="26" t="str">
        <f>IF(ISERROR(VLOOKUP($A47,Bestellungen!$6:$1048576,MATCH(Kasse!I$5,Bestellungen!$A$5:$X$5,0),0))=FALSE,SUMIF(Kalkulation!$A$6:$A$40,Kasse!I$5&amp;"*",Kalkulation!$C$6:$C$40)*VLOOKUP($A47,Bestellungen!$6:$1048576,MATCH(Kasse!I$5,Bestellungen!$A$5:$X$5,0),0),"")</f>
        <v/>
      </c>
      <c r="J47" s="26" t="str">
        <f>IF(ISERROR(VLOOKUP($A47,Bestellungen!$6:$1048576,MATCH(Kasse!J$5,Bestellungen!$A$5:$X$5,0),0))=FALSE,SUMIF(Kalkulation!$A$6:$A$40,Kasse!J$5&amp;"*",Kalkulation!$C$6:$C$40)*VLOOKUP($A47,Bestellungen!$6:$1048576,MATCH(Kasse!J$5,Bestellungen!$A$5:$X$5,0),0),"")</f>
        <v/>
      </c>
      <c r="K47" s="26" t="str">
        <f>IF(ISERROR(VLOOKUP($A47,Bestellungen!$6:$1048576,MATCH(Kasse!K$5,Bestellungen!$A$5:$X$5,0),0))=FALSE,SUMIF(Kalkulation!$A$6:$A$40,Kasse!K$5&amp;"*",Kalkulation!$C$6:$C$40)*VLOOKUP($A47,Bestellungen!$6:$1048576,MATCH(Kasse!K$5,Bestellungen!$A$5:$X$5,0),0),"")</f>
        <v/>
      </c>
      <c r="L47" s="26" t="str">
        <f>IF(ISERROR(VLOOKUP($A47,Bestellungen!$6:$1048576,MATCH(Kasse!L$5,Bestellungen!$A$5:$X$5,0),0))=FALSE,SUMIF(Kalkulation!$A$6:$A$40,Kasse!L$5&amp;"*",Kalkulation!$C$6:$C$40)*VLOOKUP($A47,Bestellungen!$6:$1048576,MATCH(Kasse!L$5,Bestellungen!$A$5:$X$5,0),0),"")</f>
        <v/>
      </c>
      <c r="M47" s="26" t="str">
        <f>IF(ISERROR(VLOOKUP($A47,Bestellungen!$6:$1048576,MATCH(Kasse!M$5,Bestellungen!$A$5:$X$5,0),0))=FALSE,SUMIF(Kalkulation!$A$6:$A$40,Kasse!M$5&amp;"*",Kalkulation!$C$6:$C$40)*VLOOKUP($A47,Bestellungen!$6:$1048576,MATCH(Kasse!M$5,Bestellungen!$A$5:$X$5,0),0),"")</f>
        <v/>
      </c>
      <c r="N47" s="26" t="str">
        <f>IF(ISERROR(VLOOKUP($A47,Bestellungen!$6:$1048576,MATCH(Kasse!N$5,Bestellungen!$A$5:$X$5,0),0))=FALSE,SUMIF(Kalkulation!$A$6:$A$40,Kasse!N$5&amp;"*",Kalkulation!$C$6:$C$40)*VLOOKUP($A47,Bestellungen!$6:$1048576,MATCH(Kasse!N$5,Bestellungen!$A$5:$X$5,0),0),"")</f>
        <v/>
      </c>
      <c r="O47" s="26" t="str">
        <f>IF(ISERROR(VLOOKUP($A47,Bestellungen!$6:$1048576,MATCH(Kasse!O$5,Bestellungen!$A$5:$X$5,0),0))=FALSE,SUMIF(Kalkulation!$A$6:$A$40,Kasse!O$5&amp;"*",Kalkulation!$C$6:$C$40)*VLOOKUP($A47,Bestellungen!$6:$1048576,MATCH(Kasse!O$5,Bestellungen!$A$5:$X$5,0),0),"")</f>
        <v/>
      </c>
      <c r="P47" s="26" t="str">
        <f>IF(ISERROR(VLOOKUP($A47,Bestellungen!$6:$1048576,MATCH(Kasse!P$5,Bestellungen!$A$5:$X$5,0),0))=FALSE,SUMIF(Kalkulation!$A$6:$A$40,Kasse!P$5&amp;"*",Kalkulation!$C$6:$C$40)*VLOOKUP($A47,Bestellungen!$6:$1048576,MATCH(Kasse!P$5,Bestellungen!$A$5:$X$5,0),0),"")</f>
        <v/>
      </c>
      <c r="Q47" s="26" t="str">
        <f>IF(ISERROR(VLOOKUP($A47,Bestellungen!$6:$1048576,MATCH(Kasse!Q$5,Bestellungen!$A$5:$X$5,0),0))=FALSE,SUMIF(Kalkulation!$A$6:$A$40,Kasse!Q$5&amp;"*",Kalkulation!$C$6:$C$40)*VLOOKUP($A47,Bestellungen!$6:$1048576,MATCH(Kasse!Q$5,Bestellungen!$A$5:$X$5,0),0),"")</f>
        <v/>
      </c>
      <c r="R47" s="26" t="str">
        <f>IF(ISERROR(VLOOKUP($A47,Bestellungen!$6:$1048576,MATCH(Kasse!R$5,Bestellungen!$A$5:$X$5,0),0))=FALSE,SUMIF(Kalkulation!$A$6:$A$40,Kasse!R$5&amp;"*",Kalkulation!$C$6:$C$40)*VLOOKUP($A47,Bestellungen!$6:$1048576,MATCH(Kasse!R$5,Bestellungen!$A$5:$X$5,0),0),"")</f>
        <v/>
      </c>
      <c r="S47" s="26" t="str">
        <f>IF(ISERROR(VLOOKUP($A47,Bestellungen!$6:$1048576,MATCH(Kasse!S$5,Bestellungen!$A$5:$X$5,0),0))=FALSE,SUMIF(Kalkulation!$A$6:$A$40,Kasse!S$5&amp;"*",Kalkulation!$C$6:$C$40)*VLOOKUP($A47,Bestellungen!$6:$1048576,MATCH(Kasse!S$5,Bestellungen!$A$5:$X$5,0),0),"")</f>
        <v/>
      </c>
      <c r="T47" s="26" t="str">
        <f>IF(ISERROR(VLOOKUP($A47,Bestellungen!$6:$1048576,MATCH(Kasse!T$5,Bestellungen!$A$5:$X$5,0),0))=FALSE,SUMIF(Kalkulation!$A$6:$A$40,Kasse!T$5&amp;"*",Kalkulation!$C$6:$C$40)*VLOOKUP($A47,Bestellungen!$6:$1048576,MATCH(Kasse!T$5,Bestellungen!$A$5:$X$5,0),0),"")</f>
        <v/>
      </c>
      <c r="U47" s="26" t="str">
        <f t="shared" si="0"/>
        <v/>
      </c>
      <c r="W47" s="26" t="str">
        <f t="shared" si="1"/>
        <v/>
      </c>
      <c r="X47" s="26"/>
      <c r="Y47" s="26"/>
      <c r="Z47" s="26"/>
      <c r="AA47" s="26"/>
    </row>
    <row r="48" spans="1:27" x14ac:dyDescent="0.25">
      <c r="A48" t="str">
        <f>IF(LEN(Bestellungen!$A48)&gt;0,Bestellungen!$A48,"")</f>
        <v/>
      </c>
      <c r="B48" s="26" t="str">
        <f>IF(ISERROR(VLOOKUP($A48,Bestellungen!$6:$1048576,MATCH(Kasse!B$5,Bestellungen!$A$5:$X$5,0),0))=FALSE,SUMIF(Kalkulation!$A$6:$A$40,Kasse!B$5&amp;"*",Kalkulation!$C$6:$C$40)*VLOOKUP($A48,Bestellungen!$6:$1048576,MATCH(Kasse!B$5,Bestellungen!$A$5:$X$5,0),0),"")</f>
        <v/>
      </c>
      <c r="C48" s="26" t="str">
        <f>IF(ISERROR(VLOOKUP($A48,Bestellungen!$6:$1048576,MATCH(Kasse!C$5,Bestellungen!$A$5:$X$5,0),0))=FALSE,SUMIF(Kalkulation!$A$6:$A$40,Kasse!C$5&amp;"*",Kalkulation!$C$6:$C$40)*VLOOKUP($A48,Bestellungen!$6:$1048576,MATCH(Kasse!C$5,Bestellungen!$A$5:$X$5,0),0),"")</f>
        <v/>
      </c>
      <c r="D48" s="26" t="str">
        <f>IF(ISERROR(VLOOKUP($A48,Bestellungen!$6:$1048576,MATCH(Kasse!D$5,Bestellungen!$A$5:$X$5,0),0))=FALSE,SUMIF(Kalkulation!$A$6:$A$40,Kasse!D$5&amp;"*",Kalkulation!$C$6:$C$40)*VLOOKUP($A48,Bestellungen!$6:$1048576,MATCH(Kasse!D$5,Bestellungen!$A$5:$X$5,0),0),"")</f>
        <v/>
      </c>
      <c r="E48" s="26" t="str">
        <f>IF(ISERROR(VLOOKUP($A48,Bestellungen!$6:$1048576,MATCH(Kasse!E$5,Bestellungen!$A$5:$X$5,0),0))=FALSE,SUMIF(Kalkulation!$A$6:$A$40,Kasse!E$5&amp;"*",Kalkulation!$C$6:$C$40)*VLOOKUP($A48,Bestellungen!$6:$1048576,MATCH(Kasse!E$5,Bestellungen!$A$5:$X$5,0),0),"")</f>
        <v/>
      </c>
      <c r="F48" s="26" t="str">
        <f>IF(ISERROR(VLOOKUP($A48,Bestellungen!$6:$1048576,MATCH(Kasse!F$5,Bestellungen!$A$5:$X$5,0),0))=FALSE,SUMIF(Kalkulation!$A$6:$A$40,Kasse!F$5&amp;"*",Kalkulation!$C$6:$C$40)*VLOOKUP($A48,Bestellungen!$6:$1048576,MATCH(Kasse!F$5,Bestellungen!$A$5:$X$5,0),0),"")</f>
        <v/>
      </c>
      <c r="G48" s="26" t="str">
        <f>IF(ISERROR(VLOOKUP($A48,Bestellungen!$6:$1048576,MATCH(Kasse!G$5,Bestellungen!$A$5:$X$5,0),0))=FALSE,SUMIF(Kalkulation!$A$6:$A$40,Kasse!G$5&amp;"*",Kalkulation!$C$6:$C$40)*VLOOKUP($A48,Bestellungen!$6:$1048576,MATCH(Kasse!G$5,Bestellungen!$A$5:$X$5,0),0),"")</f>
        <v/>
      </c>
      <c r="H48" s="26" t="str">
        <f>IF(ISERROR(VLOOKUP($A48,Bestellungen!$6:$1048576,MATCH(Kasse!H$5,Bestellungen!$A$5:$X$5,0),0))=FALSE,SUMIF(Kalkulation!$A$6:$A$40,Kasse!H$5&amp;"*",Kalkulation!$C$6:$C$40)*VLOOKUP($A48,Bestellungen!$6:$1048576,MATCH(Kasse!H$5,Bestellungen!$A$5:$X$5,0),0),"")</f>
        <v/>
      </c>
      <c r="I48" s="26" t="str">
        <f>IF(ISERROR(VLOOKUP($A48,Bestellungen!$6:$1048576,MATCH(Kasse!I$5,Bestellungen!$A$5:$X$5,0),0))=FALSE,SUMIF(Kalkulation!$A$6:$A$40,Kasse!I$5&amp;"*",Kalkulation!$C$6:$C$40)*VLOOKUP($A48,Bestellungen!$6:$1048576,MATCH(Kasse!I$5,Bestellungen!$A$5:$X$5,0),0),"")</f>
        <v/>
      </c>
      <c r="J48" s="26" t="str">
        <f>IF(ISERROR(VLOOKUP($A48,Bestellungen!$6:$1048576,MATCH(Kasse!J$5,Bestellungen!$A$5:$X$5,0),0))=FALSE,SUMIF(Kalkulation!$A$6:$A$40,Kasse!J$5&amp;"*",Kalkulation!$C$6:$C$40)*VLOOKUP($A48,Bestellungen!$6:$1048576,MATCH(Kasse!J$5,Bestellungen!$A$5:$X$5,0),0),"")</f>
        <v/>
      </c>
      <c r="K48" s="26" t="str">
        <f>IF(ISERROR(VLOOKUP($A48,Bestellungen!$6:$1048576,MATCH(Kasse!K$5,Bestellungen!$A$5:$X$5,0),0))=FALSE,SUMIF(Kalkulation!$A$6:$A$40,Kasse!K$5&amp;"*",Kalkulation!$C$6:$C$40)*VLOOKUP($A48,Bestellungen!$6:$1048576,MATCH(Kasse!K$5,Bestellungen!$A$5:$X$5,0),0),"")</f>
        <v/>
      </c>
      <c r="L48" s="26" t="str">
        <f>IF(ISERROR(VLOOKUP($A48,Bestellungen!$6:$1048576,MATCH(Kasse!L$5,Bestellungen!$A$5:$X$5,0),0))=FALSE,SUMIF(Kalkulation!$A$6:$A$40,Kasse!L$5&amp;"*",Kalkulation!$C$6:$C$40)*VLOOKUP($A48,Bestellungen!$6:$1048576,MATCH(Kasse!L$5,Bestellungen!$A$5:$X$5,0),0),"")</f>
        <v/>
      </c>
      <c r="M48" s="26" t="str">
        <f>IF(ISERROR(VLOOKUP($A48,Bestellungen!$6:$1048576,MATCH(Kasse!M$5,Bestellungen!$A$5:$X$5,0),0))=FALSE,SUMIF(Kalkulation!$A$6:$A$40,Kasse!M$5&amp;"*",Kalkulation!$C$6:$C$40)*VLOOKUP($A48,Bestellungen!$6:$1048576,MATCH(Kasse!M$5,Bestellungen!$A$5:$X$5,0),0),"")</f>
        <v/>
      </c>
      <c r="N48" s="26" t="str">
        <f>IF(ISERROR(VLOOKUP($A48,Bestellungen!$6:$1048576,MATCH(Kasse!N$5,Bestellungen!$A$5:$X$5,0),0))=FALSE,SUMIF(Kalkulation!$A$6:$A$40,Kasse!N$5&amp;"*",Kalkulation!$C$6:$C$40)*VLOOKUP($A48,Bestellungen!$6:$1048576,MATCH(Kasse!N$5,Bestellungen!$A$5:$X$5,0),0),"")</f>
        <v/>
      </c>
      <c r="O48" s="26" t="str">
        <f>IF(ISERROR(VLOOKUP($A48,Bestellungen!$6:$1048576,MATCH(Kasse!O$5,Bestellungen!$A$5:$X$5,0),0))=FALSE,SUMIF(Kalkulation!$A$6:$A$40,Kasse!O$5&amp;"*",Kalkulation!$C$6:$C$40)*VLOOKUP($A48,Bestellungen!$6:$1048576,MATCH(Kasse!O$5,Bestellungen!$A$5:$X$5,0),0),"")</f>
        <v/>
      </c>
      <c r="P48" s="26" t="str">
        <f>IF(ISERROR(VLOOKUP($A48,Bestellungen!$6:$1048576,MATCH(Kasse!P$5,Bestellungen!$A$5:$X$5,0),0))=FALSE,SUMIF(Kalkulation!$A$6:$A$40,Kasse!P$5&amp;"*",Kalkulation!$C$6:$C$40)*VLOOKUP($A48,Bestellungen!$6:$1048576,MATCH(Kasse!P$5,Bestellungen!$A$5:$X$5,0),0),"")</f>
        <v/>
      </c>
      <c r="Q48" s="26" t="str">
        <f>IF(ISERROR(VLOOKUP($A48,Bestellungen!$6:$1048576,MATCH(Kasse!Q$5,Bestellungen!$A$5:$X$5,0),0))=FALSE,SUMIF(Kalkulation!$A$6:$A$40,Kasse!Q$5&amp;"*",Kalkulation!$C$6:$C$40)*VLOOKUP($A48,Bestellungen!$6:$1048576,MATCH(Kasse!Q$5,Bestellungen!$A$5:$X$5,0),0),"")</f>
        <v/>
      </c>
      <c r="R48" s="26" t="str">
        <f>IF(ISERROR(VLOOKUP($A48,Bestellungen!$6:$1048576,MATCH(Kasse!R$5,Bestellungen!$A$5:$X$5,0),0))=FALSE,SUMIF(Kalkulation!$A$6:$A$40,Kasse!R$5&amp;"*",Kalkulation!$C$6:$C$40)*VLOOKUP($A48,Bestellungen!$6:$1048576,MATCH(Kasse!R$5,Bestellungen!$A$5:$X$5,0),0),"")</f>
        <v/>
      </c>
      <c r="S48" s="26" t="str">
        <f>IF(ISERROR(VLOOKUP($A48,Bestellungen!$6:$1048576,MATCH(Kasse!S$5,Bestellungen!$A$5:$X$5,0),0))=FALSE,SUMIF(Kalkulation!$A$6:$A$40,Kasse!S$5&amp;"*",Kalkulation!$C$6:$C$40)*VLOOKUP($A48,Bestellungen!$6:$1048576,MATCH(Kasse!S$5,Bestellungen!$A$5:$X$5,0),0),"")</f>
        <v/>
      </c>
      <c r="T48" s="26" t="str">
        <f>IF(ISERROR(VLOOKUP($A48,Bestellungen!$6:$1048576,MATCH(Kasse!T$5,Bestellungen!$A$5:$X$5,0),0))=FALSE,SUMIF(Kalkulation!$A$6:$A$40,Kasse!T$5&amp;"*",Kalkulation!$C$6:$C$40)*VLOOKUP($A48,Bestellungen!$6:$1048576,MATCH(Kasse!T$5,Bestellungen!$A$5:$X$5,0),0),"")</f>
        <v/>
      </c>
      <c r="U48" s="26" t="str">
        <f t="shared" si="0"/>
        <v/>
      </c>
      <c r="W48" s="26" t="str">
        <f t="shared" si="1"/>
        <v/>
      </c>
      <c r="X48" s="26"/>
      <c r="Y48" s="26"/>
      <c r="Z48" s="26"/>
      <c r="AA48" s="26"/>
    </row>
    <row r="49" spans="1:27" x14ac:dyDescent="0.25">
      <c r="A49" t="str">
        <f>IF(LEN(Bestellungen!$A49)&gt;0,Bestellungen!$A49,"")</f>
        <v/>
      </c>
      <c r="B49" s="26" t="str">
        <f>IF(ISERROR(VLOOKUP($A49,Bestellungen!$6:$1048576,MATCH(Kasse!B$5,Bestellungen!$A$5:$X$5,0),0))=FALSE,SUMIF(Kalkulation!$A$6:$A$40,Kasse!B$5&amp;"*",Kalkulation!$C$6:$C$40)*VLOOKUP($A49,Bestellungen!$6:$1048576,MATCH(Kasse!B$5,Bestellungen!$A$5:$X$5,0),0),"")</f>
        <v/>
      </c>
      <c r="C49" s="26" t="str">
        <f>IF(ISERROR(VLOOKUP($A49,Bestellungen!$6:$1048576,MATCH(Kasse!C$5,Bestellungen!$A$5:$X$5,0),0))=FALSE,SUMIF(Kalkulation!$A$6:$A$40,Kasse!C$5&amp;"*",Kalkulation!$C$6:$C$40)*VLOOKUP($A49,Bestellungen!$6:$1048576,MATCH(Kasse!C$5,Bestellungen!$A$5:$X$5,0),0),"")</f>
        <v/>
      </c>
      <c r="D49" s="26" t="str">
        <f>IF(ISERROR(VLOOKUP($A49,Bestellungen!$6:$1048576,MATCH(Kasse!D$5,Bestellungen!$A$5:$X$5,0),0))=FALSE,SUMIF(Kalkulation!$A$6:$A$40,Kasse!D$5&amp;"*",Kalkulation!$C$6:$C$40)*VLOOKUP($A49,Bestellungen!$6:$1048576,MATCH(Kasse!D$5,Bestellungen!$A$5:$X$5,0),0),"")</f>
        <v/>
      </c>
      <c r="E49" s="26" t="str">
        <f>IF(ISERROR(VLOOKUP($A49,Bestellungen!$6:$1048576,MATCH(Kasse!E$5,Bestellungen!$A$5:$X$5,0),0))=FALSE,SUMIF(Kalkulation!$A$6:$A$40,Kasse!E$5&amp;"*",Kalkulation!$C$6:$C$40)*VLOOKUP($A49,Bestellungen!$6:$1048576,MATCH(Kasse!E$5,Bestellungen!$A$5:$X$5,0),0),"")</f>
        <v/>
      </c>
      <c r="F49" s="26" t="str">
        <f>IF(ISERROR(VLOOKUP($A49,Bestellungen!$6:$1048576,MATCH(Kasse!F$5,Bestellungen!$A$5:$X$5,0),0))=FALSE,SUMIF(Kalkulation!$A$6:$A$40,Kasse!F$5&amp;"*",Kalkulation!$C$6:$C$40)*VLOOKUP($A49,Bestellungen!$6:$1048576,MATCH(Kasse!F$5,Bestellungen!$A$5:$X$5,0),0),"")</f>
        <v/>
      </c>
      <c r="G49" s="26" t="str">
        <f>IF(ISERROR(VLOOKUP($A49,Bestellungen!$6:$1048576,MATCH(Kasse!G$5,Bestellungen!$A$5:$X$5,0),0))=FALSE,SUMIF(Kalkulation!$A$6:$A$40,Kasse!G$5&amp;"*",Kalkulation!$C$6:$C$40)*VLOOKUP($A49,Bestellungen!$6:$1048576,MATCH(Kasse!G$5,Bestellungen!$A$5:$X$5,0),0),"")</f>
        <v/>
      </c>
      <c r="H49" s="26" t="str">
        <f>IF(ISERROR(VLOOKUP($A49,Bestellungen!$6:$1048576,MATCH(Kasse!H$5,Bestellungen!$A$5:$X$5,0),0))=FALSE,SUMIF(Kalkulation!$A$6:$A$40,Kasse!H$5&amp;"*",Kalkulation!$C$6:$C$40)*VLOOKUP($A49,Bestellungen!$6:$1048576,MATCH(Kasse!H$5,Bestellungen!$A$5:$X$5,0),0),"")</f>
        <v/>
      </c>
      <c r="I49" s="26" t="str">
        <f>IF(ISERROR(VLOOKUP($A49,Bestellungen!$6:$1048576,MATCH(Kasse!I$5,Bestellungen!$A$5:$X$5,0),0))=FALSE,SUMIF(Kalkulation!$A$6:$A$40,Kasse!I$5&amp;"*",Kalkulation!$C$6:$C$40)*VLOOKUP($A49,Bestellungen!$6:$1048576,MATCH(Kasse!I$5,Bestellungen!$A$5:$X$5,0),0),"")</f>
        <v/>
      </c>
      <c r="J49" s="26" t="str">
        <f>IF(ISERROR(VLOOKUP($A49,Bestellungen!$6:$1048576,MATCH(Kasse!J$5,Bestellungen!$A$5:$X$5,0),0))=FALSE,SUMIF(Kalkulation!$A$6:$A$40,Kasse!J$5&amp;"*",Kalkulation!$C$6:$C$40)*VLOOKUP($A49,Bestellungen!$6:$1048576,MATCH(Kasse!J$5,Bestellungen!$A$5:$X$5,0),0),"")</f>
        <v/>
      </c>
      <c r="K49" s="26" t="str">
        <f>IF(ISERROR(VLOOKUP($A49,Bestellungen!$6:$1048576,MATCH(Kasse!K$5,Bestellungen!$A$5:$X$5,0),0))=FALSE,SUMIF(Kalkulation!$A$6:$A$40,Kasse!K$5&amp;"*",Kalkulation!$C$6:$C$40)*VLOOKUP($A49,Bestellungen!$6:$1048576,MATCH(Kasse!K$5,Bestellungen!$A$5:$X$5,0),0),"")</f>
        <v/>
      </c>
      <c r="L49" s="26" t="str">
        <f>IF(ISERROR(VLOOKUP($A49,Bestellungen!$6:$1048576,MATCH(Kasse!L$5,Bestellungen!$A$5:$X$5,0),0))=FALSE,SUMIF(Kalkulation!$A$6:$A$40,Kasse!L$5&amp;"*",Kalkulation!$C$6:$C$40)*VLOOKUP($A49,Bestellungen!$6:$1048576,MATCH(Kasse!L$5,Bestellungen!$A$5:$X$5,0),0),"")</f>
        <v/>
      </c>
      <c r="M49" s="26" t="str">
        <f>IF(ISERROR(VLOOKUP($A49,Bestellungen!$6:$1048576,MATCH(Kasse!M$5,Bestellungen!$A$5:$X$5,0),0))=FALSE,SUMIF(Kalkulation!$A$6:$A$40,Kasse!M$5&amp;"*",Kalkulation!$C$6:$C$40)*VLOOKUP($A49,Bestellungen!$6:$1048576,MATCH(Kasse!M$5,Bestellungen!$A$5:$X$5,0),0),"")</f>
        <v/>
      </c>
      <c r="N49" s="26" t="str">
        <f>IF(ISERROR(VLOOKUP($A49,Bestellungen!$6:$1048576,MATCH(Kasse!N$5,Bestellungen!$A$5:$X$5,0),0))=FALSE,SUMIF(Kalkulation!$A$6:$A$40,Kasse!N$5&amp;"*",Kalkulation!$C$6:$C$40)*VLOOKUP($A49,Bestellungen!$6:$1048576,MATCH(Kasse!N$5,Bestellungen!$A$5:$X$5,0),0),"")</f>
        <v/>
      </c>
      <c r="O49" s="26" t="str">
        <f>IF(ISERROR(VLOOKUP($A49,Bestellungen!$6:$1048576,MATCH(Kasse!O$5,Bestellungen!$A$5:$X$5,0),0))=FALSE,SUMIF(Kalkulation!$A$6:$A$40,Kasse!O$5&amp;"*",Kalkulation!$C$6:$C$40)*VLOOKUP($A49,Bestellungen!$6:$1048576,MATCH(Kasse!O$5,Bestellungen!$A$5:$X$5,0),0),"")</f>
        <v/>
      </c>
      <c r="P49" s="26" t="str">
        <f>IF(ISERROR(VLOOKUP($A49,Bestellungen!$6:$1048576,MATCH(Kasse!P$5,Bestellungen!$A$5:$X$5,0),0))=FALSE,SUMIF(Kalkulation!$A$6:$A$40,Kasse!P$5&amp;"*",Kalkulation!$C$6:$C$40)*VLOOKUP($A49,Bestellungen!$6:$1048576,MATCH(Kasse!P$5,Bestellungen!$A$5:$X$5,0),0),"")</f>
        <v/>
      </c>
      <c r="Q49" s="26" t="str">
        <f>IF(ISERROR(VLOOKUP($A49,Bestellungen!$6:$1048576,MATCH(Kasse!Q$5,Bestellungen!$A$5:$X$5,0),0))=FALSE,SUMIF(Kalkulation!$A$6:$A$40,Kasse!Q$5&amp;"*",Kalkulation!$C$6:$C$40)*VLOOKUP($A49,Bestellungen!$6:$1048576,MATCH(Kasse!Q$5,Bestellungen!$A$5:$X$5,0),0),"")</f>
        <v/>
      </c>
      <c r="R49" s="26" t="str">
        <f>IF(ISERROR(VLOOKUP($A49,Bestellungen!$6:$1048576,MATCH(Kasse!R$5,Bestellungen!$A$5:$X$5,0),0))=FALSE,SUMIF(Kalkulation!$A$6:$A$40,Kasse!R$5&amp;"*",Kalkulation!$C$6:$C$40)*VLOOKUP($A49,Bestellungen!$6:$1048576,MATCH(Kasse!R$5,Bestellungen!$A$5:$X$5,0),0),"")</f>
        <v/>
      </c>
      <c r="S49" s="26" t="str">
        <f>IF(ISERROR(VLOOKUP($A49,Bestellungen!$6:$1048576,MATCH(Kasse!S$5,Bestellungen!$A$5:$X$5,0),0))=FALSE,SUMIF(Kalkulation!$A$6:$A$40,Kasse!S$5&amp;"*",Kalkulation!$C$6:$C$40)*VLOOKUP($A49,Bestellungen!$6:$1048576,MATCH(Kasse!S$5,Bestellungen!$A$5:$X$5,0),0),"")</f>
        <v/>
      </c>
      <c r="T49" s="26" t="str">
        <f>IF(ISERROR(VLOOKUP($A49,Bestellungen!$6:$1048576,MATCH(Kasse!T$5,Bestellungen!$A$5:$X$5,0),0))=FALSE,SUMIF(Kalkulation!$A$6:$A$40,Kasse!T$5&amp;"*",Kalkulation!$C$6:$C$40)*VLOOKUP($A49,Bestellungen!$6:$1048576,MATCH(Kasse!T$5,Bestellungen!$A$5:$X$5,0),0),"")</f>
        <v/>
      </c>
      <c r="U49" s="26" t="str">
        <f t="shared" si="0"/>
        <v/>
      </c>
      <c r="W49" s="26" t="str">
        <f t="shared" si="1"/>
        <v/>
      </c>
      <c r="X49" s="26"/>
      <c r="Y49" s="26"/>
      <c r="Z49" s="26"/>
      <c r="AA49" s="26"/>
    </row>
    <row r="50" spans="1:27" x14ac:dyDescent="0.25">
      <c r="A50" t="str">
        <f>IF(LEN(Bestellungen!$A50)&gt;0,Bestellungen!$A50,"")</f>
        <v/>
      </c>
      <c r="B50" s="26" t="str">
        <f>IF(ISERROR(VLOOKUP($A50,Bestellungen!$6:$1048576,MATCH(Kasse!B$5,Bestellungen!$A$5:$X$5,0),0))=FALSE,SUMIF(Kalkulation!$A$6:$A$40,Kasse!B$5&amp;"*",Kalkulation!$C$6:$C$40)*VLOOKUP($A50,Bestellungen!$6:$1048576,MATCH(Kasse!B$5,Bestellungen!$A$5:$X$5,0),0),"")</f>
        <v/>
      </c>
      <c r="C50" s="26" t="str">
        <f>IF(ISERROR(VLOOKUP($A50,Bestellungen!$6:$1048576,MATCH(Kasse!C$5,Bestellungen!$A$5:$X$5,0),0))=FALSE,SUMIF(Kalkulation!$A$6:$A$40,Kasse!C$5&amp;"*",Kalkulation!$C$6:$C$40)*VLOOKUP($A50,Bestellungen!$6:$1048576,MATCH(Kasse!C$5,Bestellungen!$A$5:$X$5,0),0),"")</f>
        <v/>
      </c>
      <c r="D50" s="26" t="str">
        <f>IF(ISERROR(VLOOKUP($A50,Bestellungen!$6:$1048576,MATCH(Kasse!D$5,Bestellungen!$A$5:$X$5,0),0))=FALSE,SUMIF(Kalkulation!$A$6:$A$40,Kasse!D$5&amp;"*",Kalkulation!$C$6:$C$40)*VLOOKUP($A50,Bestellungen!$6:$1048576,MATCH(Kasse!D$5,Bestellungen!$A$5:$X$5,0),0),"")</f>
        <v/>
      </c>
      <c r="E50" s="26" t="str">
        <f>IF(ISERROR(VLOOKUP($A50,Bestellungen!$6:$1048576,MATCH(Kasse!E$5,Bestellungen!$A$5:$X$5,0),0))=FALSE,SUMIF(Kalkulation!$A$6:$A$40,Kasse!E$5&amp;"*",Kalkulation!$C$6:$C$40)*VLOOKUP($A50,Bestellungen!$6:$1048576,MATCH(Kasse!E$5,Bestellungen!$A$5:$X$5,0),0),"")</f>
        <v/>
      </c>
      <c r="F50" s="26" t="str">
        <f>IF(ISERROR(VLOOKUP($A50,Bestellungen!$6:$1048576,MATCH(Kasse!F$5,Bestellungen!$A$5:$X$5,0),0))=FALSE,SUMIF(Kalkulation!$A$6:$A$40,Kasse!F$5&amp;"*",Kalkulation!$C$6:$C$40)*VLOOKUP($A50,Bestellungen!$6:$1048576,MATCH(Kasse!F$5,Bestellungen!$A$5:$X$5,0),0),"")</f>
        <v/>
      </c>
      <c r="G50" s="26" t="str">
        <f>IF(ISERROR(VLOOKUP($A50,Bestellungen!$6:$1048576,MATCH(Kasse!G$5,Bestellungen!$A$5:$X$5,0),0))=FALSE,SUMIF(Kalkulation!$A$6:$A$40,Kasse!G$5&amp;"*",Kalkulation!$C$6:$C$40)*VLOOKUP($A50,Bestellungen!$6:$1048576,MATCH(Kasse!G$5,Bestellungen!$A$5:$X$5,0),0),"")</f>
        <v/>
      </c>
      <c r="H50" s="26" t="str">
        <f>IF(ISERROR(VLOOKUP($A50,Bestellungen!$6:$1048576,MATCH(Kasse!H$5,Bestellungen!$A$5:$X$5,0),0))=FALSE,SUMIF(Kalkulation!$A$6:$A$40,Kasse!H$5&amp;"*",Kalkulation!$C$6:$C$40)*VLOOKUP($A50,Bestellungen!$6:$1048576,MATCH(Kasse!H$5,Bestellungen!$A$5:$X$5,0),0),"")</f>
        <v/>
      </c>
      <c r="I50" s="26" t="str">
        <f>IF(ISERROR(VLOOKUP($A50,Bestellungen!$6:$1048576,MATCH(Kasse!I$5,Bestellungen!$A$5:$X$5,0),0))=FALSE,SUMIF(Kalkulation!$A$6:$A$40,Kasse!I$5&amp;"*",Kalkulation!$C$6:$C$40)*VLOOKUP($A50,Bestellungen!$6:$1048576,MATCH(Kasse!I$5,Bestellungen!$A$5:$X$5,0),0),"")</f>
        <v/>
      </c>
      <c r="J50" s="26" t="str">
        <f>IF(ISERROR(VLOOKUP($A50,Bestellungen!$6:$1048576,MATCH(Kasse!J$5,Bestellungen!$A$5:$X$5,0),0))=FALSE,SUMIF(Kalkulation!$A$6:$A$40,Kasse!J$5&amp;"*",Kalkulation!$C$6:$C$40)*VLOOKUP($A50,Bestellungen!$6:$1048576,MATCH(Kasse!J$5,Bestellungen!$A$5:$X$5,0),0),"")</f>
        <v/>
      </c>
      <c r="K50" s="26" t="str">
        <f>IF(ISERROR(VLOOKUP($A50,Bestellungen!$6:$1048576,MATCH(Kasse!K$5,Bestellungen!$A$5:$X$5,0),0))=FALSE,SUMIF(Kalkulation!$A$6:$A$40,Kasse!K$5&amp;"*",Kalkulation!$C$6:$C$40)*VLOOKUP($A50,Bestellungen!$6:$1048576,MATCH(Kasse!K$5,Bestellungen!$A$5:$X$5,0),0),"")</f>
        <v/>
      </c>
      <c r="L50" s="26" t="str">
        <f>IF(ISERROR(VLOOKUP($A50,Bestellungen!$6:$1048576,MATCH(Kasse!L$5,Bestellungen!$A$5:$X$5,0),0))=FALSE,SUMIF(Kalkulation!$A$6:$A$40,Kasse!L$5&amp;"*",Kalkulation!$C$6:$C$40)*VLOOKUP($A50,Bestellungen!$6:$1048576,MATCH(Kasse!L$5,Bestellungen!$A$5:$X$5,0),0),"")</f>
        <v/>
      </c>
      <c r="M50" s="26" t="str">
        <f>IF(ISERROR(VLOOKUP($A50,Bestellungen!$6:$1048576,MATCH(Kasse!M$5,Bestellungen!$A$5:$X$5,0),0))=FALSE,SUMIF(Kalkulation!$A$6:$A$40,Kasse!M$5&amp;"*",Kalkulation!$C$6:$C$40)*VLOOKUP($A50,Bestellungen!$6:$1048576,MATCH(Kasse!M$5,Bestellungen!$A$5:$X$5,0),0),"")</f>
        <v/>
      </c>
      <c r="N50" s="26" t="str">
        <f>IF(ISERROR(VLOOKUP($A50,Bestellungen!$6:$1048576,MATCH(Kasse!N$5,Bestellungen!$A$5:$X$5,0),0))=FALSE,SUMIF(Kalkulation!$A$6:$A$40,Kasse!N$5&amp;"*",Kalkulation!$C$6:$C$40)*VLOOKUP($A50,Bestellungen!$6:$1048576,MATCH(Kasse!N$5,Bestellungen!$A$5:$X$5,0),0),"")</f>
        <v/>
      </c>
      <c r="O50" s="26" t="str">
        <f>IF(ISERROR(VLOOKUP($A50,Bestellungen!$6:$1048576,MATCH(Kasse!O$5,Bestellungen!$A$5:$X$5,0),0))=FALSE,SUMIF(Kalkulation!$A$6:$A$40,Kasse!O$5&amp;"*",Kalkulation!$C$6:$C$40)*VLOOKUP($A50,Bestellungen!$6:$1048576,MATCH(Kasse!O$5,Bestellungen!$A$5:$X$5,0),0),"")</f>
        <v/>
      </c>
      <c r="P50" s="26" t="str">
        <f>IF(ISERROR(VLOOKUP($A50,Bestellungen!$6:$1048576,MATCH(Kasse!P$5,Bestellungen!$A$5:$X$5,0),0))=FALSE,SUMIF(Kalkulation!$A$6:$A$40,Kasse!P$5&amp;"*",Kalkulation!$C$6:$C$40)*VLOOKUP($A50,Bestellungen!$6:$1048576,MATCH(Kasse!P$5,Bestellungen!$A$5:$X$5,0),0),"")</f>
        <v/>
      </c>
      <c r="Q50" s="26" t="str">
        <f>IF(ISERROR(VLOOKUP($A50,Bestellungen!$6:$1048576,MATCH(Kasse!Q$5,Bestellungen!$A$5:$X$5,0),0))=FALSE,SUMIF(Kalkulation!$A$6:$A$40,Kasse!Q$5&amp;"*",Kalkulation!$C$6:$C$40)*VLOOKUP($A50,Bestellungen!$6:$1048576,MATCH(Kasse!Q$5,Bestellungen!$A$5:$X$5,0),0),"")</f>
        <v/>
      </c>
      <c r="R50" s="26" t="str">
        <f>IF(ISERROR(VLOOKUP($A50,Bestellungen!$6:$1048576,MATCH(Kasse!R$5,Bestellungen!$A$5:$X$5,0),0))=FALSE,SUMIF(Kalkulation!$A$6:$A$40,Kasse!R$5&amp;"*",Kalkulation!$C$6:$C$40)*VLOOKUP($A50,Bestellungen!$6:$1048576,MATCH(Kasse!R$5,Bestellungen!$A$5:$X$5,0),0),"")</f>
        <v/>
      </c>
      <c r="S50" s="26" t="str">
        <f>IF(ISERROR(VLOOKUP($A50,Bestellungen!$6:$1048576,MATCH(Kasse!S$5,Bestellungen!$A$5:$X$5,0),0))=FALSE,SUMIF(Kalkulation!$A$6:$A$40,Kasse!S$5&amp;"*",Kalkulation!$C$6:$C$40)*VLOOKUP($A50,Bestellungen!$6:$1048576,MATCH(Kasse!S$5,Bestellungen!$A$5:$X$5,0),0),"")</f>
        <v/>
      </c>
      <c r="T50" s="26" t="str">
        <f>IF(ISERROR(VLOOKUP($A50,Bestellungen!$6:$1048576,MATCH(Kasse!T$5,Bestellungen!$A$5:$X$5,0),0))=FALSE,SUMIF(Kalkulation!$A$6:$A$40,Kasse!T$5&amp;"*",Kalkulation!$C$6:$C$40)*VLOOKUP($A50,Bestellungen!$6:$1048576,MATCH(Kasse!T$5,Bestellungen!$A$5:$X$5,0),0),"")</f>
        <v/>
      </c>
      <c r="U50" s="26" t="str">
        <f t="shared" si="0"/>
        <v/>
      </c>
      <c r="W50" s="26" t="str">
        <f t="shared" si="1"/>
        <v/>
      </c>
      <c r="X50" s="26"/>
      <c r="Y50" s="26"/>
      <c r="Z50" s="26"/>
      <c r="AA50" s="26"/>
    </row>
    <row r="51" spans="1:27" x14ac:dyDescent="0.25">
      <c r="A51" t="str">
        <f>IF(LEN(Bestellungen!$A51)&gt;0,Bestellungen!$A51,"")</f>
        <v/>
      </c>
      <c r="B51" s="26" t="str">
        <f>IF(ISERROR(VLOOKUP($A51,Bestellungen!$6:$1048576,MATCH(Kasse!B$5,Bestellungen!$A$5:$X$5,0),0))=FALSE,SUMIF(Kalkulation!$A$6:$A$40,Kasse!B$5&amp;"*",Kalkulation!$C$6:$C$40)*VLOOKUP($A51,Bestellungen!$6:$1048576,MATCH(Kasse!B$5,Bestellungen!$A$5:$X$5,0),0),"")</f>
        <v/>
      </c>
      <c r="C51" s="26" t="str">
        <f>IF(ISERROR(VLOOKUP($A51,Bestellungen!$6:$1048576,MATCH(Kasse!C$5,Bestellungen!$A$5:$X$5,0),0))=FALSE,SUMIF(Kalkulation!$A$6:$A$40,Kasse!C$5&amp;"*",Kalkulation!$C$6:$C$40)*VLOOKUP($A51,Bestellungen!$6:$1048576,MATCH(Kasse!C$5,Bestellungen!$A$5:$X$5,0),0),"")</f>
        <v/>
      </c>
      <c r="D51" s="26" t="str">
        <f>IF(ISERROR(VLOOKUP($A51,Bestellungen!$6:$1048576,MATCH(Kasse!D$5,Bestellungen!$A$5:$X$5,0),0))=FALSE,SUMIF(Kalkulation!$A$6:$A$40,Kasse!D$5&amp;"*",Kalkulation!$C$6:$C$40)*VLOOKUP($A51,Bestellungen!$6:$1048576,MATCH(Kasse!D$5,Bestellungen!$A$5:$X$5,0),0),"")</f>
        <v/>
      </c>
      <c r="E51" s="26" t="str">
        <f>IF(ISERROR(VLOOKUP($A51,Bestellungen!$6:$1048576,MATCH(Kasse!E$5,Bestellungen!$A$5:$X$5,0),0))=FALSE,SUMIF(Kalkulation!$A$6:$A$40,Kasse!E$5&amp;"*",Kalkulation!$C$6:$C$40)*VLOOKUP($A51,Bestellungen!$6:$1048576,MATCH(Kasse!E$5,Bestellungen!$A$5:$X$5,0),0),"")</f>
        <v/>
      </c>
      <c r="F51" s="26" t="str">
        <f>IF(ISERROR(VLOOKUP($A51,Bestellungen!$6:$1048576,MATCH(Kasse!F$5,Bestellungen!$A$5:$X$5,0),0))=FALSE,SUMIF(Kalkulation!$A$6:$A$40,Kasse!F$5&amp;"*",Kalkulation!$C$6:$C$40)*VLOOKUP($A51,Bestellungen!$6:$1048576,MATCH(Kasse!F$5,Bestellungen!$A$5:$X$5,0),0),"")</f>
        <v/>
      </c>
      <c r="G51" s="26" t="str">
        <f>IF(ISERROR(VLOOKUP($A51,Bestellungen!$6:$1048576,MATCH(Kasse!G$5,Bestellungen!$A$5:$X$5,0),0))=FALSE,SUMIF(Kalkulation!$A$6:$A$40,Kasse!G$5&amp;"*",Kalkulation!$C$6:$C$40)*VLOOKUP($A51,Bestellungen!$6:$1048576,MATCH(Kasse!G$5,Bestellungen!$A$5:$X$5,0),0),"")</f>
        <v/>
      </c>
      <c r="H51" s="26" t="str">
        <f>IF(ISERROR(VLOOKUP($A51,Bestellungen!$6:$1048576,MATCH(Kasse!H$5,Bestellungen!$A$5:$X$5,0),0))=FALSE,SUMIF(Kalkulation!$A$6:$A$40,Kasse!H$5&amp;"*",Kalkulation!$C$6:$C$40)*VLOOKUP($A51,Bestellungen!$6:$1048576,MATCH(Kasse!H$5,Bestellungen!$A$5:$X$5,0),0),"")</f>
        <v/>
      </c>
      <c r="I51" s="26" t="str">
        <f>IF(ISERROR(VLOOKUP($A51,Bestellungen!$6:$1048576,MATCH(Kasse!I$5,Bestellungen!$A$5:$X$5,0),0))=FALSE,SUMIF(Kalkulation!$A$6:$A$40,Kasse!I$5&amp;"*",Kalkulation!$C$6:$C$40)*VLOOKUP($A51,Bestellungen!$6:$1048576,MATCH(Kasse!I$5,Bestellungen!$A$5:$X$5,0),0),"")</f>
        <v/>
      </c>
      <c r="J51" s="26" t="str">
        <f>IF(ISERROR(VLOOKUP($A51,Bestellungen!$6:$1048576,MATCH(Kasse!J$5,Bestellungen!$A$5:$X$5,0),0))=FALSE,SUMIF(Kalkulation!$A$6:$A$40,Kasse!J$5&amp;"*",Kalkulation!$C$6:$C$40)*VLOOKUP($A51,Bestellungen!$6:$1048576,MATCH(Kasse!J$5,Bestellungen!$A$5:$X$5,0),0),"")</f>
        <v/>
      </c>
      <c r="K51" s="26" t="str">
        <f>IF(ISERROR(VLOOKUP($A51,Bestellungen!$6:$1048576,MATCH(Kasse!K$5,Bestellungen!$A$5:$X$5,0),0))=FALSE,SUMIF(Kalkulation!$A$6:$A$40,Kasse!K$5&amp;"*",Kalkulation!$C$6:$C$40)*VLOOKUP($A51,Bestellungen!$6:$1048576,MATCH(Kasse!K$5,Bestellungen!$A$5:$X$5,0),0),"")</f>
        <v/>
      </c>
      <c r="L51" s="26" t="str">
        <f>IF(ISERROR(VLOOKUP($A51,Bestellungen!$6:$1048576,MATCH(Kasse!L$5,Bestellungen!$A$5:$X$5,0),0))=FALSE,SUMIF(Kalkulation!$A$6:$A$40,Kasse!L$5&amp;"*",Kalkulation!$C$6:$C$40)*VLOOKUP($A51,Bestellungen!$6:$1048576,MATCH(Kasse!L$5,Bestellungen!$A$5:$X$5,0),0),"")</f>
        <v/>
      </c>
      <c r="M51" s="26" t="str">
        <f>IF(ISERROR(VLOOKUP($A51,Bestellungen!$6:$1048576,MATCH(Kasse!M$5,Bestellungen!$A$5:$X$5,0),0))=FALSE,SUMIF(Kalkulation!$A$6:$A$40,Kasse!M$5&amp;"*",Kalkulation!$C$6:$C$40)*VLOOKUP($A51,Bestellungen!$6:$1048576,MATCH(Kasse!M$5,Bestellungen!$A$5:$X$5,0),0),"")</f>
        <v/>
      </c>
      <c r="N51" s="26" t="str">
        <f>IF(ISERROR(VLOOKUP($A51,Bestellungen!$6:$1048576,MATCH(Kasse!N$5,Bestellungen!$A$5:$X$5,0),0))=FALSE,SUMIF(Kalkulation!$A$6:$A$40,Kasse!N$5&amp;"*",Kalkulation!$C$6:$C$40)*VLOOKUP($A51,Bestellungen!$6:$1048576,MATCH(Kasse!N$5,Bestellungen!$A$5:$X$5,0),0),"")</f>
        <v/>
      </c>
      <c r="O51" s="26" t="str">
        <f>IF(ISERROR(VLOOKUP($A51,Bestellungen!$6:$1048576,MATCH(Kasse!O$5,Bestellungen!$A$5:$X$5,0),0))=FALSE,SUMIF(Kalkulation!$A$6:$A$40,Kasse!O$5&amp;"*",Kalkulation!$C$6:$C$40)*VLOOKUP($A51,Bestellungen!$6:$1048576,MATCH(Kasse!O$5,Bestellungen!$A$5:$X$5,0),0),"")</f>
        <v/>
      </c>
      <c r="P51" s="26" t="str">
        <f>IF(ISERROR(VLOOKUP($A51,Bestellungen!$6:$1048576,MATCH(Kasse!P$5,Bestellungen!$A$5:$X$5,0),0))=FALSE,SUMIF(Kalkulation!$A$6:$A$40,Kasse!P$5&amp;"*",Kalkulation!$C$6:$C$40)*VLOOKUP($A51,Bestellungen!$6:$1048576,MATCH(Kasse!P$5,Bestellungen!$A$5:$X$5,0),0),"")</f>
        <v/>
      </c>
      <c r="Q51" s="26" t="str">
        <f>IF(ISERROR(VLOOKUP($A51,Bestellungen!$6:$1048576,MATCH(Kasse!Q$5,Bestellungen!$A$5:$X$5,0),0))=FALSE,SUMIF(Kalkulation!$A$6:$A$40,Kasse!Q$5&amp;"*",Kalkulation!$C$6:$C$40)*VLOOKUP($A51,Bestellungen!$6:$1048576,MATCH(Kasse!Q$5,Bestellungen!$A$5:$X$5,0),0),"")</f>
        <v/>
      </c>
      <c r="R51" s="26" t="str">
        <f>IF(ISERROR(VLOOKUP($A51,Bestellungen!$6:$1048576,MATCH(Kasse!R$5,Bestellungen!$A$5:$X$5,0),0))=FALSE,SUMIF(Kalkulation!$A$6:$A$40,Kasse!R$5&amp;"*",Kalkulation!$C$6:$C$40)*VLOOKUP($A51,Bestellungen!$6:$1048576,MATCH(Kasse!R$5,Bestellungen!$A$5:$X$5,0),0),"")</f>
        <v/>
      </c>
      <c r="S51" s="26" t="str">
        <f>IF(ISERROR(VLOOKUP($A51,Bestellungen!$6:$1048576,MATCH(Kasse!S$5,Bestellungen!$A$5:$X$5,0),0))=FALSE,SUMIF(Kalkulation!$A$6:$A$40,Kasse!S$5&amp;"*",Kalkulation!$C$6:$C$40)*VLOOKUP($A51,Bestellungen!$6:$1048576,MATCH(Kasse!S$5,Bestellungen!$A$5:$X$5,0),0),"")</f>
        <v/>
      </c>
      <c r="T51" s="26" t="str">
        <f>IF(ISERROR(VLOOKUP($A51,Bestellungen!$6:$1048576,MATCH(Kasse!T$5,Bestellungen!$A$5:$X$5,0),0))=FALSE,SUMIF(Kalkulation!$A$6:$A$40,Kasse!T$5&amp;"*",Kalkulation!$C$6:$C$40)*VLOOKUP($A51,Bestellungen!$6:$1048576,MATCH(Kasse!T$5,Bestellungen!$A$5:$X$5,0),0),"")</f>
        <v/>
      </c>
      <c r="U51" s="26" t="str">
        <f t="shared" si="0"/>
        <v/>
      </c>
      <c r="W51" s="26" t="str">
        <f t="shared" si="1"/>
        <v/>
      </c>
      <c r="X51" s="26"/>
      <c r="Y51" s="26"/>
      <c r="Z51" s="26"/>
      <c r="AA51" s="26"/>
    </row>
    <row r="52" spans="1:27" x14ac:dyDescent="0.25">
      <c r="A52" t="str">
        <f>IF(LEN(Bestellungen!$A52)&gt;0,Bestellungen!$A52,"")</f>
        <v/>
      </c>
      <c r="B52" s="26" t="str">
        <f>IF(ISERROR(VLOOKUP($A52,Bestellungen!$6:$1048576,MATCH(Kasse!B$5,Bestellungen!$A$5:$X$5,0),0))=FALSE,SUMIF(Kalkulation!$A$6:$A$40,Kasse!B$5&amp;"*",Kalkulation!$C$6:$C$40)*VLOOKUP($A52,Bestellungen!$6:$1048576,MATCH(Kasse!B$5,Bestellungen!$A$5:$X$5,0),0),"")</f>
        <v/>
      </c>
      <c r="C52" s="26" t="str">
        <f>IF(ISERROR(VLOOKUP($A52,Bestellungen!$6:$1048576,MATCH(Kasse!C$5,Bestellungen!$A$5:$X$5,0),0))=FALSE,SUMIF(Kalkulation!$A$6:$A$40,Kasse!C$5&amp;"*",Kalkulation!$C$6:$C$40)*VLOOKUP($A52,Bestellungen!$6:$1048576,MATCH(Kasse!C$5,Bestellungen!$A$5:$X$5,0),0),"")</f>
        <v/>
      </c>
      <c r="D52" s="26" t="str">
        <f>IF(ISERROR(VLOOKUP($A52,Bestellungen!$6:$1048576,MATCH(Kasse!D$5,Bestellungen!$A$5:$X$5,0),0))=FALSE,SUMIF(Kalkulation!$A$6:$A$40,Kasse!D$5&amp;"*",Kalkulation!$C$6:$C$40)*VLOOKUP($A52,Bestellungen!$6:$1048576,MATCH(Kasse!D$5,Bestellungen!$A$5:$X$5,0),0),"")</f>
        <v/>
      </c>
      <c r="E52" s="26" t="str">
        <f>IF(ISERROR(VLOOKUP($A52,Bestellungen!$6:$1048576,MATCH(Kasse!E$5,Bestellungen!$A$5:$X$5,0),0))=FALSE,SUMIF(Kalkulation!$A$6:$A$40,Kasse!E$5&amp;"*",Kalkulation!$C$6:$C$40)*VLOOKUP($A52,Bestellungen!$6:$1048576,MATCH(Kasse!E$5,Bestellungen!$A$5:$X$5,0),0),"")</f>
        <v/>
      </c>
      <c r="F52" s="26" t="str">
        <f>IF(ISERROR(VLOOKUP($A52,Bestellungen!$6:$1048576,MATCH(Kasse!F$5,Bestellungen!$A$5:$X$5,0),0))=FALSE,SUMIF(Kalkulation!$A$6:$A$40,Kasse!F$5&amp;"*",Kalkulation!$C$6:$C$40)*VLOOKUP($A52,Bestellungen!$6:$1048576,MATCH(Kasse!F$5,Bestellungen!$A$5:$X$5,0),0),"")</f>
        <v/>
      </c>
      <c r="G52" s="26" t="str">
        <f>IF(ISERROR(VLOOKUP($A52,Bestellungen!$6:$1048576,MATCH(Kasse!G$5,Bestellungen!$A$5:$X$5,0),0))=FALSE,SUMIF(Kalkulation!$A$6:$A$40,Kasse!G$5&amp;"*",Kalkulation!$C$6:$C$40)*VLOOKUP($A52,Bestellungen!$6:$1048576,MATCH(Kasse!G$5,Bestellungen!$A$5:$X$5,0),0),"")</f>
        <v/>
      </c>
      <c r="H52" s="26" t="str">
        <f>IF(ISERROR(VLOOKUP($A52,Bestellungen!$6:$1048576,MATCH(Kasse!H$5,Bestellungen!$A$5:$X$5,0),0))=FALSE,SUMIF(Kalkulation!$A$6:$A$40,Kasse!H$5&amp;"*",Kalkulation!$C$6:$C$40)*VLOOKUP($A52,Bestellungen!$6:$1048576,MATCH(Kasse!H$5,Bestellungen!$A$5:$X$5,0),0),"")</f>
        <v/>
      </c>
      <c r="I52" s="26" t="str">
        <f>IF(ISERROR(VLOOKUP($A52,Bestellungen!$6:$1048576,MATCH(Kasse!I$5,Bestellungen!$A$5:$X$5,0),0))=FALSE,SUMIF(Kalkulation!$A$6:$A$40,Kasse!I$5&amp;"*",Kalkulation!$C$6:$C$40)*VLOOKUP($A52,Bestellungen!$6:$1048576,MATCH(Kasse!I$5,Bestellungen!$A$5:$X$5,0),0),"")</f>
        <v/>
      </c>
      <c r="J52" s="26" t="str">
        <f>IF(ISERROR(VLOOKUP($A52,Bestellungen!$6:$1048576,MATCH(Kasse!J$5,Bestellungen!$A$5:$X$5,0),0))=FALSE,SUMIF(Kalkulation!$A$6:$A$40,Kasse!J$5&amp;"*",Kalkulation!$C$6:$C$40)*VLOOKUP($A52,Bestellungen!$6:$1048576,MATCH(Kasse!J$5,Bestellungen!$A$5:$X$5,0),0),"")</f>
        <v/>
      </c>
      <c r="K52" s="26" t="str">
        <f>IF(ISERROR(VLOOKUP($A52,Bestellungen!$6:$1048576,MATCH(Kasse!K$5,Bestellungen!$A$5:$X$5,0),0))=FALSE,SUMIF(Kalkulation!$A$6:$A$40,Kasse!K$5&amp;"*",Kalkulation!$C$6:$C$40)*VLOOKUP($A52,Bestellungen!$6:$1048576,MATCH(Kasse!K$5,Bestellungen!$A$5:$X$5,0),0),"")</f>
        <v/>
      </c>
      <c r="L52" s="26" t="str">
        <f>IF(ISERROR(VLOOKUP($A52,Bestellungen!$6:$1048576,MATCH(Kasse!L$5,Bestellungen!$A$5:$X$5,0),0))=FALSE,SUMIF(Kalkulation!$A$6:$A$40,Kasse!L$5&amp;"*",Kalkulation!$C$6:$C$40)*VLOOKUP($A52,Bestellungen!$6:$1048576,MATCH(Kasse!L$5,Bestellungen!$A$5:$X$5,0),0),"")</f>
        <v/>
      </c>
      <c r="M52" s="26" t="str">
        <f>IF(ISERROR(VLOOKUP($A52,Bestellungen!$6:$1048576,MATCH(Kasse!M$5,Bestellungen!$A$5:$X$5,0),0))=FALSE,SUMIF(Kalkulation!$A$6:$A$40,Kasse!M$5&amp;"*",Kalkulation!$C$6:$C$40)*VLOOKUP($A52,Bestellungen!$6:$1048576,MATCH(Kasse!M$5,Bestellungen!$A$5:$X$5,0),0),"")</f>
        <v/>
      </c>
      <c r="N52" s="26" t="str">
        <f>IF(ISERROR(VLOOKUP($A52,Bestellungen!$6:$1048576,MATCH(Kasse!N$5,Bestellungen!$A$5:$X$5,0),0))=FALSE,SUMIF(Kalkulation!$A$6:$A$40,Kasse!N$5&amp;"*",Kalkulation!$C$6:$C$40)*VLOOKUP($A52,Bestellungen!$6:$1048576,MATCH(Kasse!N$5,Bestellungen!$A$5:$X$5,0),0),"")</f>
        <v/>
      </c>
      <c r="O52" s="26" t="str">
        <f>IF(ISERROR(VLOOKUP($A52,Bestellungen!$6:$1048576,MATCH(Kasse!O$5,Bestellungen!$A$5:$X$5,0),0))=FALSE,SUMIF(Kalkulation!$A$6:$A$40,Kasse!O$5&amp;"*",Kalkulation!$C$6:$C$40)*VLOOKUP($A52,Bestellungen!$6:$1048576,MATCH(Kasse!O$5,Bestellungen!$A$5:$X$5,0),0),"")</f>
        <v/>
      </c>
      <c r="P52" s="26" t="str">
        <f>IF(ISERROR(VLOOKUP($A52,Bestellungen!$6:$1048576,MATCH(Kasse!P$5,Bestellungen!$A$5:$X$5,0),0))=FALSE,SUMIF(Kalkulation!$A$6:$A$40,Kasse!P$5&amp;"*",Kalkulation!$C$6:$C$40)*VLOOKUP($A52,Bestellungen!$6:$1048576,MATCH(Kasse!P$5,Bestellungen!$A$5:$X$5,0),0),"")</f>
        <v/>
      </c>
      <c r="Q52" s="26" t="str">
        <f>IF(ISERROR(VLOOKUP($A52,Bestellungen!$6:$1048576,MATCH(Kasse!Q$5,Bestellungen!$A$5:$X$5,0),0))=FALSE,SUMIF(Kalkulation!$A$6:$A$40,Kasse!Q$5&amp;"*",Kalkulation!$C$6:$C$40)*VLOOKUP($A52,Bestellungen!$6:$1048576,MATCH(Kasse!Q$5,Bestellungen!$A$5:$X$5,0),0),"")</f>
        <v/>
      </c>
      <c r="R52" s="26" t="str">
        <f>IF(ISERROR(VLOOKUP($A52,Bestellungen!$6:$1048576,MATCH(Kasse!R$5,Bestellungen!$A$5:$X$5,0),0))=FALSE,SUMIF(Kalkulation!$A$6:$A$40,Kasse!R$5&amp;"*",Kalkulation!$C$6:$C$40)*VLOOKUP($A52,Bestellungen!$6:$1048576,MATCH(Kasse!R$5,Bestellungen!$A$5:$X$5,0),0),"")</f>
        <v/>
      </c>
      <c r="S52" s="26" t="str">
        <f>IF(ISERROR(VLOOKUP($A52,Bestellungen!$6:$1048576,MATCH(Kasse!S$5,Bestellungen!$A$5:$X$5,0),0))=FALSE,SUMIF(Kalkulation!$A$6:$A$40,Kasse!S$5&amp;"*",Kalkulation!$C$6:$C$40)*VLOOKUP($A52,Bestellungen!$6:$1048576,MATCH(Kasse!S$5,Bestellungen!$A$5:$X$5,0),0),"")</f>
        <v/>
      </c>
      <c r="T52" s="26" t="str">
        <f>IF(ISERROR(VLOOKUP($A52,Bestellungen!$6:$1048576,MATCH(Kasse!T$5,Bestellungen!$A$5:$X$5,0),0))=FALSE,SUMIF(Kalkulation!$A$6:$A$40,Kasse!T$5&amp;"*",Kalkulation!$C$6:$C$40)*VLOOKUP($A52,Bestellungen!$6:$1048576,MATCH(Kasse!T$5,Bestellungen!$A$5:$X$5,0),0),"")</f>
        <v/>
      </c>
      <c r="U52" s="26" t="str">
        <f t="shared" si="0"/>
        <v/>
      </c>
      <c r="W52" s="26" t="str">
        <f t="shared" si="1"/>
        <v/>
      </c>
      <c r="X52" s="26"/>
      <c r="Y52" s="26"/>
      <c r="Z52" s="26"/>
      <c r="AA52" s="26"/>
    </row>
    <row r="53" spans="1:27" x14ac:dyDescent="0.25">
      <c r="A53" t="str">
        <f>IF(LEN(Bestellungen!$A53)&gt;0,Bestellungen!$A53,"")</f>
        <v/>
      </c>
      <c r="B53" s="26" t="str">
        <f>IF(ISERROR(VLOOKUP($A53,Bestellungen!$6:$1048576,MATCH(Kasse!B$5,Bestellungen!$A$5:$X$5,0),0))=FALSE,SUMIF(Kalkulation!$A$6:$A$40,Kasse!B$5&amp;"*",Kalkulation!$C$6:$C$40)*VLOOKUP($A53,Bestellungen!$6:$1048576,MATCH(Kasse!B$5,Bestellungen!$A$5:$X$5,0),0),"")</f>
        <v/>
      </c>
      <c r="C53" s="26" t="str">
        <f>IF(ISERROR(VLOOKUP($A53,Bestellungen!$6:$1048576,MATCH(Kasse!C$5,Bestellungen!$A$5:$X$5,0),0))=FALSE,SUMIF(Kalkulation!$A$6:$A$40,Kasse!C$5&amp;"*",Kalkulation!$C$6:$C$40)*VLOOKUP($A53,Bestellungen!$6:$1048576,MATCH(Kasse!C$5,Bestellungen!$A$5:$X$5,0),0),"")</f>
        <v/>
      </c>
      <c r="D53" s="26" t="str">
        <f>IF(ISERROR(VLOOKUP($A53,Bestellungen!$6:$1048576,MATCH(Kasse!D$5,Bestellungen!$A$5:$X$5,0),0))=FALSE,SUMIF(Kalkulation!$A$6:$A$40,Kasse!D$5&amp;"*",Kalkulation!$C$6:$C$40)*VLOOKUP($A53,Bestellungen!$6:$1048576,MATCH(Kasse!D$5,Bestellungen!$A$5:$X$5,0),0),"")</f>
        <v/>
      </c>
      <c r="E53" s="26" t="str">
        <f>IF(ISERROR(VLOOKUP($A53,Bestellungen!$6:$1048576,MATCH(Kasse!E$5,Bestellungen!$A$5:$X$5,0),0))=FALSE,SUMIF(Kalkulation!$A$6:$A$40,Kasse!E$5&amp;"*",Kalkulation!$C$6:$C$40)*VLOOKUP($A53,Bestellungen!$6:$1048576,MATCH(Kasse!E$5,Bestellungen!$A$5:$X$5,0),0),"")</f>
        <v/>
      </c>
      <c r="F53" s="26" t="str">
        <f>IF(ISERROR(VLOOKUP($A53,Bestellungen!$6:$1048576,MATCH(Kasse!F$5,Bestellungen!$A$5:$X$5,0),0))=FALSE,SUMIF(Kalkulation!$A$6:$A$40,Kasse!F$5&amp;"*",Kalkulation!$C$6:$C$40)*VLOOKUP($A53,Bestellungen!$6:$1048576,MATCH(Kasse!F$5,Bestellungen!$A$5:$X$5,0),0),"")</f>
        <v/>
      </c>
      <c r="G53" s="26" t="str">
        <f>IF(ISERROR(VLOOKUP($A53,Bestellungen!$6:$1048576,MATCH(Kasse!G$5,Bestellungen!$A$5:$X$5,0),0))=FALSE,SUMIF(Kalkulation!$A$6:$A$40,Kasse!G$5&amp;"*",Kalkulation!$C$6:$C$40)*VLOOKUP($A53,Bestellungen!$6:$1048576,MATCH(Kasse!G$5,Bestellungen!$A$5:$X$5,0),0),"")</f>
        <v/>
      </c>
      <c r="H53" s="26" t="str">
        <f>IF(ISERROR(VLOOKUP($A53,Bestellungen!$6:$1048576,MATCH(Kasse!H$5,Bestellungen!$A$5:$X$5,0),0))=FALSE,SUMIF(Kalkulation!$A$6:$A$40,Kasse!H$5&amp;"*",Kalkulation!$C$6:$C$40)*VLOOKUP($A53,Bestellungen!$6:$1048576,MATCH(Kasse!H$5,Bestellungen!$A$5:$X$5,0),0),"")</f>
        <v/>
      </c>
      <c r="I53" s="26" t="str">
        <f>IF(ISERROR(VLOOKUP($A53,Bestellungen!$6:$1048576,MATCH(Kasse!I$5,Bestellungen!$A$5:$X$5,0),0))=FALSE,SUMIF(Kalkulation!$A$6:$A$40,Kasse!I$5&amp;"*",Kalkulation!$C$6:$C$40)*VLOOKUP($A53,Bestellungen!$6:$1048576,MATCH(Kasse!I$5,Bestellungen!$A$5:$X$5,0),0),"")</f>
        <v/>
      </c>
      <c r="J53" s="26" t="str">
        <f>IF(ISERROR(VLOOKUP($A53,Bestellungen!$6:$1048576,MATCH(Kasse!J$5,Bestellungen!$A$5:$X$5,0),0))=FALSE,SUMIF(Kalkulation!$A$6:$A$40,Kasse!J$5&amp;"*",Kalkulation!$C$6:$C$40)*VLOOKUP($A53,Bestellungen!$6:$1048576,MATCH(Kasse!J$5,Bestellungen!$A$5:$X$5,0),0),"")</f>
        <v/>
      </c>
      <c r="K53" s="26" t="str">
        <f>IF(ISERROR(VLOOKUP($A53,Bestellungen!$6:$1048576,MATCH(Kasse!K$5,Bestellungen!$A$5:$X$5,0),0))=FALSE,SUMIF(Kalkulation!$A$6:$A$40,Kasse!K$5&amp;"*",Kalkulation!$C$6:$C$40)*VLOOKUP($A53,Bestellungen!$6:$1048576,MATCH(Kasse!K$5,Bestellungen!$A$5:$X$5,0),0),"")</f>
        <v/>
      </c>
      <c r="L53" s="26" t="str">
        <f>IF(ISERROR(VLOOKUP($A53,Bestellungen!$6:$1048576,MATCH(Kasse!L$5,Bestellungen!$A$5:$X$5,0),0))=FALSE,SUMIF(Kalkulation!$A$6:$A$40,Kasse!L$5&amp;"*",Kalkulation!$C$6:$C$40)*VLOOKUP($A53,Bestellungen!$6:$1048576,MATCH(Kasse!L$5,Bestellungen!$A$5:$X$5,0),0),"")</f>
        <v/>
      </c>
      <c r="M53" s="26" t="str">
        <f>IF(ISERROR(VLOOKUP($A53,Bestellungen!$6:$1048576,MATCH(Kasse!M$5,Bestellungen!$A$5:$X$5,0),0))=FALSE,SUMIF(Kalkulation!$A$6:$A$40,Kasse!M$5&amp;"*",Kalkulation!$C$6:$C$40)*VLOOKUP($A53,Bestellungen!$6:$1048576,MATCH(Kasse!M$5,Bestellungen!$A$5:$X$5,0),0),"")</f>
        <v/>
      </c>
      <c r="N53" s="26" t="str">
        <f>IF(ISERROR(VLOOKUP($A53,Bestellungen!$6:$1048576,MATCH(Kasse!N$5,Bestellungen!$A$5:$X$5,0),0))=FALSE,SUMIF(Kalkulation!$A$6:$A$40,Kasse!N$5&amp;"*",Kalkulation!$C$6:$C$40)*VLOOKUP($A53,Bestellungen!$6:$1048576,MATCH(Kasse!N$5,Bestellungen!$A$5:$X$5,0),0),"")</f>
        <v/>
      </c>
      <c r="O53" s="26" t="str">
        <f>IF(ISERROR(VLOOKUP($A53,Bestellungen!$6:$1048576,MATCH(Kasse!O$5,Bestellungen!$A$5:$X$5,0),0))=FALSE,SUMIF(Kalkulation!$A$6:$A$40,Kasse!O$5&amp;"*",Kalkulation!$C$6:$C$40)*VLOOKUP($A53,Bestellungen!$6:$1048576,MATCH(Kasse!O$5,Bestellungen!$A$5:$X$5,0),0),"")</f>
        <v/>
      </c>
      <c r="P53" s="26" t="str">
        <f>IF(ISERROR(VLOOKUP($A53,Bestellungen!$6:$1048576,MATCH(Kasse!P$5,Bestellungen!$A$5:$X$5,0),0))=FALSE,SUMIF(Kalkulation!$A$6:$A$40,Kasse!P$5&amp;"*",Kalkulation!$C$6:$C$40)*VLOOKUP($A53,Bestellungen!$6:$1048576,MATCH(Kasse!P$5,Bestellungen!$A$5:$X$5,0),0),"")</f>
        <v/>
      </c>
      <c r="Q53" s="26" t="str">
        <f>IF(ISERROR(VLOOKUP($A53,Bestellungen!$6:$1048576,MATCH(Kasse!Q$5,Bestellungen!$A$5:$X$5,0),0))=FALSE,SUMIF(Kalkulation!$A$6:$A$40,Kasse!Q$5&amp;"*",Kalkulation!$C$6:$C$40)*VLOOKUP($A53,Bestellungen!$6:$1048576,MATCH(Kasse!Q$5,Bestellungen!$A$5:$X$5,0),0),"")</f>
        <v/>
      </c>
      <c r="R53" s="26" t="str">
        <f>IF(ISERROR(VLOOKUP($A53,Bestellungen!$6:$1048576,MATCH(Kasse!R$5,Bestellungen!$A$5:$X$5,0),0))=FALSE,SUMIF(Kalkulation!$A$6:$A$40,Kasse!R$5&amp;"*",Kalkulation!$C$6:$C$40)*VLOOKUP($A53,Bestellungen!$6:$1048576,MATCH(Kasse!R$5,Bestellungen!$A$5:$X$5,0),0),"")</f>
        <v/>
      </c>
      <c r="S53" s="26" t="str">
        <f>IF(ISERROR(VLOOKUP($A53,Bestellungen!$6:$1048576,MATCH(Kasse!S$5,Bestellungen!$A$5:$X$5,0),0))=FALSE,SUMIF(Kalkulation!$A$6:$A$40,Kasse!S$5&amp;"*",Kalkulation!$C$6:$C$40)*VLOOKUP($A53,Bestellungen!$6:$1048576,MATCH(Kasse!S$5,Bestellungen!$A$5:$X$5,0),0),"")</f>
        <v/>
      </c>
      <c r="T53" s="26" t="str">
        <f>IF(ISERROR(VLOOKUP($A53,Bestellungen!$6:$1048576,MATCH(Kasse!T$5,Bestellungen!$A$5:$X$5,0),0))=FALSE,SUMIF(Kalkulation!$A$6:$A$40,Kasse!T$5&amp;"*",Kalkulation!$C$6:$C$40)*VLOOKUP($A53,Bestellungen!$6:$1048576,MATCH(Kasse!T$5,Bestellungen!$A$5:$X$5,0),0),"")</f>
        <v/>
      </c>
      <c r="U53" s="26" t="str">
        <f t="shared" si="0"/>
        <v/>
      </c>
      <c r="W53" s="26" t="str">
        <f t="shared" si="1"/>
        <v/>
      </c>
      <c r="X53" s="26"/>
      <c r="Y53" s="26"/>
      <c r="Z53" s="26"/>
      <c r="AA53" s="26"/>
    </row>
    <row r="54" spans="1:27" x14ac:dyDescent="0.25">
      <c r="A54" t="str">
        <f>IF(LEN(Bestellungen!$A54)&gt;0,Bestellungen!$A54,"")</f>
        <v/>
      </c>
      <c r="B54" s="26" t="str">
        <f>IF(ISERROR(VLOOKUP($A54,Bestellungen!$6:$1048576,MATCH(Kasse!B$5,Bestellungen!$A$5:$X$5,0),0))=FALSE,SUMIF(Kalkulation!$A$6:$A$40,Kasse!B$5&amp;"*",Kalkulation!$C$6:$C$40)*VLOOKUP($A54,Bestellungen!$6:$1048576,MATCH(Kasse!B$5,Bestellungen!$A$5:$X$5,0),0),"")</f>
        <v/>
      </c>
      <c r="C54" s="26" t="str">
        <f>IF(ISERROR(VLOOKUP($A54,Bestellungen!$6:$1048576,MATCH(Kasse!C$5,Bestellungen!$A$5:$X$5,0),0))=FALSE,SUMIF(Kalkulation!$A$6:$A$40,Kasse!C$5&amp;"*",Kalkulation!$C$6:$C$40)*VLOOKUP($A54,Bestellungen!$6:$1048576,MATCH(Kasse!C$5,Bestellungen!$A$5:$X$5,0),0),"")</f>
        <v/>
      </c>
      <c r="D54" s="26" t="str">
        <f>IF(ISERROR(VLOOKUP($A54,Bestellungen!$6:$1048576,MATCH(Kasse!D$5,Bestellungen!$A$5:$X$5,0),0))=FALSE,SUMIF(Kalkulation!$A$6:$A$40,Kasse!D$5&amp;"*",Kalkulation!$C$6:$C$40)*VLOOKUP($A54,Bestellungen!$6:$1048576,MATCH(Kasse!D$5,Bestellungen!$A$5:$X$5,0),0),"")</f>
        <v/>
      </c>
      <c r="E54" s="26" t="str">
        <f>IF(ISERROR(VLOOKUP($A54,Bestellungen!$6:$1048576,MATCH(Kasse!E$5,Bestellungen!$A$5:$X$5,0),0))=FALSE,SUMIF(Kalkulation!$A$6:$A$40,Kasse!E$5&amp;"*",Kalkulation!$C$6:$C$40)*VLOOKUP($A54,Bestellungen!$6:$1048576,MATCH(Kasse!E$5,Bestellungen!$A$5:$X$5,0),0),"")</f>
        <v/>
      </c>
      <c r="F54" s="26" t="str">
        <f>IF(ISERROR(VLOOKUP($A54,Bestellungen!$6:$1048576,MATCH(Kasse!F$5,Bestellungen!$A$5:$X$5,0),0))=FALSE,SUMIF(Kalkulation!$A$6:$A$40,Kasse!F$5&amp;"*",Kalkulation!$C$6:$C$40)*VLOOKUP($A54,Bestellungen!$6:$1048576,MATCH(Kasse!F$5,Bestellungen!$A$5:$X$5,0),0),"")</f>
        <v/>
      </c>
      <c r="G54" s="26" t="str">
        <f>IF(ISERROR(VLOOKUP($A54,Bestellungen!$6:$1048576,MATCH(Kasse!G$5,Bestellungen!$A$5:$X$5,0),0))=FALSE,SUMIF(Kalkulation!$A$6:$A$40,Kasse!G$5&amp;"*",Kalkulation!$C$6:$C$40)*VLOOKUP($A54,Bestellungen!$6:$1048576,MATCH(Kasse!G$5,Bestellungen!$A$5:$X$5,0),0),"")</f>
        <v/>
      </c>
      <c r="H54" s="26" t="str">
        <f>IF(ISERROR(VLOOKUP($A54,Bestellungen!$6:$1048576,MATCH(Kasse!H$5,Bestellungen!$A$5:$X$5,0),0))=FALSE,SUMIF(Kalkulation!$A$6:$A$40,Kasse!H$5&amp;"*",Kalkulation!$C$6:$C$40)*VLOOKUP($A54,Bestellungen!$6:$1048576,MATCH(Kasse!H$5,Bestellungen!$A$5:$X$5,0),0),"")</f>
        <v/>
      </c>
      <c r="I54" s="26" t="str">
        <f>IF(ISERROR(VLOOKUP($A54,Bestellungen!$6:$1048576,MATCH(Kasse!I$5,Bestellungen!$A$5:$X$5,0),0))=FALSE,SUMIF(Kalkulation!$A$6:$A$40,Kasse!I$5&amp;"*",Kalkulation!$C$6:$C$40)*VLOOKUP($A54,Bestellungen!$6:$1048576,MATCH(Kasse!I$5,Bestellungen!$A$5:$X$5,0),0),"")</f>
        <v/>
      </c>
      <c r="J54" s="26" t="str">
        <f>IF(ISERROR(VLOOKUP($A54,Bestellungen!$6:$1048576,MATCH(Kasse!J$5,Bestellungen!$A$5:$X$5,0),0))=FALSE,SUMIF(Kalkulation!$A$6:$A$40,Kasse!J$5&amp;"*",Kalkulation!$C$6:$C$40)*VLOOKUP($A54,Bestellungen!$6:$1048576,MATCH(Kasse!J$5,Bestellungen!$A$5:$X$5,0),0),"")</f>
        <v/>
      </c>
      <c r="K54" s="26" t="str">
        <f>IF(ISERROR(VLOOKUP($A54,Bestellungen!$6:$1048576,MATCH(Kasse!K$5,Bestellungen!$A$5:$X$5,0),0))=FALSE,SUMIF(Kalkulation!$A$6:$A$40,Kasse!K$5&amp;"*",Kalkulation!$C$6:$C$40)*VLOOKUP($A54,Bestellungen!$6:$1048576,MATCH(Kasse!K$5,Bestellungen!$A$5:$X$5,0),0),"")</f>
        <v/>
      </c>
      <c r="L54" s="26" t="str">
        <f>IF(ISERROR(VLOOKUP($A54,Bestellungen!$6:$1048576,MATCH(Kasse!L$5,Bestellungen!$A$5:$X$5,0),0))=FALSE,SUMIF(Kalkulation!$A$6:$A$40,Kasse!L$5&amp;"*",Kalkulation!$C$6:$C$40)*VLOOKUP($A54,Bestellungen!$6:$1048576,MATCH(Kasse!L$5,Bestellungen!$A$5:$X$5,0),0),"")</f>
        <v/>
      </c>
      <c r="M54" s="26" t="str">
        <f>IF(ISERROR(VLOOKUP($A54,Bestellungen!$6:$1048576,MATCH(Kasse!M$5,Bestellungen!$A$5:$X$5,0),0))=FALSE,SUMIF(Kalkulation!$A$6:$A$40,Kasse!M$5&amp;"*",Kalkulation!$C$6:$C$40)*VLOOKUP($A54,Bestellungen!$6:$1048576,MATCH(Kasse!M$5,Bestellungen!$A$5:$X$5,0),0),"")</f>
        <v/>
      </c>
      <c r="N54" s="26" t="str">
        <f>IF(ISERROR(VLOOKUP($A54,Bestellungen!$6:$1048576,MATCH(Kasse!N$5,Bestellungen!$A$5:$X$5,0),0))=FALSE,SUMIF(Kalkulation!$A$6:$A$40,Kasse!N$5&amp;"*",Kalkulation!$C$6:$C$40)*VLOOKUP($A54,Bestellungen!$6:$1048576,MATCH(Kasse!N$5,Bestellungen!$A$5:$X$5,0),0),"")</f>
        <v/>
      </c>
      <c r="O54" s="26" t="str">
        <f>IF(ISERROR(VLOOKUP($A54,Bestellungen!$6:$1048576,MATCH(Kasse!O$5,Bestellungen!$A$5:$X$5,0),0))=FALSE,SUMIF(Kalkulation!$A$6:$A$40,Kasse!O$5&amp;"*",Kalkulation!$C$6:$C$40)*VLOOKUP($A54,Bestellungen!$6:$1048576,MATCH(Kasse!O$5,Bestellungen!$A$5:$X$5,0),0),"")</f>
        <v/>
      </c>
      <c r="P54" s="26" t="str">
        <f>IF(ISERROR(VLOOKUP($A54,Bestellungen!$6:$1048576,MATCH(Kasse!P$5,Bestellungen!$A$5:$X$5,0),0))=FALSE,SUMIF(Kalkulation!$A$6:$A$40,Kasse!P$5&amp;"*",Kalkulation!$C$6:$C$40)*VLOOKUP($A54,Bestellungen!$6:$1048576,MATCH(Kasse!P$5,Bestellungen!$A$5:$X$5,0),0),"")</f>
        <v/>
      </c>
      <c r="Q54" s="26" t="str">
        <f>IF(ISERROR(VLOOKUP($A54,Bestellungen!$6:$1048576,MATCH(Kasse!Q$5,Bestellungen!$A$5:$X$5,0),0))=FALSE,SUMIF(Kalkulation!$A$6:$A$40,Kasse!Q$5&amp;"*",Kalkulation!$C$6:$C$40)*VLOOKUP($A54,Bestellungen!$6:$1048576,MATCH(Kasse!Q$5,Bestellungen!$A$5:$X$5,0),0),"")</f>
        <v/>
      </c>
      <c r="R54" s="26" t="str">
        <f>IF(ISERROR(VLOOKUP($A54,Bestellungen!$6:$1048576,MATCH(Kasse!R$5,Bestellungen!$A$5:$X$5,0),0))=FALSE,SUMIF(Kalkulation!$A$6:$A$40,Kasse!R$5&amp;"*",Kalkulation!$C$6:$C$40)*VLOOKUP($A54,Bestellungen!$6:$1048576,MATCH(Kasse!R$5,Bestellungen!$A$5:$X$5,0),0),"")</f>
        <v/>
      </c>
      <c r="S54" s="26" t="str">
        <f>IF(ISERROR(VLOOKUP($A54,Bestellungen!$6:$1048576,MATCH(Kasse!S$5,Bestellungen!$A$5:$X$5,0),0))=FALSE,SUMIF(Kalkulation!$A$6:$A$40,Kasse!S$5&amp;"*",Kalkulation!$C$6:$C$40)*VLOOKUP($A54,Bestellungen!$6:$1048576,MATCH(Kasse!S$5,Bestellungen!$A$5:$X$5,0),0),"")</f>
        <v/>
      </c>
      <c r="T54" s="26" t="str">
        <f>IF(ISERROR(VLOOKUP($A54,Bestellungen!$6:$1048576,MATCH(Kasse!T$5,Bestellungen!$A$5:$X$5,0),0))=FALSE,SUMIF(Kalkulation!$A$6:$A$40,Kasse!T$5&amp;"*",Kalkulation!$C$6:$C$40)*VLOOKUP($A54,Bestellungen!$6:$1048576,MATCH(Kasse!T$5,Bestellungen!$A$5:$X$5,0),0),"")</f>
        <v/>
      </c>
      <c r="U54" s="26" t="str">
        <f t="shared" si="0"/>
        <v/>
      </c>
      <c r="W54" s="26" t="str">
        <f t="shared" si="1"/>
        <v/>
      </c>
      <c r="X54" s="26"/>
      <c r="Y54" s="26"/>
      <c r="Z54" s="26"/>
      <c r="AA54" s="26"/>
    </row>
    <row r="55" spans="1:27" x14ac:dyDescent="0.25">
      <c r="A55" t="str">
        <f>IF(LEN(Bestellungen!$A55)&gt;0,Bestellungen!$A55,"")</f>
        <v/>
      </c>
      <c r="B55" s="26" t="str">
        <f>IF(ISERROR(VLOOKUP($A55,Bestellungen!$6:$1048576,MATCH(Kasse!B$5,Bestellungen!$A$5:$X$5,0),0))=FALSE,SUMIF(Kalkulation!$A$6:$A$40,Kasse!B$5&amp;"*",Kalkulation!$C$6:$C$40)*VLOOKUP($A55,Bestellungen!$6:$1048576,MATCH(Kasse!B$5,Bestellungen!$A$5:$X$5,0),0),"")</f>
        <v/>
      </c>
      <c r="C55" s="26" t="str">
        <f>IF(ISERROR(VLOOKUP($A55,Bestellungen!$6:$1048576,MATCH(Kasse!C$5,Bestellungen!$A$5:$X$5,0),0))=FALSE,SUMIF(Kalkulation!$A$6:$A$40,Kasse!C$5&amp;"*",Kalkulation!$C$6:$C$40)*VLOOKUP($A55,Bestellungen!$6:$1048576,MATCH(Kasse!C$5,Bestellungen!$A$5:$X$5,0),0),"")</f>
        <v/>
      </c>
      <c r="D55" s="26" t="str">
        <f>IF(ISERROR(VLOOKUP($A55,Bestellungen!$6:$1048576,MATCH(Kasse!D$5,Bestellungen!$A$5:$X$5,0),0))=FALSE,SUMIF(Kalkulation!$A$6:$A$40,Kasse!D$5&amp;"*",Kalkulation!$C$6:$C$40)*VLOOKUP($A55,Bestellungen!$6:$1048576,MATCH(Kasse!D$5,Bestellungen!$A$5:$X$5,0),0),"")</f>
        <v/>
      </c>
      <c r="E55" s="26" t="str">
        <f>IF(ISERROR(VLOOKUP($A55,Bestellungen!$6:$1048576,MATCH(Kasse!E$5,Bestellungen!$A$5:$X$5,0),0))=FALSE,SUMIF(Kalkulation!$A$6:$A$40,Kasse!E$5&amp;"*",Kalkulation!$C$6:$C$40)*VLOOKUP($A55,Bestellungen!$6:$1048576,MATCH(Kasse!E$5,Bestellungen!$A$5:$X$5,0),0),"")</f>
        <v/>
      </c>
      <c r="F55" s="26" t="str">
        <f>IF(ISERROR(VLOOKUP($A55,Bestellungen!$6:$1048576,MATCH(Kasse!F$5,Bestellungen!$A$5:$X$5,0),0))=FALSE,SUMIF(Kalkulation!$A$6:$A$40,Kasse!F$5&amp;"*",Kalkulation!$C$6:$C$40)*VLOOKUP($A55,Bestellungen!$6:$1048576,MATCH(Kasse!F$5,Bestellungen!$A$5:$X$5,0),0),"")</f>
        <v/>
      </c>
      <c r="G55" s="26" t="str">
        <f>IF(ISERROR(VLOOKUP($A55,Bestellungen!$6:$1048576,MATCH(Kasse!G$5,Bestellungen!$A$5:$X$5,0),0))=FALSE,SUMIF(Kalkulation!$A$6:$A$40,Kasse!G$5&amp;"*",Kalkulation!$C$6:$C$40)*VLOOKUP($A55,Bestellungen!$6:$1048576,MATCH(Kasse!G$5,Bestellungen!$A$5:$X$5,0),0),"")</f>
        <v/>
      </c>
      <c r="H55" s="26" t="str">
        <f>IF(ISERROR(VLOOKUP($A55,Bestellungen!$6:$1048576,MATCH(Kasse!H$5,Bestellungen!$A$5:$X$5,0),0))=FALSE,SUMIF(Kalkulation!$A$6:$A$40,Kasse!H$5&amp;"*",Kalkulation!$C$6:$C$40)*VLOOKUP($A55,Bestellungen!$6:$1048576,MATCH(Kasse!H$5,Bestellungen!$A$5:$X$5,0),0),"")</f>
        <v/>
      </c>
      <c r="I55" s="26" t="str">
        <f>IF(ISERROR(VLOOKUP($A55,Bestellungen!$6:$1048576,MATCH(Kasse!I$5,Bestellungen!$A$5:$X$5,0),0))=FALSE,SUMIF(Kalkulation!$A$6:$A$40,Kasse!I$5&amp;"*",Kalkulation!$C$6:$C$40)*VLOOKUP($A55,Bestellungen!$6:$1048576,MATCH(Kasse!I$5,Bestellungen!$A$5:$X$5,0),0),"")</f>
        <v/>
      </c>
      <c r="J55" s="26" t="str">
        <f>IF(ISERROR(VLOOKUP($A55,Bestellungen!$6:$1048576,MATCH(Kasse!J$5,Bestellungen!$A$5:$X$5,0),0))=FALSE,SUMIF(Kalkulation!$A$6:$A$40,Kasse!J$5&amp;"*",Kalkulation!$C$6:$C$40)*VLOOKUP($A55,Bestellungen!$6:$1048576,MATCH(Kasse!J$5,Bestellungen!$A$5:$X$5,0),0),"")</f>
        <v/>
      </c>
      <c r="K55" s="26" t="str">
        <f>IF(ISERROR(VLOOKUP($A55,Bestellungen!$6:$1048576,MATCH(Kasse!K$5,Bestellungen!$A$5:$X$5,0),0))=FALSE,SUMIF(Kalkulation!$A$6:$A$40,Kasse!K$5&amp;"*",Kalkulation!$C$6:$C$40)*VLOOKUP($A55,Bestellungen!$6:$1048576,MATCH(Kasse!K$5,Bestellungen!$A$5:$X$5,0),0),"")</f>
        <v/>
      </c>
      <c r="L55" s="26" t="str">
        <f>IF(ISERROR(VLOOKUP($A55,Bestellungen!$6:$1048576,MATCH(Kasse!L$5,Bestellungen!$A$5:$X$5,0),0))=FALSE,SUMIF(Kalkulation!$A$6:$A$40,Kasse!L$5&amp;"*",Kalkulation!$C$6:$C$40)*VLOOKUP($A55,Bestellungen!$6:$1048576,MATCH(Kasse!L$5,Bestellungen!$A$5:$X$5,0),0),"")</f>
        <v/>
      </c>
      <c r="M55" s="26" t="str">
        <f>IF(ISERROR(VLOOKUP($A55,Bestellungen!$6:$1048576,MATCH(Kasse!M$5,Bestellungen!$A$5:$X$5,0),0))=FALSE,SUMIF(Kalkulation!$A$6:$A$40,Kasse!M$5&amp;"*",Kalkulation!$C$6:$C$40)*VLOOKUP($A55,Bestellungen!$6:$1048576,MATCH(Kasse!M$5,Bestellungen!$A$5:$X$5,0),0),"")</f>
        <v/>
      </c>
      <c r="N55" s="26" t="str">
        <f>IF(ISERROR(VLOOKUP($A55,Bestellungen!$6:$1048576,MATCH(Kasse!N$5,Bestellungen!$A$5:$X$5,0),0))=FALSE,SUMIF(Kalkulation!$A$6:$A$40,Kasse!N$5&amp;"*",Kalkulation!$C$6:$C$40)*VLOOKUP($A55,Bestellungen!$6:$1048576,MATCH(Kasse!N$5,Bestellungen!$A$5:$X$5,0),0),"")</f>
        <v/>
      </c>
      <c r="O55" s="26" t="str">
        <f>IF(ISERROR(VLOOKUP($A55,Bestellungen!$6:$1048576,MATCH(Kasse!O$5,Bestellungen!$A$5:$X$5,0),0))=FALSE,SUMIF(Kalkulation!$A$6:$A$40,Kasse!O$5&amp;"*",Kalkulation!$C$6:$C$40)*VLOOKUP($A55,Bestellungen!$6:$1048576,MATCH(Kasse!O$5,Bestellungen!$A$5:$X$5,0),0),"")</f>
        <v/>
      </c>
      <c r="P55" s="26" t="str">
        <f>IF(ISERROR(VLOOKUP($A55,Bestellungen!$6:$1048576,MATCH(Kasse!P$5,Bestellungen!$A$5:$X$5,0),0))=FALSE,SUMIF(Kalkulation!$A$6:$A$40,Kasse!P$5&amp;"*",Kalkulation!$C$6:$C$40)*VLOOKUP($A55,Bestellungen!$6:$1048576,MATCH(Kasse!P$5,Bestellungen!$A$5:$X$5,0),0),"")</f>
        <v/>
      </c>
      <c r="Q55" s="26" t="str">
        <f>IF(ISERROR(VLOOKUP($A55,Bestellungen!$6:$1048576,MATCH(Kasse!Q$5,Bestellungen!$A$5:$X$5,0),0))=FALSE,SUMIF(Kalkulation!$A$6:$A$40,Kasse!Q$5&amp;"*",Kalkulation!$C$6:$C$40)*VLOOKUP($A55,Bestellungen!$6:$1048576,MATCH(Kasse!Q$5,Bestellungen!$A$5:$X$5,0),0),"")</f>
        <v/>
      </c>
      <c r="R55" s="26" t="str">
        <f>IF(ISERROR(VLOOKUP($A55,Bestellungen!$6:$1048576,MATCH(Kasse!R$5,Bestellungen!$A$5:$X$5,0),0))=FALSE,SUMIF(Kalkulation!$A$6:$A$40,Kasse!R$5&amp;"*",Kalkulation!$C$6:$C$40)*VLOOKUP($A55,Bestellungen!$6:$1048576,MATCH(Kasse!R$5,Bestellungen!$A$5:$X$5,0),0),"")</f>
        <v/>
      </c>
      <c r="S55" s="26" t="str">
        <f>IF(ISERROR(VLOOKUP($A55,Bestellungen!$6:$1048576,MATCH(Kasse!S$5,Bestellungen!$A$5:$X$5,0),0))=FALSE,SUMIF(Kalkulation!$A$6:$A$40,Kasse!S$5&amp;"*",Kalkulation!$C$6:$C$40)*VLOOKUP($A55,Bestellungen!$6:$1048576,MATCH(Kasse!S$5,Bestellungen!$A$5:$X$5,0),0),"")</f>
        <v/>
      </c>
      <c r="T55" s="26" t="str">
        <f>IF(ISERROR(VLOOKUP($A55,Bestellungen!$6:$1048576,MATCH(Kasse!T$5,Bestellungen!$A$5:$X$5,0),0))=FALSE,SUMIF(Kalkulation!$A$6:$A$40,Kasse!T$5&amp;"*",Kalkulation!$C$6:$C$40)*VLOOKUP($A55,Bestellungen!$6:$1048576,MATCH(Kasse!T$5,Bestellungen!$A$5:$X$5,0),0),"")</f>
        <v/>
      </c>
      <c r="U55" s="26" t="str">
        <f t="shared" si="0"/>
        <v/>
      </c>
      <c r="W55" s="26" t="str">
        <f t="shared" si="1"/>
        <v/>
      </c>
      <c r="X55" s="26"/>
      <c r="Y55" s="26"/>
      <c r="Z55" s="26"/>
      <c r="AA55" s="26"/>
    </row>
    <row r="56" spans="1:27" x14ac:dyDescent="0.25">
      <c r="A56" t="str">
        <f>IF(LEN(Bestellungen!$A56)&gt;0,Bestellungen!$A56,"")</f>
        <v/>
      </c>
      <c r="B56" s="26" t="str">
        <f>IF(ISERROR(VLOOKUP($A56,Bestellungen!$6:$1048576,MATCH(Kasse!B$5,Bestellungen!$A$5:$X$5,0),0))=FALSE,SUMIF(Kalkulation!$A$6:$A$40,Kasse!B$5&amp;"*",Kalkulation!$C$6:$C$40)*VLOOKUP($A56,Bestellungen!$6:$1048576,MATCH(Kasse!B$5,Bestellungen!$A$5:$X$5,0),0),"")</f>
        <v/>
      </c>
      <c r="C56" s="26" t="str">
        <f>IF(ISERROR(VLOOKUP($A56,Bestellungen!$6:$1048576,MATCH(Kasse!C$5,Bestellungen!$A$5:$X$5,0),0))=FALSE,SUMIF(Kalkulation!$A$6:$A$40,Kasse!C$5&amp;"*",Kalkulation!$C$6:$C$40)*VLOOKUP($A56,Bestellungen!$6:$1048576,MATCH(Kasse!C$5,Bestellungen!$A$5:$X$5,0),0),"")</f>
        <v/>
      </c>
      <c r="D56" s="26" t="str">
        <f>IF(ISERROR(VLOOKUP($A56,Bestellungen!$6:$1048576,MATCH(Kasse!D$5,Bestellungen!$A$5:$X$5,0),0))=FALSE,SUMIF(Kalkulation!$A$6:$A$40,Kasse!D$5&amp;"*",Kalkulation!$C$6:$C$40)*VLOOKUP($A56,Bestellungen!$6:$1048576,MATCH(Kasse!D$5,Bestellungen!$A$5:$X$5,0),0),"")</f>
        <v/>
      </c>
      <c r="E56" s="26" t="str">
        <f>IF(ISERROR(VLOOKUP($A56,Bestellungen!$6:$1048576,MATCH(Kasse!E$5,Bestellungen!$A$5:$X$5,0),0))=FALSE,SUMIF(Kalkulation!$A$6:$A$40,Kasse!E$5&amp;"*",Kalkulation!$C$6:$C$40)*VLOOKUP($A56,Bestellungen!$6:$1048576,MATCH(Kasse!E$5,Bestellungen!$A$5:$X$5,0),0),"")</f>
        <v/>
      </c>
      <c r="F56" s="26" t="str">
        <f>IF(ISERROR(VLOOKUP($A56,Bestellungen!$6:$1048576,MATCH(Kasse!F$5,Bestellungen!$A$5:$X$5,0),0))=FALSE,SUMIF(Kalkulation!$A$6:$A$40,Kasse!F$5&amp;"*",Kalkulation!$C$6:$C$40)*VLOOKUP($A56,Bestellungen!$6:$1048576,MATCH(Kasse!F$5,Bestellungen!$A$5:$X$5,0),0),"")</f>
        <v/>
      </c>
      <c r="G56" s="26" t="str">
        <f>IF(ISERROR(VLOOKUP($A56,Bestellungen!$6:$1048576,MATCH(Kasse!G$5,Bestellungen!$A$5:$X$5,0),0))=FALSE,SUMIF(Kalkulation!$A$6:$A$40,Kasse!G$5&amp;"*",Kalkulation!$C$6:$C$40)*VLOOKUP($A56,Bestellungen!$6:$1048576,MATCH(Kasse!G$5,Bestellungen!$A$5:$X$5,0),0),"")</f>
        <v/>
      </c>
      <c r="H56" s="26" t="str">
        <f>IF(ISERROR(VLOOKUP($A56,Bestellungen!$6:$1048576,MATCH(Kasse!H$5,Bestellungen!$A$5:$X$5,0),0))=FALSE,SUMIF(Kalkulation!$A$6:$A$40,Kasse!H$5&amp;"*",Kalkulation!$C$6:$C$40)*VLOOKUP($A56,Bestellungen!$6:$1048576,MATCH(Kasse!H$5,Bestellungen!$A$5:$X$5,0),0),"")</f>
        <v/>
      </c>
      <c r="I56" s="26" t="str">
        <f>IF(ISERROR(VLOOKUP($A56,Bestellungen!$6:$1048576,MATCH(Kasse!I$5,Bestellungen!$A$5:$X$5,0),0))=FALSE,SUMIF(Kalkulation!$A$6:$A$40,Kasse!I$5&amp;"*",Kalkulation!$C$6:$C$40)*VLOOKUP($A56,Bestellungen!$6:$1048576,MATCH(Kasse!I$5,Bestellungen!$A$5:$X$5,0),0),"")</f>
        <v/>
      </c>
      <c r="J56" s="26" t="str">
        <f>IF(ISERROR(VLOOKUP($A56,Bestellungen!$6:$1048576,MATCH(Kasse!J$5,Bestellungen!$A$5:$X$5,0),0))=FALSE,SUMIF(Kalkulation!$A$6:$A$40,Kasse!J$5&amp;"*",Kalkulation!$C$6:$C$40)*VLOOKUP($A56,Bestellungen!$6:$1048576,MATCH(Kasse!J$5,Bestellungen!$A$5:$X$5,0),0),"")</f>
        <v/>
      </c>
      <c r="K56" s="26" t="str">
        <f>IF(ISERROR(VLOOKUP($A56,Bestellungen!$6:$1048576,MATCH(Kasse!K$5,Bestellungen!$A$5:$X$5,0),0))=FALSE,SUMIF(Kalkulation!$A$6:$A$40,Kasse!K$5&amp;"*",Kalkulation!$C$6:$C$40)*VLOOKUP($A56,Bestellungen!$6:$1048576,MATCH(Kasse!K$5,Bestellungen!$A$5:$X$5,0),0),"")</f>
        <v/>
      </c>
      <c r="L56" s="26" t="str">
        <f>IF(ISERROR(VLOOKUP($A56,Bestellungen!$6:$1048576,MATCH(Kasse!L$5,Bestellungen!$A$5:$X$5,0),0))=FALSE,SUMIF(Kalkulation!$A$6:$A$40,Kasse!L$5&amp;"*",Kalkulation!$C$6:$C$40)*VLOOKUP($A56,Bestellungen!$6:$1048576,MATCH(Kasse!L$5,Bestellungen!$A$5:$X$5,0),0),"")</f>
        <v/>
      </c>
      <c r="M56" s="26" t="str">
        <f>IF(ISERROR(VLOOKUP($A56,Bestellungen!$6:$1048576,MATCH(Kasse!M$5,Bestellungen!$A$5:$X$5,0),0))=FALSE,SUMIF(Kalkulation!$A$6:$A$40,Kasse!M$5&amp;"*",Kalkulation!$C$6:$C$40)*VLOOKUP($A56,Bestellungen!$6:$1048576,MATCH(Kasse!M$5,Bestellungen!$A$5:$X$5,0),0),"")</f>
        <v/>
      </c>
      <c r="N56" s="26" t="str">
        <f>IF(ISERROR(VLOOKUP($A56,Bestellungen!$6:$1048576,MATCH(Kasse!N$5,Bestellungen!$A$5:$X$5,0),0))=FALSE,SUMIF(Kalkulation!$A$6:$A$40,Kasse!N$5&amp;"*",Kalkulation!$C$6:$C$40)*VLOOKUP($A56,Bestellungen!$6:$1048576,MATCH(Kasse!N$5,Bestellungen!$A$5:$X$5,0),0),"")</f>
        <v/>
      </c>
      <c r="O56" s="26" t="str">
        <f>IF(ISERROR(VLOOKUP($A56,Bestellungen!$6:$1048576,MATCH(Kasse!O$5,Bestellungen!$A$5:$X$5,0),0))=FALSE,SUMIF(Kalkulation!$A$6:$A$40,Kasse!O$5&amp;"*",Kalkulation!$C$6:$C$40)*VLOOKUP($A56,Bestellungen!$6:$1048576,MATCH(Kasse!O$5,Bestellungen!$A$5:$X$5,0),0),"")</f>
        <v/>
      </c>
      <c r="P56" s="26" t="str">
        <f>IF(ISERROR(VLOOKUP($A56,Bestellungen!$6:$1048576,MATCH(Kasse!P$5,Bestellungen!$A$5:$X$5,0),0))=FALSE,SUMIF(Kalkulation!$A$6:$A$40,Kasse!P$5&amp;"*",Kalkulation!$C$6:$C$40)*VLOOKUP($A56,Bestellungen!$6:$1048576,MATCH(Kasse!P$5,Bestellungen!$A$5:$X$5,0),0),"")</f>
        <v/>
      </c>
      <c r="Q56" s="26" t="str">
        <f>IF(ISERROR(VLOOKUP($A56,Bestellungen!$6:$1048576,MATCH(Kasse!Q$5,Bestellungen!$A$5:$X$5,0),0))=FALSE,SUMIF(Kalkulation!$A$6:$A$40,Kasse!Q$5&amp;"*",Kalkulation!$C$6:$C$40)*VLOOKUP($A56,Bestellungen!$6:$1048576,MATCH(Kasse!Q$5,Bestellungen!$A$5:$X$5,0),0),"")</f>
        <v/>
      </c>
      <c r="R56" s="26" t="str">
        <f>IF(ISERROR(VLOOKUP($A56,Bestellungen!$6:$1048576,MATCH(Kasse!R$5,Bestellungen!$A$5:$X$5,0),0))=FALSE,SUMIF(Kalkulation!$A$6:$A$40,Kasse!R$5&amp;"*",Kalkulation!$C$6:$C$40)*VLOOKUP($A56,Bestellungen!$6:$1048576,MATCH(Kasse!R$5,Bestellungen!$A$5:$X$5,0),0),"")</f>
        <v/>
      </c>
      <c r="S56" s="26" t="str">
        <f>IF(ISERROR(VLOOKUP($A56,Bestellungen!$6:$1048576,MATCH(Kasse!S$5,Bestellungen!$A$5:$X$5,0),0))=FALSE,SUMIF(Kalkulation!$A$6:$A$40,Kasse!S$5&amp;"*",Kalkulation!$C$6:$C$40)*VLOOKUP($A56,Bestellungen!$6:$1048576,MATCH(Kasse!S$5,Bestellungen!$A$5:$X$5,0),0),"")</f>
        <v/>
      </c>
      <c r="T56" s="26" t="str">
        <f>IF(ISERROR(VLOOKUP($A56,Bestellungen!$6:$1048576,MATCH(Kasse!T$5,Bestellungen!$A$5:$X$5,0),0))=FALSE,SUMIF(Kalkulation!$A$6:$A$40,Kasse!T$5&amp;"*",Kalkulation!$C$6:$C$40)*VLOOKUP($A56,Bestellungen!$6:$1048576,MATCH(Kasse!T$5,Bestellungen!$A$5:$X$5,0),0),"")</f>
        <v/>
      </c>
      <c r="U56" s="26" t="str">
        <f t="shared" si="0"/>
        <v/>
      </c>
      <c r="W56" s="26" t="str">
        <f t="shared" si="1"/>
        <v/>
      </c>
      <c r="X56" s="26"/>
      <c r="Y56" s="26"/>
      <c r="Z56" s="26"/>
      <c r="AA56" s="26"/>
    </row>
    <row r="57" spans="1:27" x14ac:dyDescent="0.25">
      <c r="A57" t="str">
        <f>IF(LEN(Bestellungen!$A57)&gt;0,Bestellungen!$A57,"")</f>
        <v/>
      </c>
      <c r="B57" s="26" t="str">
        <f>IF(ISERROR(VLOOKUP($A57,Bestellungen!$6:$1048576,MATCH(Kasse!B$5,Bestellungen!$A$5:$X$5,0),0))=FALSE,SUMIF(Kalkulation!$A$6:$A$40,Kasse!B$5&amp;"*",Kalkulation!$C$6:$C$40)*VLOOKUP($A57,Bestellungen!$6:$1048576,MATCH(Kasse!B$5,Bestellungen!$A$5:$X$5,0),0),"")</f>
        <v/>
      </c>
      <c r="C57" s="26" t="str">
        <f>IF(ISERROR(VLOOKUP($A57,Bestellungen!$6:$1048576,MATCH(Kasse!C$5,Bestellungen!$A$5:$X$5,0),0))=FALSE,SUMIF(Kalkulation!$A$6:$A$40,Kasse!C$5&amp;"*",Kalkulation!$C$6:$C$40)*VLOOKUP($A57,Bestellungen!$6:$1048576,MATCH(Kasse!C$5,Bestellungen!$A$5:$X$5,0),0),"")</f>
        <v/>
      </c>
      <c r="D57" s="26" t="str">
        <f>IF(ISERROR(VLOOKUP($A57,Bestellungen!$6:$1048576,MATCH(Kasse!D$5,Bestellungen!$A$5:$X$5,0),0))=FALSE,SUMIF(Kalkulation!$A$6:$A$40,Kasse!D$5&amp;"*",Kalkulation!$C$6:$C$40)*VLOOKUP($A57,Bestellungen!$6:$1048576,MATCH(Kasse!D$5,Bestellungen!$A$5:$X$5,0),0),"")</f>
        <v/>
      </c>
      <c r="E57" s="26" t="str">
        <f>IF(ISERROR(VLOOKUP($A57,Bestellungen!$6:$1048576,MATCH(Kasse!E$5,Bestellungen!$A$5:$X$5,0),0))=FALSE,SUMIF(Kalkulation!$A$6:$A$40,Kasse!E$5&amp;"*",Kalkulation!$C$6:$C$40)*VLOOKUP($A57,Bestellungen!$6:$1048576,MATCH(Kasse!E$5,Bestellungen!$A$5:$X$5,0),0),"")</f>
        <v/>
      </c>
      <c r="F57" s="26" t="str">
        <f>IF(ISERROR(VLOOKUP($A57,Bestellungen!$6:$1048576,MATCH(Kasse!F$5,Bestellungen!$A$5:$X$5,0),0))=FALSE,SUMIF(Kalkulation!$A$6:$A$40,Kasse!F$5&amp;"*",Kalkulation!$C$6:$C$40)*VLOOKUP($A57,Bestellungen!$6:$1048576,MATCH(Kasse!F$5,Bestellungen!$A$5:$X$5,0),0),"")</f>
        <v/>
      </c>
      <c r="G57" s="26" t="str">
        <f>IF(ISERROR(VLOOKUP($A57,Bestellungen!$6:$1048576,MATCH(Kasse!G$5,Bestellungen!$A$5:$X$5,0),0))=FALSE,SUMIF(Kalkulation!$A$6:$A$40,Kasse!G$5&amp;"*",Kalkulation!$C$6:$C$40)*VLOOKUP($A57,Bestellungen!$6:$1048576,MATCH(Kasse!G$5,Bestellungen!$A$5:$X$5,0),0),"")</f>
        <v/>
      </c>
      <c r="H57" s="26" t="str">
        <f>IF(ISERROR(VLOOKUP($A57,Bestellungen!$6:$1048576,MATCH(Kasse!H$5,Bestellungen!$A$5:$X$5,0),0))=FALSE,SUMIF(Kalkulation!$A$6:$A$40,Kasse!H$5&amp;"*",Kalkulation!$C$6:$C$40)*VLOOKUP($A57,Bestellungen!$6:$1048576,MATCH(Kasse!H$5,Bestellungen!$A$5:$X$5,0),0),"")</f>
        <v/>
      </c>
      <c r="I57" s="26" t="str">
        <f>IF(ISERROR(VLOOKUP($A57,Bestellungen!$6:$1048576,MATCH(Kasse!I$5,Bestellungen!$A$5:$X$5,0),0))=FALSE,SUMIF(Kalkulation!$A$6:$A$40,Kasse!I$5&amp;"*",Kalkulation!$C$6:$C$40)*VLOOKUP($A57,Bestellungen!$6:$1048576,MATCH(Kasse!I$5,Bestellungen!$A$5:$X$5,0),0),"")</f>
        <v/>
      </c>
      <c r="J57" s="26" t="str">
        <f>IF(ISERROR(VLOOKUP($A57,Bestellungen!$6:$1048576,MATCH(Kasse!J$5,Bestellungen!$A$5:$X$5,0),0))=FALSE,SUMIF(Kalkulation!$A$6:$A$40,Kasse!J$5&amp;"*",Kalkulation!$C$6:$C$40)*VLOOKUP($A57,Bestellungen!$6:$1048576,MATCH(Kasse!J$5,Bestellungen!$A$5:$X$5,0),0),"")</f>
        <v/>
      </c>
      <c r="K57" s="26" t="str">
        <f>IF(ISERROR(VLOOKUP($A57,Bestellungen!$6:$1048576,MATCH(Kasse!K$5,Bestellungen!$A$5:$X$5,0),0))=FALSE,SUMIF(Kalkulation!$A$6:$A$40,Kasse!K$5&amp;"*",Kalkulation!$C$6:$C$40)*VLOOKUP($A57,Bestellungen!$6:$1048576,MATCH(Kasse!K$5,Bestellungen!$A$5:$X$5,0),0),"")</f>
        <v/>
      </c>
      <c r="L57" s="26" t="str">
        <f>IF(ISERROR(VLOOKUP($A57,Bestellungen!$6:$1048576,MATCH(Kasse!L$5,Bestellungen!$A$5:$X$5,0),0))=FALSE,SUMIF(Kalkulation!$A$6:$A$40,Kasse!L$5&amp;"*",Kalkulation!$C$6:$C$40)*VLOOKUP($A57,Bestellungen!$6:$1048576,MATCH(Kasse!L$5,Bestellungen!$A$5:$X$5,0),0),"")</f>
        <v/>
      </c>
      <c r="M57" s="26" t="str">
        <f>IF(ISERROR(VLOOKUP($A57,Bestellungen!$6:$1048576,MATCH(Kasse!M$5,Bestellungen!$A$5:$X$5,0),0))=FALSE,SUMIF(Kalkulation!$A$6:$A$40,Kasse!M$5&amp;"*",Kalkulation!$C$6:$C$40)*VLOOKUP($A57,Bestellungen!$6:$1048576,MATCH(Kasse!M$5,Bestellungen!$A$5:$X$5,0),0),"")</f>
        <v/>
      </c>
      <c r="N57" s="26" t="str">
        <f>IF(ISERROR(VLOOKUP($A57,Bestellungen!$6:$1048576,MATCH(Kasse!N$5,Bestellungen!$A$5:$X$5,0),0))=FALSE,SUMIF(Kalkulation!$A$6:$A$40,Kasse!N$5&amp;"*",Kalkulation!$C$6:$C$40)*VLOOKUP($A57,Bestellungen!$6:$1048576,MATCH(Kasse!N$5,Bestellungen!$A$5:$X$5,0),0),"")</f>
        <v/>
      </c>
      <c r="O57" s="26" t="str">
        <f>IF(ISERROR(VLOOKUP($A57,Bestellungen!$6:$1048576,MATCH(Kasse!O$5,Bestellungen!$A$5:$X$5,0),0))=FALSE,SUMIF(Kalkulation!$A$6:$A$40,Kasse!O$5&amp;"*",Kalkulation!$C$6:$C$40)*VLOOKUP($A57,Bestellungen!$6:$1048576,MATCH(Kasse!O$5,Bestellungen!$A$5:$X$5,0),0),"")</f>
        <v/>
      </c>
      <c r="P57" s="26" t="str">
        <f>IF(ISERROR(VLOOKUP($A57,Bestellungen!$6:$1048576,MATCH(Kasse!P$5,Bestellungen!$A$5:$X$5,0),0))=FALSE,SUMIF(Kalkulation!$A$6:$A$40,Kasse!P$5&amp;"*",Kalkulation!$C$6:$C$40)*VLOOKUP($A57,Bestellungen!$6:$1048576,MATCH(Kasse!P$5,Bestellungen!$A$5:$X$5,0),0),"")</f>
        <v/>
      </c>
      <c r="Q57" s="26" t="str">
        <f>IF(ISERROR(VLOOKUP($A57,Bestellungen!$6:$1048576,MATCH(Kasse!Q$5,Bestellungen!$A$5:$X$5,0),0))=FALSE,SUMIF(Kalkulation!$A$6:$A$40,Kasse!Q$5&amp;"*",Kalkulation!$C$6:$C$40)*VLOOKUP($A57,Bestellungen!$6:$1048576,MATCH(Kasse!Q$5,Bestellungen!$A$5:$X$5,0),0),"")</f>
        <v/>
      </c>
      <c r="R57" s="26" t="str">
        <f>IF(ISERROR(VLOOKUP($A57,Bestellungen!$6:$1048576,MATCH(Kasse!R$5,Bestellungen!$A$5:$X$5,0),0))=FALSE,SUMIF(Kalkulation!$A$6:$A$40,Kasse!R$5&amp;"*",Kalkulation!$C$6:$C$40)*VLOOKUP($A57,Bestellungen!$6:$1048576,MATCH(Kasse!R$5,Bestellungen!$A$5:$X$5,0),0),"")</f>
        <v/>
      </c>
      <c r="S57" s="26" t="str">
        <f>IF(ISERROR(VLOOKUP($A57,Bestellungen!$6:$1048576,MATCH(Kasse!S$5,Bestellungen!$A$5:$X$5,0),0))=FALSE,SUMIF(Kalkulation!$A$6:$A$40,Kasse!S$5&amp;"*",Kalkulation!$C$6:$C$40)*VLOOKUP($A57,Bestellungen!$6:$1048576,MATCH(Kasse!S$5,Bestellungen!$A$5:$X$5,0),0),"")</f>
        <v/>
      </c>
      <c r="T57" s="26" t="str">
        <f>IF(ISERROR(VLOOKUP($A57,Bestellungen!$6:$1048576,MATCH(Kasse!T$5,Bestellungen!$A$5:$X$5,0),0))=FALSE,SUMIF(Kalkulation!$A$6:$A$40,Kasse!T$5&amp;"*",Kalkulation!$C$6:$C$40)*VLOOKUP($A57,Bestellungen!$6:$1048576,MATCH(Kasse!T$5,Bestellungen!$A$5:$X$5,0),0),"")</f>
        <v/>
      </c>
      <c r="U57" s="26" t="str">
        <f t="shared" si="0"/>
        <v/>
      </c>
      <c r="W57" s="26" t="str">
        <f t="shared" si="1"/>
        <v/>
      </c>
      <c r="X57" s="26"/>
      <c r="Y57" s="26"/>
      <c r="Z57" s="26"/>
      <c r="AA57" s="26"/>
    </row>
    <row r="58" spans="1:27" x14ac:dyDescent="0.25">
      <c r="A58" t="str">
        <f>IF(LEN(Bestellungen!$A58)&gt;0,Bestellungen!$A58,"")</f>
        <v/>
      </c>
      <c r="B58" s="26" t="str">
        <f>IF(ISERROR(VLOOKUP($A58,Bestellungen!$6:$1048576,MATCH(Kasse!B$5,Bestellungen!$A$5:$X$5,0),0))=FALSE,SUMIF(Kalkulation!$A$6:$A$40,Kasse!B$5&amp;"*",Kalkulation!$C$6:$C$40)*VLOOKUP($A58,Bestellungen!$6:$1048576,MATCH(Kasse!B$5,Bestellungen!$A$5:$X$5,0),0),"")</f>
        <v/>
      </c>
      <c r="C58" s="26" t="str">
        <f>IF(ISERROR(VLOOKUP($A58,Bestellungen!$6:$1048576,MATCH(Kasse!C$5,Bestellungen!$A$5:$X$5,0),0))=FALSE,SUMIF(Kalkulation!$A$6:$A$40,Kasse!C$5&amp;"*",Kalkulation!$C$6:$C$40)*VLOOKUP($A58,Bestellungen!$6:$1048576,MATCH(Kasse!C$5,Bestellungen!$A$5:$X$5,0),0),"")</f>
        <v/>
      </c>
      <c r="D58" s="26" t="str">
        <f>IF(ISERROR(VLOOKUP($A58,Bestellungen!$6:$1048576,MATCH(Kasse!D$5,Bestellungen!$A$5:$X$5,0),0))=FALSE,SUMIF(Kalkulation!$A$6:$A$40,Kasse!D$5&amp;"*",Kalkulation!$C$6:$C$40)*VLOOKUP($A58,Bestellungen!$6:$1048576,MATCH(Kasse!D$5,Bestellungen!$A$5:$X$5,0),0),"")</f>
        <v/>
      </c>
      <c r="E58" s="26" t="str">
        <f>IF(ISERROR(VLOOKUP($A58,Bestellungen!$6:$1048576,MATCH(Kasse!E$5,Bestellungen!$A$5:$X$5,0),0))=FALSE,SUMIF(Kalkulation!$A$6:$A$40,Kasse!E$5&amp;"*",Kalkulation!$C$6:$C$40)*VLOOKUP($A58,Bestellungen!$6:$1048576,MATCH(Kasse!E$5,Bestellungen!$A$5:$X$5,0),0),"")</f>
        <v/>
      </c>
      <c r="F58" s="26" t="str">
        <f>IF(ISERROR(VLOOKUP($A58,Bestellungen!$6:$1048576,MATCH(Kasse!F$5,Bestellungen!$A$5:$X$5,0),0))=FALSE,SUMIF(Kalkulation!$A$6:$A$40,Kasse!F$5&amp;"*",Kalkulation!$C$6:$C$40)*VLOOKUP($A58,Bestellungen!$6:$1048576,MATCH(Kasse!F$5,Bestellungen!$A$5:$X$5,0),0),"")</f>
        <v/>
      </c>
      <c r="G58" s="26" t="str">
        <f>IF(ISERROR(VLOOKUP($A58,Bestellungen!$6:$1048576,MATCH(Kasse!G$5,Bestellungen!$A$5:$X$5,0),0))=FALSE,SUMIF(Kalkulation!$A$6:$A$40,Kasse!G$5&amp;"*",Kalkulation!$C$6:$C$40)*VLOOKUP($A58,Bestellungen!$6:$1048576,MATCH(Kasse!G$5,Bestellungen!$A$5:$X$5,0),0),"")</f>
        <v/>
      </c>
      <c r="H58" s="26" t="str">
        <f>IF(ISERROR(VLOOKUP($A58,Bestellungen!$6:$1048576,MATCH(Kasse!H$5,Bestellungen!$A$5:$X$5,0),0))=FALSE,SUMIF(Kalkulation!$A$6:$A$40,Kasse!H$5&amp;"*",Kalkulation!$C$6:$C$40)*VLOOKUP($A58,Bestellungen!$6:$1048576,MATCH(Kasse!H$5,Bestellungen!$A$5:$X$5,0),0),"")</f>
        <v/>
      </c>
      <c r="I58" s="26" t="str">
        <f>IF(ISERROR(VLOOKUP($A58,Bestellungen!$6:$1048576,MATCH(Kasse!I$5,Bestellungen!$A$5:$X$5,0),0))=FALSE,SUMIF(Kalkulation!$A$6:$A$40,Kasse!I$5&amp;"*",Kalkulation!$C$6:$C$40)*VLOOKUP($A58,Bestellungen!$6:$1048576,MATCH(Kasse!I$5,Bestellungen!$A$5:$X$5,0),0),"")</f>
        <v/>
      </c>
      <c r="J58" s="26" t="str">
        <f>IF(ISERROR(VLOOKUP($A58,Bestellungen!$6:$1048576,MATCH(Kasse!J$5,Bestellungen!$A$5:$X$5,0),0))=FALSE,SUMIF(Kalkulation!$A$6:$A$40,Kasse!J$5&amp;"*",Kalkulation!$C$6:$C$40)*VLOOKUP($A58,Bestellungen!$6:$1048576,MATCH(Kasse!J$5,Bestellungen!$A$5:$X$5,0),0),"")</f>
        <v/>
      </c>
      <c r="K58" s="26" t="str">
        <f>IF(ISERROR(VLOOKUP($A58,Bestellungen!$6:$1048576,MATCH(Kasse!K$5,Bestellungen!$A$5:$X$5,0),0))=FALSE,SUMIF(Kalkulation!$A$6:$A$40,Kasse!K$5&amp;"*",Kalkulation!$C$6:$C$40)*VLOOKUP($A58,Bestellungen!$6:$1048576,MATCH(Kasse!K$5,Bestellungen!$A$5:$X$5,0),0),"")</f>
        <v/>
      </c>
      <c r="L58" s="26" t="str">
        <f>IF(ISERROR(VLOOKUP($A58,Bestellungen!$6:$1048576,MATCH(Kasse!L$5,Bestellungen!$A$5:$X$5,0),0))=FALSE,SUMIF(Kalkulation!$A$6:$A$40,Kasse!L$5&amp;"*",Kalkulation!$C$6:$C$40)*VLOOKUP($A58,Bestellungen!$6:$1048576,MATCH(Kasse!L$5,Bestellungen!$A$5:$X$5,0),0),"")</f>
        <v/>
      </c>
      <c r="M58" s="26" t="str">
        <f>IF(ISERROR(VLOOKUP($A58,Bestellungen!$6:$1048576,MATCH(Kasse!M$5,Bestellungen!$A$5:$X$5,0),0))=FALSE,SUMIF(Kalkulation!$A$6:$A$40,Kasse!M$5&amp;"*",Kalkulation!$C$6:$C$40)*VLOOKUP($A58,Bestellungen!$6:$1048576,MATCH(Kasse!M$5,Bestellungen!$A$5:$X$5,0),0),"")</f>
        <v/>
      </c>
      <c r="N58" s="26" t="str">
        <f>IF(ISERROR(VLOOKUP($A58,Bestellungen!$6:$1048576,MATCH(Kasse!N$5,Bestellungen!$A$5:$X$5,0),0))=FALSE,SUMIF(Kalkulation!$A$6:$A$40,Kasse!N$5&amp;"*",Kalkulation!$C$6:$C$40)*VLOOKUP($A58,Bestellungen!$6:$1048576,MATCH(Kasse!N$5,Bestellungen!$A$5:$X$5,0),0),"")</f>
        <v/>
      </c>
      <c r="O58" s="26" t="str">
        <f>IF(ISERROR(VLOOKUP($A58,Bestellungen!$6:$1048576,MATCH(Kasse!O$5,Bestellungen!$A$5:$X$5,0),0))=FALSE,SUMIF(Kalkulation!$A$6:$A$40,Kasse!O$5&amp;"*",Kalkulation!$C$6:$C$40)*VLOOKUP($A58,Bestellungen!$6:$1048576,MATCH(Kasse!O$5,Bestellungen!$A$5:$X$5,0),0),"")</f>
        <v/>
      </c>
      <c r="P58" s="26" t="str">
        <f>IF(ISERROR(VLOOKUP($A58,Bestellungen!$6:$1048576,MATCH(Kasse!P$5,Bestellungen!$A$5:$X$5,0),0))=FALSE,SUMIF(Kalkulation!$A$6:$A$40,Kasse!P$5&amp;"*",Kalkulation!$C$6:$C$40)*VLOOKUP($A58,Bestellungen!$6:$1048576,MATCH(Kasse!P$5,Bestellungen!$A$5:$X$5,0),0),"")</f>
        <v/>
      </c>
      <c r="Q58" s="26" t="str">
        <f>IF(ISERROR(VLOOKUP($A58,Bestellungen!$6:$1048576,MATCH(Kasse!Q$5,Bestellungen!$A$5:$X$5,0),0))=FALSE,SUMIF(Kalkulation!$A$6:$A$40,Kasse!Q$5&amp;"*",Kalkulation!$C$6:$C$40)*VLOOKUP($A58,Bestellungen!$6:$1048576,MATCH(Kasse!Q$5,Bestellungen!$A$5:$X$5,0),0),"")</f>
        <v/>
      </c>
      <c r="R58" s="26" t="str">
        <f>IF(ISERROR(VLOOKUP($A58,Bestellungen!$6:$1048576,MATCH(Kasse!R$5,Bestellungen!$A$5:$X$5,0),0))=FALSE,SUMIF(Kalkulation!$A$6:$A$40,Kasse!R$5&amp;"*",Kalkulation!$C$6:$C$40)*VLOOKUP($A58,Bestellungen!$6:$1048576,MATCH(Kasse!R$5,Bestellungen!$A$5:$X$5,0),0),"")</f>
        <v/>
      </c>
      <c r="S58" s="26" t="str">
        <f>IF(ISERROR(VLOOKUP($A58,Bestellungen!$6:$1048576,MATCH(Kasse!S$5,Bestellungen!$A$5:$X$5,0),0))=FALSE,SUMIF(Kalkulation!$A$6:$A$40,Kasse!S$5&amp;"*",Kalkulation!$C$6:$C$40)*VLOOKUP($A58,Bestellungen!$6:$1048576,MATCH(Kasse!S$5,Bestellungen!$A$5:$X$5,0),0),"")</f>
        <v/>
      </c>
      <c r="T58" s="26" t="str">
        <f>IF(ISERROR(VLOOKUP($A58,Bestellungen!$6:$1048576,MATCH(Kasse!T$5,Bestellungen!$A$5:$X$5,0),0))=FALSE,SUMIF(Kalkulation!$A$6:$A$40,Kasse!T$5&amp;"*",Kalkulation!$C$6:$C$40)*VLOOKUP($A58,Bestellungen!$6:$1048576,MATCH(Kasse!T$5,Bestellungen!$A$5:$X$5,0),0),"")</f>
        <v/>
      </c>
      <c r="U58" s="26" t="str">
        <f t="shared" si="0"/>
        <v/>
      </c>
      <c r="W58" s="26" t="str">
        <f t="shared" si="1"/>
        <v/>
      </c>
      <c r="X58" s="26"/>
      <c r="Y58" s="26"/>
      <c r="Z58" s="26"/>
      <c r="AA58" s="26"/>
    </row>
    <row r="59" spans="1:27" x14ac:dyDescent="0.25">
      <c r="A59" t="str">
        <f>IF(LEN(Bestellungen!$A59)&gt;0,Bestellungen!$A59,"")</f>
        <v/>
      </c>
      <c r="B59" s="26" t="str">
        <f>IF(ISERROR(VLOOKUP($A59,Bestellungen!$6:$1048576,MATCH(Kasse!B$5,Bestellungen!$A$5:$X$5,0),0))=FALSE,SUMIF(Kalkulation!$A$6:$A$40,Kasse!B$5&amp;"*",Kalkulation!$C$6:$C$40)*VLOOKUP($A59,Bestellungen!$6:$1048576,MATCH(Kasse!B$5,Bestellungen!$A$5:$X$5,0),0),"")</f>
        <v/>
      </c>
      <c r="C59" s="26" t="str">
        <f>IF(ISERROR(VLOOKUP($A59,Bestellungen!$6:$1048576,MATCH(Kasse!C$5,Bestellungen!$A$5:$X$5,0),0))=FALSE,SUMIF(Kalkulation!$A$6:$A$40,Kasse!C$5&amp;"*",Kalkulation!$C$6:$C$40)*VLOOKUP($A59,Bestellungen!$6:$1048576,MATCH(Kasse!C$5,Bestellungen!$A$5:$X$5,0),0),"")</f>
        <v/>
      </c>
      <c r="D59" s="26" t="str">
        <f>IF(ISERROR(VLOOKUP($A59,Bestellungen!$6:$1048576,MATCH(Kasse!D$5,Bestellungen!$A$5:$X$5,0),0))=FALSE,SUMIF(Kalkulation!$A$6:$A$40,Kasse!D$5&amp;"*",Kalkulation!$C$6:$C$40)*VLOOKUP($A59,Bestellungen!$6:$1048576,MATCH(Kasse!D$5,Bestellungen!$A$5:$X$5,0),0),"")</f>
        <v/>
      </c>
      <c r="E59" s="26" t="str">
        <f>IF(ISERROR(VLOOKUP($A59,Bestellungen!$6:$1048576,MATCH(Kasse!E$5,Bestellungen!$A$5:$X$5,0),0))=FALSE,SUMIF(Kalkulation!$A$6:$A$40,Kasse!E$5&amp;"*",Kalkulation!$C$6:$C$40)*VLOOKUP($A59,Bestellungen!$6:$1048576,MATCH(Kasse!E$5,Bestellungen!$A$5:$X$5,0),0),"")</f>
        <v/>
      </c>
      <c r="F59" s="26" t="str">
        <f>IF(ISERROR(VLOOKUP($A59,Bestellungen!$6:$1048576,MATCH(Kasse!F$5,Bestellungen!$A$5:$X$5,0),0))=FALSE,SUMIF(Kalkulation!$A$6:$A$40,Kasse!F$5&amp;"*",Kalkulation!$C$6:$C$40)*VLOOKUP($A59,Bestellungen!$6:$1048576,MATCH(Kasse!F$5,Bestellungen!$A$5:$X$5,0),0),"")</f>
        <v/>
      </c>
      <c r="G59" s="26" t="str">
        <f>IF(ISERROR(VLOOKUP($A59,Bestellungen!$6:$1048576,MATCH(Kasse!G$5,Bestellungen!$A$5:$X$5,0),0))=FALSE,SUMIF(Kalkulation!$A$6:$A$40,Kasse!G$5&amp;"*",Kalkulation!$C$6:$C$40)*VLOOKUP($A59,Bestellungen!$6:$1048576,MATCH(Kasse!G$5,Bestellungen!$A$5:$X$5,0),0),"")</f>
        <v/>
      </c>
      <c r="H59" s="26" t="str">
        <f>IF(ISERROR(VLOOKUP($A59,Bestellungen!$6:$1048576,MATCH(Kasse!H$5,Bestellungen!$A$5:$X$5,0),0))=FALSE,SUMIF(Kalkulation!$A$6:$A$40,Kasse!H$5&amp;"*",Kalkulation!$C$6:$C$40)*VLOOKUP($A59,Bestellungen!$6:$1048576,MATCH(Kasse!H$5,Bestellungen!$A$5:$X$5,0),0),"")</f>
        <v/>
      </c>
      <c r="I59" s="26" t="str">
        <f>IF(ISERROR(VLOOKUP($A59,Bestellungen!$6:$1048576,MATCH(Kasse!I$5,Bestellungen!$A$5:$X$5,0),0))=FALSE,SUMIF(Kalkulation!$A$6:$A$40,Kasse!I$5&amp;"*",Kalkulation!$C$6:$C$40)*VLOOKUP($A59,Bestellungen!$6:$1048576,MATCH(Kasse!I$5,Bestellungen!$A$5:$X$5,0),0),"")</f>
        <v/>
      </c>
      <c r="J59" s="26" t="str">
        <f>IF(ISERROR(VLOOKUP($A59,Bestellungen!$6:$1048576,MATCH(Kasse!J$5,Bestellungen!$A$5:$X$5,0),0))=FALSE,SUMIF(Kalkulation!$A$6:$A$40,Kasse!J$5&amp;"*",Kalkulation!$C$6:$C$40)*VLOOKUP($A59,Bestellungen!$6:$1048576,MATCH(Kasse!J$5,Bestellungen!$A$5:$X$5,0),0),"")</f>
        <v/>
      </c>
      <c r="K59" s="26" t="str">
        <f>IF(ISERROR(VLOOKUP($A59,Bestellungen!$6:$1048576,MATCH(Kasse!K$5,Bestellungen!$A$5:$X$5,0),0))=FALSE,SUMIF(Kalkulation!$A$6:$A$40,Kasse!K$5&amp;"*",Kalkulation!$C$6:$C$40)*VLOOKUP($A59,Bestellungen!$6:$1048576,MATCH(Kasse!K$5,Bestellungen!$A$5:$X$5,0),0),"")</f>
        <v/>
      </c>
      <c r="L59" s="26" t="str">
        <f>IF(ISERROR(VLOOKUP($A59,Bestellungen!$6:$1048576,MATCH(Kasse!L$5,Bestellungen!$A$5:$X$5,0),0))=FALSE,SUMIF(Kalkulation!$A$6:$A$40,Kasse!L$5&amp;"*",Kalkulation!$C$6:$C$40)*VLOOKUP($A59,Bestellungen!$6:$1048576,MATCH(Kasse!L$5,Bestellungen!$A$5:$X$5,0),0),"")</f>
        <v/>
      </c>
      <c r="M59" s="26" t="str">
        <f>IF(ISERROR(VLOOKUP($A59,Bestellungen!$6:$1048576,MATCH(Kasse!M$5,Bestellungen!$A$5:$X$5,0),0))=FALSE,SUMIF(Kalkulation!$A$6:$A$40,Kasse!M$5&amp;"*",Kalkulation!$C$6:$C$40)*VLOOKUP($A59,Bestellungen!$6:$1048576,MATCH(Kasse!M$5,Bestellungen!$A$5:$X$5,0),0),"")</f>
        <v/>
      </c>
      <c r="N59" s="26" t="str">
        <f>IF(ISERROR(VLOOKUP($A59,Bestellungen!$6:$1048576,MATCH(Kasse!N$5,Bestellungen!$A$5:$X$5,0),0))=FALSE,SUMIF(Kalkulation!$A$6:$A$40,Kasse!N$5&amp;"*",Kalkulation!$C$6:$C$40)*VLOOKUP($A59,Bestellungen!$6:$1048576,MATCH(Kasse!N$5,Bestellungen!$A$5:$X$5,0),0),"")</f>
        <v/>
      </c>
      <c r="O59" s="26" t="str">
        <f>IF(ISERROR(VLOOKUP($A59,Bestellungen!$6:$1048576,MATCH(Kasse!O$5,Bestellungen!$A$5:$X$5,0),0))=FALSE,SUMIF(Kalkulation!$A$6:$A$40,Kasse!O$5&amp;"*",Kalkulation!$C$6:$C$40)*VLOOKUP($A59,Bestellungen!$6:$1048576,MATCH(Kasse!O$5,Bestellungen!$A$5:$X$5,0),0),"")</f>
        <v/>
      </c>
      <c r="P59" s="26" t="str">
        <f>IF(ISERROR(VLOOKUP($A59,Bestellungen!$6:$1048576,MATCH(Kasse!P$5,Bestellungen!$A$5:$X$5,0),0))=FALSE,SUMIF(Kalkulation!$A$6:$A$40,Kasse!P$5&amp;"*",Kalkulation!$C$6:$C$40)*VLOOKUP($A59,Bestellungen!$6:$1048576,MATCH(Kasse!P$5,Bestellungen!$A$5:$X$5,0),0),"")</f>
        <v/>
      </c>
      <c r="Q59" s="26" t="str">
        <f>IF(ISERROR(VLOOKUP($A59,Bestellungen!$6:$1048576,MATCH(Kasse!Q$5,Bestellungen!$A$5:$X$5,0),0))=FALSE,SUMIF(Kalkulation!$A$6:$A$40,Kasse!Q$5&amp;"*",Kalkulation!$C$6:$C$40)*VLOOKUP($A59,Bestellungen!$6:$1048576,MATCH(Kasse!Q$5,Bestellungen!$A$5:$X$5,0),0),"")</f>
        <v/>
      </c>
      <c r="R59" s="26" t="str">
        <f>IF(ISERROR(VLOOKUP($A59,Bestellungen!$6:$1048576,MATCH(Kasse!R$5,Bestellungen!$A$5:$X$5,0),0))=FALSE,SUMIF(Kalkulation!$A$6:$A$40,Kasse!R$5&amp;"*",Kalkulation!$C$6:$C$40)*VLOOKUP($A59,Bestellungen!$6:$1048576,MATCH(Kasse!R$5,Bestellungen!$A$5:$X$5,0),0),"")</f>
        <v/>
      </c>
      <c r="S59" s="26" t="str">
        <f>IF(ISERROR(VLOOKUP($A59,Bestellungen!$6:$1048576,MATCH(Kasse!S$5,Bestellungen!$A$5:$X$5,0),0))=FALSE,SUMIF(Kalkulation!$A$6:$A$40,Kasse!S$5&amp;"*",Kalkulation!$C$6:$C$40)*VLOOKUP($A59,Bestellungen!$6:$1048576,MATCH(Kasse!S$5,Bestellungen!$A$5:$X$5,0),0),"")</f>
        <v/>
      </c>
      <c r="T59" s="26" t="str">
        <f>IF(ISERROR(VLOOKUP($A59,Bestellungen!$6:$1048576,MATCH(Kasse!T$5,Bestellungen!$A$5:$X$5,0),0))=FALSE,SUMIF(Kalkulation!$A$6:$A$40,Kasse!T$5&amp;"*",Kalkulation!$C$6:$C$40)*VLOOKUP($A59,Bestellungen!$6:$1048576,MATCH(Kasse!T$5,Bestellungen!$A$5:$X$5,0),0),"")</f>
        <v/>
      </c>
      <c r="U59" s="26" t="str">
        <f t="shared" si="0"/>
        <v/>
      </c>
      <c r="W59" s="26" t="str">
        <f t="shared" si="1"/>
        <v/>
      </c>
      <c r="X59" s="26"/>
      <c r="Y59" s="26"/>
      <c r="Z59" s="26"/>
      <c r="AA59" s="26"/>
    </row>
    <row r="60" spans="1:27" x14ac:dyDescent="0.25">
      <c r="A60" t="str">
        <f>IF(LEN(Bestellungen!$A60)&gt;0,Bestellungen!$A60,"")</f>
        <v/>
      </c>
      <c r="B60" s="26" t="str">
        <f>IF(ISERROR(VLOOKUP($A60,Bestellungen!$6:$1048576,MATCH(Kasse!B$5,Bestellungen!$A$5:$X$5,0),0))=FALSE,SUMIF(Kalkulation!$A$6:$A$40,Kasse!B$5&amp;"*",Kalkulation!$C$6:$C$40)*VLOOKUP($A60,Bestellungen!$6:$1048576,MATCH(Kasse!B$5,Bestellungen!$A$5:$X$5,0),0),"")</f>
        <v/>
      </c>
      <c r="C60" s="26" t="str">
        <f>IF(ISERROR(VLOOKUP($A60,Bestellungen!$6:$1048576,MATCH(Kasse!C$5,Bestellungen!$A$5:$X$5,0),0))=FALSE,SUMIF(Kalkulation!$A$6:$A$40,Kasse!C$5&amp;"*",Kalkulation!$C$6:$C$40)*VLOOKUP($A60,Bestellungen!$6:$1048576,MATCH(Kasse!C$5,Bestellungen!$A$5:$X$5,0),0),"")</f>
        <v/>
      </c>
      <c r="D60" s="26" t="str">
        <f>IF(ISERROR(VLOOKUP($A60,Bestellungen!$6:$1048576,MATCH(Kasse!D$5,Bestellungen!$A$5:$X$5,0),0))=FALSE,SUMIF(Kalkulation!$A$6:$A$40,Kasse!D$5&amp;"*",Kalkulation!$C$6:$C$40)*VLOOKUP($A60,Bestellungen!$6:$1048576,MATCH(Kasse!D$5,Bestellungen!$A$5:$X$5,0),0),"")</f>
        <v/>
      </c>
      <c r="E60" s="26" t="str">
        <f>IF(ISERROR(VLOOKUP($A60,Bestellungen!$6:$1048576,MATCH(Kasse!E$5,Bestellungen!$A$5:$X$5,0),0))=FALSE,SUMIF(Kalkulation!$A$6:$A$40,Kasse!E$5&amp;"*",Kalkulation!$C$6:$C$40)*VLOOKUP($A60,Bestellungen!$6:$1048576,MATCH(Kasse!E$5,Bestellungen!$A$5:$X$5,0),0),"")</f>
        <v/>
      </c>
      <c r="F60" s="26" t="str">
        <f>IF(ISERROR(VLOOKUP($A60,Bestellungen!$6:$1048576,MATCH(Kasse!F$5,Bestellungen!$A$5:$X$5,0),0))=FALSE,SUMIF(Kalkulation!$A$6:$A$40,Kasse!F$5&amp;"*",Kalkulation!$C$6:$C$40)*VLOOKUP($A60,Bestellungen!$6:$1048576,MATCH(Kasse!F$5,Bestellungen!$A$5:$X$5,0),0),"")</f>
        <v/>
      </c>
      <c r="G60" s="26" t="str">
        <f>IF(ISERROR(VLOOKUP($A60,Bestellungen!$6:$1048576,MATCH(Kasse!G$5,Bestellungen!$A$5:$X$5,0),0))=FALSE,SUMIF(Kalkulation!$A$6:$A$40,Kasse!G$5&amp;"*",Kalkulation!$C$6:$C$40)*VLOOKUP($A60,Bestellungen!$6:$1048576,MATCH(Kasse!G$5,Bestellungen!$A$5:$X$5,0),0),"")</f>
        <v/>
      </c>
      <c r="H60" s="26" t="str">
        <f>IF(ISERROR(VLOOKUP($A60,Bestellungen!$6:$1048576,MATCH(Kasse!H$5,Bestellungen!$A$5:$X$5,0),0))=FALSE,SUMIF(Kalkulation!$A$6:$A$40,Kasse!H$5&amp;"*",Kalkulation!$C$6:$C$40)*VLOOKUP($A60,Bestellungen!$6:$1048576,MATCH(Kasse!H$5,Bestellungen!$A$5:$X$5,0),0),"")</f>
        <v/>
      </c>
      <c r="I60" s="26" t="str">
        <f>IF(ISERROR(VLOOKUP($A60,Bestellungen!$6:$1048576,MATCH(Kasse!I$5,Bestellungen!$A$5:$X$5,0),0))=FALSE,SUMIF(Kalkulation!$A$6:$A$40,Kasse!I$5&amp;"*",Kalkulation!$C$6:$C$40)*VLOOKUP($A60,Bestellungen!$6:$1048576,MATCH(Kasse!I$5,Bestellungen!$A$5:$X$5,0),0),"")</f>
        <v/>
      </c>
      <c r="J60" s="26" t="str">
        <f>IF(ISERROR(VLOOKUP($A60,Bestellungen!$6:$1048576,MATCH(Kasse!J$5,Bestellungen!$A$5:$X$5,0),0))=FALSE,SUMIF(Kalkulation!$A$6:$A$40,Kasse!J$5&amp;"*",Kalkulation!$C$6:$C$40)*VLOOKUP($A60,Bestellungen!$6:$1048576,MATCH(Kasse!J$5,Bestellungen!$A$5:$X$5,0),0),"")</f>
        <v/>
      </c>
      <c r="K60" s="26" t="str">
        <f>IF(ISERROR(VLOOKUP($A60,Bestellungen!$6:$1048576,MATCH(Kasse!K$5,Bestellungen!$A$5:$X$5,0),0))=FALSE,SUMIF(Kalkulation!$A$6:$A$40,Kasse!K$5&amp;"*",Kalkulation!$C$6:$C$40)*VLOOKUP($A60,Bestellungen!$6:$1048576,MATCH(Kasse!K$5,Bestellungen!$A$5:$X$5,0),0),"")</f>
        <v/>
      </c>
      <c r="L60" s="26" t="str">
        <f>IF(ISERROR(VLOOKUP($A60,Bestellungen!$6:$1048576,MATCH(Kasse!L$5,Bestellungen!$A$5:$X$5,0),0))=FALSE,SUMIF(Kalkulation!$A$6:$A$40,Kasse!L$5&amp;"*",Kalkulation!$C$6:$C$40)*VLOOKUP($A60,Bestellungen!$6:$1048576,MATCH(Kasse!L$5,Bestellungen!$A$5:$X$5,0),0),"")</f>
        <v/>
      </c>
      <c r="M60" s="26" t="str">
        <f>IF(ISERROR(VLOOKUP($A60,Bestellungen!$6:$1048576,MATCH(Kasse!M$5,Bestellungen!$A$5:$X$5,0),0))=FALSE,SUMIF(Kalkulation!$A$6:$A$40,Kasse!M$5&amp;"*",Kalkulation!$C$6:$C$40)*VLOOKUP($A60,Bestellungen!$6:$1048576,MATCH(Kasse!M$5,Bestellungen!$A$5:$X$5,0),0),"")</f>
        <v/>
      </c>
      <c r="N60" s="26" t="str">
        <f>IF(ISERROR(VLOOKUP($A60,Bestellungen!$6:$1048576,MATCH(Kasse!N$5,Bestellungen!$A$5:$X$5,0),0))=FALSE,SUMIF(Kalkulation!$A$6:$A$40,Kasse!N$5&amp;"*",Kalkulation!$C$6:$C$40)*VLOOKUP($A60,Bestellungen!$6:$1048576,MATCH(Kasse!N$5,Bestellungen!$A$5:$X$5,0),0),"")</f>
        <v/>
      </c>
      <c r="O60" s="26" t="str">
        <f>IF(ISERROR(VLOOKUP($A60,Bestellungen!$6:$1048576,MATCH(Kasse!O$5,Bestellungen!$A$5:$X$5,0),0))=FALSE,SUMIF(Kalkulation!$A$6:$A$40,Kasse!O$5&amp;"*",Kalkulation!$C$6:$C$40)*VLOOKUP($A60,Bestellungen!$6:$1048576,MATCH(Kasse!O$5,Bestellungen!$A$5:$X$5,0),0),"")</f>
        <v/>
      </c>
      <c r="P60" s="26" t="str">
        <f>IF(ISERROR(VLOOKUP($A60,Bestellungen!$6:$1048576,MATCH(Kasse!P$5,Bestellungen!$A$5:$X$5,0),0))=FALSE,SUMIF(Kalkulation!$A$6:$A$40,Kasse!P$5&amp;"*",Kalkulation!$C$6:$C$40)*VLOOKUP($A60,Bestellungen!$6:$1048576,MATCH(Kasse!P$5,Bestellungen!$A$5:$X$5,0),0),"")</f>
        <v/>
      </c>
      <c r="Q60" s="26" t="str">
        <f>IF(ISERROR(VLOOKUP($A60,Bestellungen!$6:$1048576,MATCH(Kasse!Q$5,Bestellungen!$A$5:$X$5,0),0))=FALSE,SUMIF(Kalkulation!$A$6:$A$40,Kasse!Q$5&amp;"*",Kalkulation!$C$6:$C$40)*VLOOKUP($A60,Bestellungen!$6:$1048576,MATCH(Kasse!Q$5,Bestellungen!$A$5:$X$5,0),0),"")</f>
        <v/>
      </c>
      <c r="R60" s="26" t="str">
        <f>IF(ISERROR(VLOOKUP($A60,Bestellungen!$6:$1048576,MATCH(Kasse!R$5,Bestellungen!$A$5:$X$5,0),0))=FALSE,SUMIF(Kalkulation!$A$6:$A$40,Kasse!R$5&amp;"*",Kalkulation!$C$6:$C$40)*VLOOKUP($A60,Bestellungen!$6:$1048576,MATCH(Kasse!R$5,Bestellungen!$A$5:$X$5,0),0),"")</f>
        <v/>
      </c>
      <c r="S60" s="26" t="str">
        <f>IF(ISERROR(VLOOKUP($A60,Bestellungen!$6:$1048576,MATCH(Kasse!S$5,Bestellungen!$A$5:$X$5,0),0))=FALSE,SUMIF(Kalkulation!$A$6:$A$40,Kasse!S$5&amp;"*",Kalkulation!$C$6:$C$40)*VLOOKUP($A60,Bestellungen!$6:$1048576,MATCH(Kasse!S$5,Bestellungen!$A$5:$X$5,0),0),"")</f>
        <v/>
      </c>
      <c r="T60" s="26" t="str">
        <f>IF(ISERROR(VLOOKUP($A60,Bestellungen!$6:$1048576,MATCH(Kasse!T$5,Bestellungen!$A$5:$X$5,0),0))=FALSE,SUMIF(Kalkulation!$A$6:$A$40,Kasse!T$5&amp;"*",Kalkulation!$C$6:$C$40)*VLOOKUP($A60,Bestellungen!$6:$1048576,MATCH(Kasse!T$5,Bestellungen!$A$5:$X$5,0),0),"")</f>
        <v/>
      </c>
      <c r="U60" s="26" t="str">
        <f t="shared" si="0"/>
        <v/>
      </c>
      <c r="W60" s="26" t="str">
        <f t="shared" si="1"/>
        <v/>
      </c>
      <c r="X60" s="26"/>
      <c r="Y60" s="26"/>
      <c r="Z60" s="26"/>
      <c r="AA60" s="26"/>
    </row>
    <row r="61" spans="1:27" x14ac:dyDescent="0.25">
      <c r="A61" t="str">
        <f>IF(LEN(Bestellungen!$A61)&gt;0,Bestellungen!$A61,"")</f>
        <v/>
      </c>
      <c r="B61" s="26" t="str">
        <f>IF(ISERROR(VLOOKUP($A61,Bestellungen!$6:$1048576,MATCH(Kasse!B$5,Bestellungen!$A$5:$X$5,0),0))=FALSE,SUMIF(Kalkulation!$A$6:$A$40,Kasse!B$5&amp;"*",Kalkulation!$C$6:$C$40)*VLOOKUP($A61,Bestellungen!$6:$1048576,MATCH(Kasse!B$5,Bestellungen!$A$5:$X$5,0),0),"")</f>
        <v/>
      </c>
      <c r="C61" s="26" t="str">
        <f>IF(ISERROR(VLOOKUP($A61,Bestellungen!$6:$1048576,MATCH(Kasse!C$5,Bestellungen!$A$5:$X$5,0),0))=FALSE,SUMIF(Kalkulation!$A$6:$A$40,Kasse!C$5&amp;"*",Kalkulation!$C$6:$C$40)*VLOOKUP($A61,Bestellungen!$6:$1048576,MATCH(Kasse!C$5,Bestellungen!$A$5:$X$5,0),0),"")</f>
        <v/>
      </c>
      <c r="D61" s="26" t="str">
        <f>IF(ISERROR(VLOOKUP($A61,Bestellungen!$6:$1048576,MATCH(Kasse!D$5,Bestellungen!$A$5:$X$5,0),0))=FALSE,SUMIF(Kalkulation!$A$6:$A$40,Kasse!D$5&amp;"*",Kalkulation!$C$6:$C$40)*VLOOKUP($A61,Bestellungen!$6:$1048576,MATCH(Kasse!D$5,Bestellungen!$A$5:$X$5,0),0),"")</f>
        <v/>
      </c>
      <c r="E61" s="26" t="str">
        <f>IF(ISERROR(VLOOKUP($A61,Bestellungen!$6:$1048576,MATCH(Kasse!E$5,Bestellungen!$A$5:$X$5,0),0))=FALSE,SUMIF(Kalkulation!$A$6:$A$40,Kasse!E$5&amp;"*",Kalkulation!$C$6:$C$40)*VLOOKUP($A61,Bestellungen!$6:$1048576,MATCH(Kasse!E$5,Bestellungen!$A$5:$X$5,0),0),"")</f>
        <v/>
      </c>
      <c r="F61" s="26" t="str">
        <f>IF(ISERROR(VLOOKUP($A61,Bestellungen!$6:$1048576,MATCH(Kasse!F$5,Bestellungen!$A$5:$X$5,0),0))=FALSE,SUMIF(Kalkulation!$A$6:$A$40,Kasse!F$5&amp;"*",Kalkulation!$C$6:$C$40)*VLOOKUP($A61,Bestellungen!$6:$1048576,MATCH(Kasse!F$5,Bestellungen!$A$5:$X$5,0),0),"")</f>
        <v/>
      </c>
      <c r="G61" s="26" t="str">
        <f>IF(ISERROR(VLOOKUP($A61,Bestellungen!$6:$1048576,MATCH(Kasse!G$5,Bestellungen!$A$5:$X$5,0),0))=FALSE,SUMIF(Kalkulation!$A$6:$A$40,Kasse!G$5&amp;"*",Kalkulation!$C$6:$C$40)*VLOOKUP($A61,Bestellungen!$6:$1048576,MATCH(Kasse!G$5,Bestellungen!$A$5:$X$5,0),0),"")</f>
        <v/>
      </c>
      <c r="H61" s="26" t="str">
        <f>IF(ISERROR(VLOOKUP($A61,Bestellungen!$6:$1048576,MATCH(Kasse!H$5,Bestellungen!$A$5:$X$5,0),0))=FALSE,SUMIF(Kalkulation!$A$6:$A$40,Kasse!H$5&amp;"*",Kalkulation!$C$6:$C$40)*VLOOKUP($A61,Bestellungen!$6:$1048576,MATCH(Kasse!H$5,Bestellungen!$A$5:$X$5,0),0),"")</f>
        <v/>
      </c>
      <c r="I61" s="26" t="str">
        <f>IF(ISERROR(VLOOKUP($A61,Bestellungen!$6:$1048576,MATCH(Kasse!I$5,Bestellungen!$A$5:$X$5,0),0))=FALSE,SUMIF(Kalkulation!$A$6:$A$40,Kasse!I$5&amp;"*",Kalkulation!$C$6:$C$40)*VLOOKUP($A61,Bestellungen!$6:$1048576,MATCH(Kasse!I$5,Bestellungen!$A$5:$X$5,0),0),"")</f>
        <v/>
      </c>
      <c r="J61" s="26" t="str">
        <f>IF(ISERROR(VLOOKUP($A61,Bestellungen!$6:$1048576,MATCH(Kasse!J$5,Bestellungen!$A$5:$X$5,0),0))=FALSE,SUMIF(Kalkulation!$A$6:$A$40,Kasse!J$5&amp;"*",Kalkulation!$C$6:$C$40)*VLOOKUP($A61,Bestellungen!$6:$1048576,MATCH(Kasse!J$5,Bestellungen!$A$5:$X$5,0),0),"")</f>
        <v/>
      </c>
      <c r="K61" s="26" t="str">
        <f>IF(ISERROR(VLOOKUP($A61,Bestellungen!$6:$1048576,MATCH(Kasse!K$5,Bestellungen!$A$5:$X$5,0),0))=FALSE,SUMIF(Kalkulation!$A$6:$A$40,Kasse!K$5&amp;"*",Kalkulation!$C$6:$C$40)*VLOOKUP($A61,Bestellungen!$6:$1048576,MATCH(Kasse!K$5,Bestellungen!$A$5:$X$5,0),0),"")</f>
        <v/>
      </c>
      <c r="L61" s="26" t="str">
        <f>IF(ISERROR(VLOOKUP($A61,Bestellungen!$6:$1048576,MATCH(Kasse!L$5,Bestellungen!$A$5:$X$5,0),0))=FALSE,SUMIF(Kalkulation!$A$6:$A$40,Kasse!L$5&amp;"*",Kalkulation!$C$6:$C$40)*VLOOKUP($A61,Bestellungen!$6:$1048576,MATCH(Kasse!L$5,Bestellungen!$A$5:$X$5,0),0),"")</f>
        <v/>
      </c>
      <c r="M61" s="26" t="str">
        <f>IF(ISERROR(VLOOKUP($A61,Bestellungen!$6:$1048576,MATCH(Kasse!M$5,Bestellungen!$A$5:$X$5,0),0))=FALSE,SUMIF(Kalkulation!$A$6:$A$40,Kasse!M$5&amp;"*",Kalkulation!$C$6:$C$40)*VLOOKUP($A61,Bestellungen!$6:$1048576,MATCH(Kasse!M$5,Bestellungen!$A$5:$X$5,0),0),"")</f>
        <v/>
      </c>
      <c r="N61" s="26" t="str">
        <f>IF(ISERROR(VLOOKUP($A61,Bestellungen!$6:$1048576,MATCH(Kasse!N$5,Bestellungen!$A$5:$X$5,0),0))=FALSE,SUMIF(Kalkulation!$A$6:$A$40,Kasse!N$5&amp;"*",Kalkulation!$C$6:$C$40)*VLOOKUP($A61,Bestellungen!$6:$1048576,MATCH(Kasse!N$5,Bestellungen!$A$5:$X$5,0),0),"")</f>
        <v/>
      </c>
      <c r="O61" s="26" t="str">
        <f>IF(ISERROR(VLOOKUP($A61,Bestellungen!$6:$1048576,MATCH(Kasse!O$5,Bestellungen!$A$5:$X$5,0),0))=FALSE,SUMIF(Kalkulation!$A$6:$A$40,Kasse!O$5&amp;"*",Kalkulation!$C$6:$C$40)*VLOOKUP($A61,Bestellungen!$6:$1048576,MATCH(Kasse!O$5,Bestellungen!$A$5:$X$5,0),0),"")</f>
        <v/>
      </c>
      <c r="P61" s="26" t="str">
        <f>IF(ISERROR(VLOOKUP($A61,Bestellungen!$6:$1048576,MATCH(Kasse!P$5,Bestellungen!$A$5:$X$5,0),0))=FALSE,SUMIF(Kalkulation!$A$6:$A$40,Kasse!P$5&amp;"*",Kalkulation!$C$6:$C$40)*VLOOKUP($A61,Bestellungen!$6:$1048576,MATCH(Kasse!P$5,Bestellungen!$A$5:$X$5,0),0),"")</f>
        <v/>
      </c>
      <c r="Q61" s="26" t="str">
        <f>IF(ISERROR(VLOOKUP($A61,Bestellungen!$6:$1048576,MATCH(Kasse!Q$5,Bestellungen!$A$5:$X$5,0),0))=FALSE,SUMIF(Kalkulation!$A$6:$A$40,Kasse!Q$5&amp;"*",Kalkulation!$C$6:$C$40)*VLOOKUP($A61,Bestellungen!$6:$1048576,MATCH(Kasse!Q$5,Bestellungen!$A$5:$X$5,0),0),"")</f>
        <v/>
      </c>
      <c r="R61" s="26" t="str">
        <f>IF(ISERROR(VLOOKUP($A61,Bestellungen!$6:$1048576,MATCH(Kasse!R$5,Bestellungen!$A$5:$X$5,0),0))=FALSE,SUMIF(Kalkulation!$A$6:$A$40,Kasse!R$5&amp;"*",Kalkulation!$C$6:$C$40)*VLOOKUP($A61,Bestellungen!$6:$1048576,MATCH(Kasse!R$5,Bestellungen!$A$5:$X$5,0),0),"")</f>
        <v/>
      </c>
      <c r="S61" s="26" t="str">
        <f>IF(ISERROR(VLOOKUP($A61,Bestellungen!$6:$1048576,MATCH(Kasse!S$5,Bestellungen!$A$5:$X$5,0),0))=FALSE,SUMIF(Kalkulation!$A$6:$A$40,Kasse!S$5&amp;"*",Kalkulation!$C$6:$C$40)*VLOOKUP($A61,Bestellungen!$6:$1048576,MATCH(Kasse!S$5,Bestellungen!$A$5:$X$5,0),0),"")</f>
        <v/>
      </c>
      <c r="T61" s="26" t="str">
        <f>IF(ISERROR(VLOOKUP($A61,Bestellungen!$6:$1048576,MATCH(Kasse!T$5,Bestellungen!$A$5:$X$5,0),0))=FALSE,SUMIF(Kalkulation!$A$6:$A$40,Kasse!T$5&amp;"*",Kalkulation!$C$6:$C$40)*VLOOKUP($A61,Bestellungen!$6:$1048576,MATCH(Kasse!T$5,Bestellungen!$A$5:$X$5,0),0),"")</f>
        <v/>
      </c>
      <c r="U61" s="26" t="str">
        <f t="shared" si="0"/>
        <v/>
      </c>
      <c r="W61" s="26" t="str">
        <f t="shared" si="1"/>
        <v/>
      </c>
      <c r="X61" s="26"/>
      <c r="Y61" s="26"/>
      <c r="Z61" s="26"/>
      <c r="AA61" s="26"/>
    </row>
    <row r="62" spans="1:27" x14ac:dyDescent="0.25">
      <c r="A62" t="str">
        <f>IF(LEN(Bestellungen!$A62)&gt;0,Bestellungen!$A62,"")</f>
        <v/>
      </c>
      <c r="B62" s="26" t="str">
        <f>IF(ISERROR(VLOOKUP($A62,Bestellungen!$6:$1048576,MATCH(Kasse!B$5,Bestellungen!$A$5:$X$5,0),0))=FALSE,SUMIF(Kalkulation!$A$6:$A$40,Kasse!B$5&amp;"*",Kalkulation!$C$6:$C$40)*VLOOKUP($A62,Bestellungen!$6:$1048576,MATCH(Kasse!B$5,Bestellungen!$A$5:$X$5,0),0),"")</f>
        <v/>
      </c>
      <c r="C62" s="26" t="str">
        <f>IF(ISERROR(VLOOKUP($A62,Bestellungen!$6:$1048576,MATCH(Kasse!C$5,Bestellungen!$A$5:$X$5,0),0))=FALSE,SUMIF(Kalkulation!$A$6:$A$40,Kasse!C$5&amp;"*",Kalkulation!$C$6:$C$40)*VLOOKUP($A62,Bestellungen!$6:$1048576,MATCH(Kasse!C$5,Bestellungen!$A$5:$X$5,0),0),"")</f>
        <v/>
      </c>
      <c r="D62" s="26" t="str">
        <f>IF(ISERROR(VLOOKUP($A62,Bestellungen!$6:$1048576,MATCH(Kasse!D$5,Bestellungen!$A$5:$X$5,0),0))=FALSE,SUMIF(Kalkulation!$A$6:$A$40,Kasse!D$5&amp;"*",Kalkulation!$C$6:$C$40)*VLOOKUP($A62,Bestellungen!$6:$1048576,MATCH(Kasse!D$5,Bestellungen!$A$5:$X$5,0),0),"")</f>
        <v/>
      </c>
      <c r="E62" s="26" t="str">
        <f>IF(ISERROR(VLOOKUP($A62,Bestellungen!$6:$1048576,MATCH(Kasse!E$5,Bestellungen!$A$5:$X$5,0),0))=FALSE,SUMIF(Kalkulation!$A$6:$A$40,Kasse!E$5&amp;"*",Kalkulation!$C$6:$C$40)*VLOOKUP($A62,Bestellungen!$6:$1048576,MATCH(Kasse!E$5,Bestellungen!$A$5:$X$5,0),0),"")</f>
        <v/>
      </c>
      <c r="F62" s="26" t="str">
        <f>IF(ISERROR(VLOOKUP($A62,Bestellungen!$6:$1048576,MATCH(Kasse!F$5,Bestellungen!$A$5:$X$5,0),0))=FALSE,SUMIF(Kalkulation!$A$6:$A$40,Kasse!F$5&amp;"*",Kalkulation!$C$6:$C$40)*VLOOKUP($A62,Bestellungen!$6:$1048576,MATCH(Kasse!F$5,Bestellungen!$A$5:$X$5,0),0),"")</f>
        <v/>
      </c>
      <c r="G62" s="26" t="str">
        <f>IF(ISERROR(VLOOKUP($A62,Bestellungen!$6:$1048576,MATCH(Kasse!G$5,Bestellungen!$A$5:$X$5,0),0))=FALSE,SUMIF(Kalkulation!$A$6:$A$40,Kasse!G$5&amp;"*",Kalkulation!$C$6:$C$40)*VLOOKUP($A62,Bestellungen!$6:$1048576,MATCH(Kasse!G$5,Bestellungen!$A$5:$X$5,0),0),"")</f>
        <v/>
      </c>
      <c r="H62" s="26" t="str">
        <f>IF(ISERROR(VLOOKUP($A62,Bestellungen!$6:$1048576,MATCH(Kasse!H$5,Bestellungen!$A$5:$X$5,0),0))=FALSE,SUMIF(Kalkulation!$A$6:$A$40,Kasse!H$5&amp;"*",Kalkulation!$C$6:$C$40)*VLOOKUP($A62,Bestellungen!$6:$1048576,MATCH(Kasse!H$5,Bestellungen!$A$5:$X$5,0),0),"")</f>
        <v/>
      </c>
      <c r="I62" s="26" t="str">
        <f>IF(ISERROR(VLOOKUP($A62,Bestellungen!$6:$1048576,MATCH(Kasse!I$5,Bestellungen!$A$5:$X$5,0),0))=FALSE,SUMIF(Kalkulation!$A$6:$A$40,Kasse!I$5&amp;"*",Kalkulation!$C$6:$C$40)*VLOOKUP($A62,Bestellungen!$6:$1048576,MATCH(Kasse!I$5,Bestellungen!$A$5:$X$5,0),0),"")</f>
        <v/>
      </c>
      <c r="J62" s="26" t="str">
        <f>IF(ISERROR(VLOOKUP($A62,Bestellungen!$6:$1048576,MATCH(Kasse!J$5,Bestellungen!$A$5:$X$5,0),0))=FALSE,SUMIF(Kalkulation!$A$6:$A$40,Kasse!J$5&amp;"*",Kalkulation!$C$6:$C$40)*VLOOKUP($A62,Bestellungen!$6:$1048576,MATCH(Kasse!J$5,Bestellungen!$A$5:$X$5,0),0),"")</f>
        <v/>
      </c>
      <c r="K62" s="26" t="str">
        <f>IF(ISERROR(VLOOKUP($A62,Bestellungen!$6:$1048576,MATCH(Kasse!K$5,Bestellungen!$A$5:$X$5,0),0))=FALSE,SUMIF(Kalkulation!$A$6:$A$40,Kasse!K$5&amp;"*",Kalkulation!$C$6:$C$40)*VLOOKUP($A62,Bestellungen!$6:$1048576,MATCH(Kasse!K$5,Bestellungen!$A$5:$X$5,0),0),"")</f>
        <v/>
      </c>
      <c r="L62" s="26" t="str">
        <f>IF(ISERROR(VLOOKUP($A62,Bestellungen!$6:$1048576,MATCH(Kasse!L$5,Bestellungen!$A$5:$X$5,0),0))=FALSE,SUMIF(Kalkulation!$A$6:$A$40,Kasse!L$5&amp;"*",Kalkulation!$C$6:$C$40)*VLOOKUP($A62,Bestellungen!$6:$1048576,MATCH(Kasse!L$5,Bestellungen!$A$5:$X$5,0),0),"")</f>
        <v/>
      </c>
      <c r="M62" s="26" t="str">
        <f>IF(ISERROR(VLOOKUP($A62,Bestellungen!$6:$1048576,MATCH(Kasse!M$5,Bestellungen!$A$5:$X$5,0),0))=FALSE,SUMIF(Kalkulation!$A$6:$A$40,Kasse!M$5&amp;"*",Kalkulation!$C$6:$C$40)*VLOOKUP($A62,Bestellungen!$6:$1048576,MATCH(Kasse!M$5,Bestellungen!$A$5:$X$5,0),0),"")</f>
        <v/>
      </c>
      <c r="N62" s="26" t="str">
        <f>IF(ISERROR(VLOOKUP($A62,Bestellungen!$6:$1048576,MATCH(Kasse!N$5,Bestellungen!$A$5:$X$5,0),0))=FALSE,SUMIF(Kalkulation!$A$6:$A$40,Kasse!N$5&amp;"*",Kalkulation!$C$6:$C$40)*VLOOKUP($A62,Bestellungen!$6:$1048576,MATCH(Kasse!N$5,Bestellungen!$A$5:$X$5,0),0),"")</f>
        <v/>
      </c>
      <c r="O62" s="26" t="str">
        <f>IF(ISERROR(VLOOKUP($A62,Bestellungen!$6:$1048576,MATCH(Kasse!O$5,Bestellungen!$A$5:$X$5,0),0))=FALSE,SUMIF(Kalkulation!$A$6:$A$40,Kasse!O$5&amp;"*",Kalkulation!$C$6:$C$40)*VLOOKUP($A62,Bestellungen!$6:$1048576,MATCH(Kasse!O$5,Bestellungen!$A$5:$X$5,0),0),"")</f>
        <v/>
      </c>
      <c r="P62" s="26" t="str">
        <f>IF(ISERROR(VLOOKUP($A62,Bestellungen!$6:$1048576,MATCH(Kasse!P$5,Bestellungen!$A$5:$X$5,0),0))=FALSE,SUMIF(Kalkulation!$A$6:$A$40,Kasse!P$5&amp;"*",Kalkulation!$C$6:$C$40)*VLOOKUP($A62,Bestellungen!$6:$1048576,MATCH(Kasse!P$5,Bestellungen!$A$5:$X$5,0),0),"")</f>
        <v/>
      </c>
      <c r="Q62" s="26" t="str">
        <f>IF(ISERROR(VLOOKUP($A62,Bestellungen!$6:$1048576,MATCH(Kasse!Q$5,Bestellungen!$A$5:$X$5,0),0))=FALSE,SUMIF(Kalkulation!$A$6:$A$40,Kasse!Q$5&amp;"*",Kalkulation!$C$6:$C$40)*VLOOKUP($A62,Bestellungen!$6:$1048576,MATCH(Kasse!Q$5,Bestellungen!$A$5:$X$5,0),0),"")</f>
        <v/>
      </c>
      <c r="R62" s="26" t="str">
        <f>IF(ISERROR(VLOOKUP($A62,Bestellungen!$6:$1048576,MATCH(Kasse!R$5,Bestellungen!$A$5:$X$5,0),0))=FALSE,SUMIF(Kalkulation!$A$6:$A$40,Kasse!R$5&amp;"*",Kalkulation!$C$6:$C$40)*VLOOKUP($A62,Bestellungen!$6:$1048576,MATCH(Kasse!R$5,Bestellungen!$A$5:$X$5,0),0),"")</f>
        <v/>
      </c>
      <c r="S62" s="26" t="str">
        <f>IF(ISERROR(VLOOKUP($A62,Bestellungen!$6:$1048576,MATCH(Kasse!S$5,Bestellungen!$A$5:$X$5,0),0))=FALSE,SUMIF(Kalkulation!$A$6:$A$40,Kasse!S$5&amp;"*",Kalkulation!$C$6:$C$40)*VLOOKUP($A62,Bestellungen!$6:$1048576,MATCH(Kasse!S$5,Bestellungen!$A$5:$X$5,0),0),"")</f>
        <v/>
      </c>
      <c r="T62" s="26" t="str">
        <f>IF(ISERROR(VLOOKUP($A62,Bestellungen!$6:$1048576,MATCH(Kasse!T$5,Bestellungen!$A$5:$X$5,0),0))=FALSE,SUMIF(Kalkulation!$A$6:$A$40,Kasse!T$5&amp;"*",Kalkulation!$C$6:$C$40)*VLOOKUP($A62,Bestellungen!$6:$1048576,MATCH(Kasse!T$5,Bestellungen!$A$5:$X$5,0),0),"")</f>
        <v/>
      </c>
      <c r="U62" s="26" t="str">
        <f t="shared" si="0"/>
        <v/>
      </c>
      <c r="W62" s="26" t="str">
        <f t="shared" si="1"/>
        <v/>
      </c>
      <c r="X62" s="26"/>
      <c r="Y62" s="26"/>
      <c r="Z62" s="26"/>
      <c r="AA62" s="26"/>
    </row>
    <row r="63" spans="1:27" x14ac:dyDescent="0.25">
      <c r="A63" t="str">
        <f>IF(LEN(Bestellungen!$A63)&gt;0,Bestellungen!$A63,"")</f>
        <v/>
      </c>
      <c r="B63" s="26" t="str">
        <f>IF(ISERROR(VLOOKUP($A63,Bestellungen!$6:$1048576,MATCH(Kasse!B$5,Bestellungen!$A$5:$X$5,0),0))=FALSE,SUMIF(Kalkulation!$A$6:$A$40,Kasse!B$5&amp;"*",Kalkulation!$C$6:$C$40)*VLOOKUP($A63,Bestellungen!$6:$1048576,MATCH(Kasse!B$5,Bestellungen!$A$5:$X$5,0),0),"")</f>
        <v/>
      </c>
      <c r="C63" s="26" t="str">
        <f>IF(ISERROR(VLOOKUP($A63,Bestellungen!$6:$1048576,MATCH(Kasse!C$5,Bestellungen!$A$5:$X$5,0),0))=FALSE,SUMIF(Kalkulation!$A$6:$A$40,Kasse!C$5&amp;"*",Kalkulation!$C$6:$C$40)*VLOOKUP($A63,Bestellungen!$6:$1048576,MATCH(Kasse!C$5,Bestellungen!$A$5:$X$5,0),0),"")</f>
        <v/>
      </c>
      <c r="D63" s="26" t="str">
        <f>IF(ISERROR(VLOOKUP($A63,Bestellungen!$6:$1048576,MATCH(Kasse!D$5,Bestellungen!$A$5:$X$5,0),0))=FALSE,SUMIF(Kalkulation!$A$6:$A$40,Kasse!D$5&amp;"*",Kalkulation!$C$6:$C$40)*VLOOKUP($A63,Bestellungen!$6:$1048576,MATCH(Kasse!D$5,Bestellungen!$A$5:$X$5,0),0),"")</f>
        <v/>
      </c>
      <c r="E63" s="26" t="str">
        <f>IF(ISERROR(VLOOKUP($A63,Bestellungen!$6:$1048576,MATCH(Kasse!E$5,Bestellungen!$A$5:$X$5,0),0))=FALSE,SUMIF(Kalkulation!$A$6:$A$40,Kasse!E$5&amp;"*",Kalkulation!$C$6:$C$40)*VLOOKUP($A63,Bestellungen!$6:$1048576,MATCH(Kasse!E$5,Bestellungen!$A$5:$X$5,0),0),"")</f>
        <v/>
      </c>
      <c r="F63" s="26" t="str">
        <f>IF(ISERROR(VLOOKUP($A63,Bestellungen!$6:$1048576,MATCH(Kasse!F$5,Bestellungen!$A$5:$X$5,0),0))=FALSE,SUMIF(Kalkulation!$A$6:$A$40,Kasse!F$5&amp;"*",Kalkulation!$C$6:$C$40)*VLOOKUP($A63,Bestellungen!$6:$1048576,MATCH(Kasse!F$5,Bestellungen!$A$5:$X$5,0),0),"")</f>
        <v/>
      </c>
      <c r="G63" s="26" t="str">
        <f>IF(ISERROR(VLOOKUP($A63,Bestellungen!$6:$1048576,MATCH(Kasse!G$5,Bestellungen!$A$5:$X$5,0),0))=FALSE,SUMIF(Kalkulation!$A$6:$A$40,Kasse!G$5&amp;"*",Kalkulation!$C$6:$C$40)*VLOOKUP($A63,Bestellungen!$6:$1048576,MATCH(Kasse!G$5,Bestellungen!$A$5:$X$5,0),0),"")</f>
        <v/>
      </c>
      <c r="H63" s="26" t="str">
        <f>IF(ISERROR(VLOOKUP($A63,Bestellungen!$6:$1048576,MATCH(Kasse!H$5,Bestellungen!$A$5:$X$5,0),0))=FALSE,SUMIF(Kalkulation!$A$6:$A$40,Kasse!H$5&amp;"*",Kalkulation!$C$6:$C$40)*VLOOKUP($A63,Bestellungen!$6:$1048576,MATCH(Kasse!H$5,Bestellungen!$A$5:$X$5,0),0),"")</f>
        <v/>
      </c>
      <c r="I63" s="26" t="str">
        <f>IF(ISERROR(VLOOKUP($A63,Bestellungen!$6:$1048576,MATCH(Kasse!I$5,Bestellungen!$A$5:$X$5,0),0))=FALSE,SUMIF(Kalkulation!$A$6:$A$40,Kasse!I$5&amp;"*",Kalkulation!$C$6:$C$40)*VLOOKUP($A63,Bestellungen!$6:$1048576,MATCH(Kasse!I$5,Bestellungen!$A$5:$X$5,0),0),"")</f>
        <v/>
      </c>
      <c r="J63" s="26" t="str">
        <f>IF(ISERROR(VLOOKUP($A63,Bestellungen!$6:$1048576,MATCH(Kasse!J$5,Bestellungen!$A$5:$X$5,0),0))=FALSE,SUMIF(Kalkulation!$A$6:$A$40,Kasse!J$5&amp;"*",Kalkulation!$C$6:$C$40)*VLOOKUP($A63,Bestellungen!$6:$1048576,MATCH(Kasse!J$5,Bestellungen!$A$5:$X$5,0),0),"")</f>
        <v/>
      </c>
      <c r="K63" s="26" t="str">
        <f>IF(ISERROR(VLOOKUP($A63,Bestellungen!$6:$1048576,MATCH(Kasse!K$5,Bestellungen!$A$5:$X$5,0),0))=FALSE,SUMIF(Kalkulation!$A$6:$A$40,Kasse!K$5&amp;"*",Kalkulation!$C$6:$C$40)*VLOOKUP($A63,Bestellungen!$6:$1048576,MATCH(Kasse!K$5,Bestellungen!$A$5:$X$5,0),0),"")</f>
        <v/>
      </c>
      <c r="L63" s="26" t="str">
        <f>IF(ISERROR(VLOOKUP($A63,Bestellungen!$6:$1048576,MATCH(Kasse!L$5,Bestellungen!$A$5:$X$5,0),0))=FALSE,SUMIF(Kalkulation!$A$6:$A$40,Kasse!L$5&amp;"*",Kalkulation!$C$6:$C$40)*VLOOKUP($A63,Bestellungen!$6:$1048576,MATCH(Kasse!L$5,Bestellungen!$A$5:$X$5,0),0),"")</f>
        <v/>
      </c>
      <c r="M63" s="26" t="str">
        <f>IF(ISERROR(VLOOKUP($A63,Bestellungen!$6:$1048576,MATCH(Kasse!M$5,Bestellungen!$A$5:$X$5,0),0))=FALSE,SUMIF(Kalkulation!$A$6:$A$40,Kasse!M$5&amp;"*",Kalkulation!$C$6:$C$40)*VLOOKUP($A63,Bestellungen!$6:$1048576,MATCH(Kasse!M$5,Bestellungen!$A$5:$X$5,0),0),"")</f>
        <v/>
      </c>
      <c r="N63" s="26" t="str">
        <f>IF(ISERROR(VLOOKUP($A63,Bestellungen!$6:$1048576,MATCH(Kasse!N$5,Bestellungen!$A$5:$X$5,0),0))=FALSE,SUMIF(Kalkulation!$A$6:$A$40,Kasse!N$5&amp;"*",Kalkulation!$C$6:$C$40)*VLOOKUP($A63,Bestellungen!$6:$1048576,MATCH(Kasse!N$5,Bestellungen!$A$5:$X$5,0),0),"")</f>
        <v/>
      </c>
      <c r="O63" s="26" t="str">
        <f>IF(ISERROR(VLOOKUP($A63,Bestellungen!$6:$1048576,MATCH(Kasse!O$5,Bestellungen!$A$5:$X$5,0),0))=FALSE,SUMIF(Kalkulation!$A$6:$A$40,Kasse!O$5&amp;"*",Kalkulation!$C$6:$C$40)*VLOOKUP($A63,Bestellungen!$6:$1048576,MATCH(Kasse!O$5,Bestellungen!$A$5:$X$5,0),0),"")</f>
        <v/>
      </c>
      <c r="P63" s="26" t="str">
        <f>IF(ISERROR(VLOOKUP($A63,Bestellungen!$6:$1048576,MATCH(Kasse!P$5,Bestellungen!$A$5:$X$5,0),0))=FALSE,SUMIF(Kalkulation!$A$6:$A$40,Kasse!P$5&amp;"*",Kalkulation!$C$6:$C$40)*VLOOKUP($A63,Bestellungen!$6:$1048576,MATCH(Kasse!P$5,Bestellungen!$A$5:$X$5,0),0),"")</f>
        <v/>
      </c>
      <c r="Q63" s="26" t="str">
        <f>IF(ISERROR(VLOOKUP($A63,Bestellungen!$6:$1048576,MATCH(Kasse!Q$5,Bestellungen!$A$5:$X$5,0),0))=FALSE,SUMIF(Kalkulation!$A$6:$A$40,Kasse!Q$5&amp;"*",Kalkulation!$C$6:$C$40)*VLOOKUP($A63,Bestellungen!$6:$1048576,MATCH(Kasse!Q$5,Bestellungen!$A$5:$X$5,0),0),"")</f>
        <v/>
      </c>
      <c r="R63" s="26" t="str">
        <f>IF(ISERROR(VLOOKUP($A63,Bestellungen!$6:$1048576,MATCH(Kasse!R$5,Bestellungen!$A$5:$X$5,0),0))=FALSE,SUMIF(Kalkulation!$A$6:$A$40,Kasse!R$5&amp;"*",Kalkulation!$C$6:$C$40)*VLOOKUP($A63,Bestellungen!$6:$1048576,MATCH(Kasse!R$5,Bestellungen!$A$5:$X$5,0),0),"")</f>
        <v/>
      </c>
      <c r="S63" s="26" t="str">
        <f>IF(ISERROR(VLOOKUP($A63,Bestellungen!$6:$1048576,MATCH(Kasse!S$5,Bestellungen!$A$5:$X$5,0),0))=FALSE,SUMIF(Kalkulation!$A$6:$A$40,Kasse!S$5&amp;"*",Kalkulation!$C$6:$C$40)*VLOOKUP($A63,Bestellungen!$6:$1048576,MATCH(Kasse!S$5,Bestellungen!$A$5:$X$5,0),0),"")</f>
        <v/>
      </c>
      <c r="T63" s="26" t="str">
        <f>IF(ISERROR(VLOOKUP($A63,Bestellungen!$6:$1048576,MATCH(Kasse!T$5,Bestellungen!$A$5:$X$5,0),0))=FALSE,SUMIF(Kalkulation!$A$6:$A$40,Kasse!T$5&amp;"*",Kalkulation!$C$6:$C$40)*VLOOKUP($A63,Bestellungen!$6:$1048576,MATCH(Kasse!T$5,Bestellungen!$A$5:$X$5,0),0),"")</f>
        <v/>
      </c>
      <c r="U63" s="26" t="str">
        <f t="shared" si="0"/>
        <v/>
      </c>
      <c r="W63" s="26" t="str">
        <f t="shared" si="1"/>
        <v/>
      </c>
      <c r="X63" s="26"/>
      <c r="Y63" s="26"/>
      <c r="Z63" s="26"/>
      <c r="AA63" s="26"/>
    </row>
    <row r="64" spans="1:27" x14ac:dyDescent="0.25">
      <c r="A64" t="str">
        <f>IF(LEN(Bestellungen!$A64)&gt;0,Bestellungen!$A64,"")</f>
        <v/>
      </c>
      <c r="B64" s="26" t="str">
        <f>IF(ISERROR(VLOOKUP($A64,Bestellungen!$6:$1048576,MATCH(Kasse!B$5,Bestellungen!$A$5:$X$5,0),0))=FALSE,SUMIF(Kalkulation!$A$6:$A$40,Kasse!B$5&amp;"*",Kalkulation!$C$6:$C$40)*VLOOKUP($A64,Bestellungen!$6:$1048576,MATCH(Kasse!B$5,Bestellungen!$A$5:$X$5,0),0),"")</f>
        <v/>
      </c>
      <c r="C64" s="26" t="str">
        <f>IF(ISERROR(VLOOKUP($A64,Bestellungen!$6:$1048576,MATCH(Kasse!C$5,Bestellungen!$A$5:$X$5,0),0))=FALSE,SUMIF(Kalkulation!$A$6:$A$40,Kasse!C$5&amp;"*",Kalkulation!$C$6:$C$40)*VLOOKUP($A64,Bestellungen!$6:$1048576,MATCH(Kasse!C$5,Bestellungen!$A$5:$X$5,0),0),"")</f>
        <v/>
      </c>
      <c r="D64" s="26" t="str">
        <f>IF(ISERROR(VLOOKUP($A64,Bestellungen!$6:$1048576,MATCH(Kasse!D$5,Bestellungen!$A$5:$X$5,0),0))=FALSE,SUMIF(Kalkulation!$A$6:$A$40,Kasse!D$5&amp;"*",Kalkulation!$C$6:$C$40)*VLOOKUP($A64,Bestellungen!$6:$1048576,MATCH(Kasse!D$5,Bestellungen!$A$5:$X$5,0),0),"")</f>
        <v/>
      </c>
      <c r="E64" s="26" t="str">
        <f>IF(ISERROR(VLOOKUP($A64,Bestellungen!$6:$1048576,MATCH(Kasse!E$5,Bestellungen!$A$5:$X$5,0),0))=FALSE,SUMIF(Kalkulation!$A$6:$A$40,Kasse!E$5&amp;"*",Kalkulation!$C$6:$C$40)*VLOOKUP($A64,Bestellungen!$6:$1048576,MATCH(Kasse!E$5,Bestellungen!$A$5:$X$5,0),0),"")</f>
        <v/>
      </c>
      <c r="F64" s="26" t="str">
        <f>IF(ISERROR(VLOOKUP($A64,Bestellungen!$6:$1048576,MATCH(Kasse!F$5,Bestellungen!$A$5:$X$5,0),0))=FALSE,SUMIF(Kalkulation!$A$6:$A$40,Kasse!F$5&amp;"*",Kalkulation!$C$6:$C$40)*VLOOKUP($A64,Bestellungen!$6:$1048576,MATCH(Kasse!F$5,Bestellungen!$A$5:$X$5,0),0),"")</f>
        <v/>
      </c>
      <c r="G64" s="26" t="str">
        <f>IF(ISERROR(VLOOKUP($A64,Bestellungen!$6:$1048576,MATCH(Kasse!G$5,Bestellungen!$A$5:$X$5,0),0))=FALSE,SUMIF(Kalkulation!$A$6:$A$40,Kasse!G$5&amp;"*",Kalkulation!$C$6:$C$40)*VLOOKUP($A64,Bestellungen!$6:$1048576,MATCH(Kasse!G$5,Bestellungen!$A$5:$X$5,0),0),"")</f>
        <v/>
      </c>
      <c r="H64" s="26" t="str">
        <f>IF(ISERROR(VLOOKUP($A64,Bestellungen!$6:$1048576,MATCH(Kasse!H$5,Bestellungen!$A$5:$X$5,0),0))=FALSE,SUMIF(Kalkulation!$A$6:$A$40,Kasse!H$5&amp;"*",Kalkulation!$C$6:$C$40)*VLOOKUP($A64,Bestellungen!$6:$1048576,MATCH(Kasse!H$5,Bestellungen!$A$5:$X$5,0),0),"")</f>
        <v/>
      </c>
      <c r="I64" s="26" t="str">
        <f>IF(ISERROR(VLOOKUP($A64,Bestellungen!$6:$1048576,MATCH(Kasse!I$5,Bestellungen!$A$5:$X$5,0),0))=FALSE,SUMIF(Kalkulation!$A$6:$A$40,Kasse!I$5&amp;"*",Kalkulation!$C$6:$C$40)*VLOOKUP($A64,Bestellungen!$6:$1048576,MATCH(Kasse!I$5,Bestellungen!$A$5:$X$5,0),0),"")</f>
        <v/>
      </c>
      <c r="J64" s="26" t="str">
        <f>IF(ISERROR(VLOOKUP($A64,Bestellungen!$6:$1048576,MATCH(Kasse!J$5,Bestellungen!$A$5:$X$5,0),0))=FALSE,SUMIF(Kalkulation!$A$6:$A$40,Kasse!J$5&amp;"*",Kalkulation!$C$6:$C$40)*VLOOKUP($A64,Bestellungen!$6:$1048576,MATCH(Kasse!J$5,Bestellungen!$A$5:$X$5,0),0),"")</f>
        <v/>
      </c>
      <c r="K64" s="26" t="str">
        <f>IF(ISERROR(VLOOKUP($A64,Bestellungen!$6:$1048576,MATCH(Kasse!K$5,Bestellungen!$A$5:$X$5,0),0))=FALSE,SUMIF(Kalkulation!$A$6:$A$40,Kasse!K$5&amp;"*",Kalkulation!$C$6:$C$40)*VLOOKUP($A64,Bestellungen!$6:$1048576,MATCH(Kasse!K$5,Bestellungen!$A$5:$X$5,0),0),"")</f>
        <v/>
      </c>
      <c r="L64" s="26" t="str">
        <f>IF(ISERROR(VLOOKUP($A64,Bestellungen!$6:$1048576,MATCH(Kasse!L$5,Bestellungen!$A$5:$X$5,0),0))=FALSE,SUMIF(Kalkulation!$A$6:$A$40,Kasse!L$5&amp;"*",Kalkulation!$C$6:$C$40)*VLOOKUP($A64,Bestellungen!$6:$1048576,MATCH(Kasse!L$5,Bestellungen!$A$5:$X$5,0),0),"")</f>
        <v/>
      </c>
      <c r="M64" s="26" t="str">
        <f>IF(ISERROR(VLOOKUP($A64,Bestellungen!$6:$1048576,MATCH(Kasse!M$5,Bestellungen!$A$5:$X$5,0),0))=FALSE,SUMIF(Kalkulation!$A$6:$A$40,Kasse!M$5&amp;"*",Kalkulation!$C$6:$C$40)*VLOOKUP($A64,Bestellungen!$6:$1048576,MATCH(Kasse!M$5,Bestellungen!$A$5:$X$5,0),0),"")</f>
        <v/>
      </c>
      <c r="N64" s="26" t="str">
        <f>IF(ISERROR(VLOOKUP($A64,Bestellungen!$6:$1048576,MATCH(Kasse!N$5,Bestellungen!$A$5:$X$5,0),0))=FALSE,SUMIF(Kalkulation!$A$6:$A$40,Kasse!N$5&amp;"*",Kalkulation!$C$6:$C$40)*VLOOKUP($A64,Bestellungen!$6:$1048576,MATCH(Kasse!N$5,Bestellungen!$A$5:$X$5,0),0),"")</f>
        <v/>
      </c>
      <c r="O64" s="26" t="str">
        <f>IF(ISERROR(VLOOKUP($A64,Bestellungen!$6:$1048576,MATCH(Kasse!O$5,Bestellungen!$A$5:$X$5,0),0))=FALSE,SUMIF(Kalkulation!$A$6:$A$40,Kasse!O$5&amp;"*",Kalkulation!$C$6:$C$40)*VLOOKUP($A64,Bestellungen!$6:$1048576,MATCH(Kasse!O$5,Bestellungen!$A$5:$X$5,0),0),"")</f>
        <v/>
      </c>
      <c r="P64" s="26" t="str">
        <f>IF(ISERROR(VLOOKUP($A64,Bestellungen!$6:$1048576,MATCH(Kasse!P$5,Bestellungen!$A$5:$X$5,0),0))=FALSE,SUMIF(Kalkulation!$A$6:$A$40,Kasse!P$5&amp;"*",Kalkulation!$C$6:$C$40)*VLOOKUP($A64,Bestellungen!$6:$1048576,MATCH(Kasse!P$5,Bestellungen!$A$5:$X$5,0),0),"")</f>
        <v/>
      </c>
      <c r="Q64" s="26" t="str">
        <f>IF(ISERROR(VLOOKUP($A64,Bestellungen!$6:$1048576,MATCH(Kasse!Q$5,Bestellungen!$A$5:$X$5,0),0))=FALSE,SUMIF(Kalkulation!$A$6:$A$40,Kasse!Q$5&amp;"*",Kalkulation!$C$6:$C$40)*VLOOKUP($A64,Bestellungen!$6:$1048576,MATCH(Kasse!Q$5,Bestellungen!$A$5:$X$5,0),0),"")</f>
        <v/>
      </c>
      <c r="R64" s="26" t="str">
        <f>IF(ISERROR(VLOOKUP($A64,Bestellungen!$6:$1048576,MATCH(Kasse!R$5,Bestellungen!$A$5:$X$5,0),0))=FALSE,SUMIF(Kalkulation!$A$6:$A$40,Kasse!R$5&amp;"*",Kalkulation!$C$6:$C$40)*VLOOKUP($A64,Bestellungen!$6:$1048576,MATCH(Kasse!R$5,Bestellungen!$A$5:$X$5,0),0),"")</f>
        <v/>
      </c>
      <c r="S64" s="26" t="str">
        <f>IF(ISERROR(VLOOKUP($A64,Bestellungen!$6:$1048576,MATCH(Kasse!S$5,Bestellungen!$A$5:$X$5,0),0))=FALSE,SUMIF(Kalkulation!$A$6:$A$40,Kasse!S$5&amp;"*",Kalkulation!$C$6:$C$40)*VLOOKUP($A64,Bestellungen!$6:$1048576,MATCH(Kasse!S$5,Bestellungen!$A$5:$X$5,0),0),"")</f>
        <v/>
      </c>
      <c r="T64" s="26" t="str">
        <f>IF(ISERROR(VLOOKUP($A64,Bestellungen!$6:$1048576,MATCH(Kasse!T$5,Bestellungen!$A$5:$X$5,0),0))=FALSE,SUMIF(Kalkulation!$A$6:$A$40,Kasse!T$5&amp;"*",Kalkulation!$C$6:$C$40)*VLOOKUP($A64,Bestellungen!$6:$1048576,MATCH(Kasse!T$5,Bestellungen!$A$5:$X$5,0),0),"")</f>
        <v/>
      </c>
      <c r="U64" s="26" t="str">
        <f t="shared" si="0"/>
        <v/>
      </c>
      <c r="W64" s="26" t="str">
        <f t="shared" si="1"/>
        <v/>
      </c>
      <c r="X64" s="26"/>
      <c r="Y64" s="26"/>
      <c r="Z64" s="26"/>
      <c r="AA64" s="26"/>
    </row>
    <row r="65" spans="1:27" x14ac:dyDescent="0.25">
      <c r="A65" t="str">
        <f>IF(LEN(Bestellungen!$A65)&gt;0,Bestellungen!$A65,"")</f>
        <v/>
      </c>
      <c r="B65" s="26" t="str">
        <f>IF(ISERROR(VLOOKUP($A65,Bestellungen!$6:$1048576,MATCH(Kasse!B$5,Bestellungen!$A$5:$X$5,0),0))=FALSE,SUMIF(Kalkulation!$A$6:$A$40,Kasse!B$5&amp;"*",Kalkulation!$C$6:$C$40)*VLOOKUP($A65,Bestellungen!$6:$1048576,MATCH(Kasse!B$5,Bestellungen!$A$5:$X$5,0),0),"")</f>
        <v/>
      </c>
      <c r="C65" s="26" t="str">
        <f>IF(ISERROR(VLOOKUP($A65,Bestellungen!$6:$1048576,MATCH(Kasse!C$5,Bestellungen!$A$5:$X$5,0),0))=FALSE,SUMIF(Kalkulation!$A$6:$A$40,Kasse!C$5&amp;"*",Kalkulation!$C$6:$C$40)*VLOOKUP($A65,Bestellungen!$6:$1048576,MATCH(Kasse!C$5,Bestellungen!$A$5:$X$5,0),0),"")</f>
        <v/>
      </c>
      <c r="D65" s="26" t="str">
        <f>IF(ISERROR(VLOOKUP($A65,Bestellungen!$6:$1048576,MATCH(Kasse!D$5,Bestellungen!$A$5:$X$5,0),0))=FALSE,SUMIF(Kalkulation!$A$6:$A$40,Kasse!D$5&amp;"*",Kalkulation!$C$6:$C$40)*VLOOKUP($A65,Bestellungen!$6:$1048576,MATCH(Kasse!D$5,Bestellungen!$A$5:$X$5,0),0),"")</f>
        <v/>
      </c>
      <c r="E65" s="26" t="str">
        <f>IF(ISERROR(VLOOKUP($A65,Bestellungen!$6:$1048576,MATCH(Kasse!E$5,Bestellungen!$A$5:$X$5,0),0))=FALSE,SUMIF(Kalkulation!$A$6:$A$40,Kasse!E$5&amp;"*",Kalkulation!$C$6:$C$40)*VLOOKUP($A65,Bestellungen!$6:$1048576,MATCH(Kasse!E$5,Bestellungen!$A$5:$X$5,0),0),"")</f>
        <v/>
      </c>
      <c r="F65" s="26" t="str">
        <f>IF(ISERROR(VLOOKUP($A65,Bestellungen!$6:$1048576,MATCH(Kasse!F$5,Bestellungen!$A$5:$X$5,0),0))=FALSE,SUMIF(Kalkulation!$A$6:$A$40,Kasse!F$5&amp;"*",Kalkulation!$C$6:$C$40)*VLOOKUP($A65,Bestellungen!$6:$1048576,MATCH(Kasse!F$5,Bestellungen!$A$5:$X$5,0),0),"")</f>
        <v/>
      </c>
      <c r="G65" s="26" t="str">
        <f>IF(ISERROR(VLOOKUP($A65,Bestellungen!$6:$1048576,MATCH(Kasse!G$5,Bestellungen!$A$5:$X$5,0),0))=FALSE,SUMIF(Kalkulation!$A$6:$A$40,Kasse!G$5&amp;"*",Kalkulation!$C$6:$C$40)*VLOOKUP($A65,Bestellungen!$6:$1048576,MATCH(Kasse!G$5,Bestellungen!$A$5:$X$5,0),0),"")</f>
        <v/>
      </c>
      <c r="H65" s="26" t="str">
        <f>IF(ISERROR(VLOOKUP($A65,Bestellungen!$6:$1048576,MATCH(Kasse!H$5,Bestellungen!$A$5:$X$5,0),0))=FALSE,SUMIF(Kalkulation!$A$6:$A$40,Kasse!H$5&amp;"*",Kalkulation!$C$6:$C$40)*VLOOKUP($A65,Bestellungen!$6:$1048576,MATCH(Kasse!H$5,Bestellungen!$A$5:$X$5,0),0),"")</f>
        <v/>
      </c>
      <c r="I65" s="26" t="str">
        <f>IF(ISERROR(VLOOKUP($A65,Bestellungen!$6:$1048576,MATCH(Kasse!I$5,Bestellungen!$A$5:$X$5,0),0))=FALSE,SUMIF(Kalkulation!$A$6:$A$40,Kasse!I$5&amp;"*",Kalkulation!$C$6:$C$40)*VLOOKUP($A65,Bestellungen!$6:$1048576,MATCH(Kasse!I$5,Bestellungen!$A$5:$X$5,0),0),"")</f>
        <v/>
      </c>
      <c r="J65" s="26" t="str">
        <f>IF(ISERROR(VLOOKUP($A65,Bestellungen!$6:$1048576,MATCH(Kasse!J$5,Bestellungen!$A$5:$X$5,0),0))=FALSE,SUMIF(Kalkulation!$A$6:$A$40,Kasse!J$5&amp;"*",Kalkulation!$C$6:$C$40)*VLOOKUP($A65,Bestellungen!$6:$1048576,MATCH(Kasse!J$5,Bestellungen!$A$5:$X$5,0),0),"")</f>
        <v/>
      </c>
      <c r="K65" s="26" t="str">
        <f>IF(ISERROR(VLOOKUP($A65,Bestellungen!$6:$1048576,MATCH(Kasse!K$5,Bestellungen!$A$5:$X$5,0),0))=FALSE,SUMIF(Kalkulation!$A$6:$A$40,Kasse!K$5&amp;"*",Kalkulation!$C$6:$C$40)*VLOOKUP($A65,Bestellungen!$6:$1048576,MATCH(Kasse!K$5,Bestellungen!$A$5:$X$5,0),0),"")</f>
        <v/>
      </c>
      <c r="L65" s="26" t="str">
        <f>IF(ISERROR(VLOOKUP($A65,Bestellungen!$6:$1048576,MATCH(Kasse!L$5,Bestellungen!$A$5:$X$5,0),0))=FALSE,SUMIF(Kalkulation!$A$6:$A$40,Kasse!L$5&amp;"*",Kalkulation!$C$6:$C$40)*VLOOKUP($A65,Bestellungen!$6:$1048576,MATCH(Kasse!L$5,Bestellungen!$A$5:$X$5,0),0),"")</f>
        <v/>
      </c>
      <c r="M65" s="26" t="str">
        <f>IF(ISERROR(VLOOKUP($A65,Bestellungen!$6:$1048576,MATCH(Kasse!M$5,Bestellungen!$A$5:$X$5,0),0))=FALSE,SUMIF(Kalkulation!$A$6:$A$40,Kasse!M$5&amp;"*",Kalkulation!$C$6:$C$40)*VLOOKUP($A65,Bestellungen!$6:$1048576,MATCH(Kasse!M$5,Bestellungen!$A$5:$X$5,0),0),"")</f>
        <v/>
      </c>
      <c r="N65" s="26" t="str">
        <f>IF(ISERROR(VLOOKUP($A65,Bestellungen!$6:$1048576,MATCH(Kasse!N$5,Bestellungen!$A$5:$X$5,0),0))=FALSE,SUMIF(Kalkulation!$A$6:$A$40,Kasse!N$5&amp;"*",Kalkulation!$C$6:$C$40)*VLOOKUP($A65,Bestellungen!$6:$1048576,MATCH(Kasse!N$5,Bestellungen!$A$5:$X$5,0),0),"")</f>
        <v/>
      </c>
      <c r="O65" s="26" t="str">
        <f>IF(ISERROR(VLOOKUP($A65,Bestellungen!$6:$1048576,MATCH(Kasse!O$5,Bestellungen!$A$5:$X$5,0),0))=FALSE,SUMIF(Kalkulation!$A$6:$A$40,Kasse!O$5&amp;"*",Kalkulation!$C$6:$C$40)*VLOOKUP($A65,Bestellungen!$6:$1048576,MATCH(Kasse!O$5,Bestellungen!$A$5:$X$5,0),0),"")</f>
        <v/>
      </c>
      <c r="P65" s="26" t="str">
        <f>IF(ISERROR(VLOOKUP($A65,Bestellungen!$6:$1048576,MATCH(Kasse!P$5,Bestellungen!$A$5:$X$5,0),0))=FALSE,SUMIF(Kalkulation!$A$6:$A$40,Kasse!P$5&amp;"*",Kalkulation!$C$6:$C$40)*VLOOKUP($A65,Bestellungen!$6:$1048576,MATCH(Kasse!P$5,Bestellungen!$A$5:$X$5,0),0),"")</f>
        <v/>
      </c>
      <c r="Q65" s="26" t="str">
        <f>IF(ISERROR(VLOOKUP($A65,Bestellungen!$6:$1048576,MATCH(Kasse!Q$5,Bestellungen!$A$5:$X$5,0),0))=FALSE,SUMIF(Kalkulation!$A$6:$A$40,Kasse!Q$5&amp;"*",Kalkulation!$C$6:$C$40)*VLOOKUP($A65,Bestellungen!$6:$1048576,MATCH(Kasse!Q$5,Bestellungen!$A$5:$X$5,0),0),"")</f>
        <v/>
      </c>
      <c r="R65" s="26" t="str">
        <f>IF(ISERROR(VLOOKUP($A65,Bestellungen!$6:$1048576,MATCH(Kasse!R$5,Bestellungen!$A$5:$X$5,0),0))=FALSE,SUMIF(Kalkulation!$A$6:$A$40,Kasse!R$5&amp;"*",Kalkulation!$C$6:$C$40)*VLOOKUP($A65,Bestellungen!$6:$1048576,MATCH(Kasse!R$5,Bestellungen!$A$5:$X$5,0),0),"")</f>
        <v/>
      </c>
      <c r="S65" s="26" t="str">
        <f>IF(ISERROR(VLOOKUP($A65,Bestellungen!$6:$1048576,MATCH(Kasse!S$5,Bestellungen!$A$5:$X$5,0),0))=FALSE,SUMIF(Kalkulation!$A$6:$A$40,Kasse!S$5&amp;"*",Kalkulation!$C$6:$C$40)*VLOOKUP($A65,Bestellungen!$6:$1048576,MATCH(Kasse!S$5,Bestellungen!$A$5:$X$5,0),0),"")</f>
        <v/>
      </c>
      <c r="T65" s="26" t="str">
        <f>IF(ISERROR(VLOOKUP($A65,Bestellungen!$6:$1048576,MATCH(Kasse!T$5,Bestellungen!$A$5:$X$5,0),0))=FALSE,SUMIF(Kalkulation!$A$6:$A$40,Kasse!T$5&amp;"*",Kalkulation!$C$6:$C$40)*VLOOKUP($A65,Bestellungen!$6:$1048576,MATCH(Kasse!T$5,Bestellungen!$A$5:$X$5,0),0),"")</f>
        <v/>
      </c>
      <c r="U65" s="26" t="str">
        <f t="shared" si="0"/>
        <v/>
      </c>
      <c r="W65" s="26" t="str">
        <f t="shared" si="1"/>
        <v/>
      </c>
      <c r="X65" s="26"/>
      <c r="Y65" s="26"/>
      <c r="Z65" s="26"/>
      <c r="AA65" s="26"/>
    </row>
    <row r="66" spans="1:27" x14ac:dyDescent="0.25">
      <c r="A66" t="str">
        <f>IF(LEN(Bestellungen!$A66)&gt;0,Bestellungen!$A66,"")</f>
        <v/>
      </c>
      <c r="B66" s="26" t="str">
        <f>IF(ISERROR(VLOOKUP($A66,Bestellungen!$6:$1048576,MATCH(Kasse!B$5,Bestellungen!$A$5:$X$5,0),0))=FALSE,SUMIF(Kalkulation!$A$6:$A$40,Kasse!B$5&amp;"*",Kalkulation!$C$6:$C$40)*VLOOKUP($A66,Bestellungen!$6:$1048576,MATCH(Kasse!B$5,Bestellungen!$A$5:$X$5,0),0),"")</f>
        <v/>
      </c>
      <c r="C66" s="26" t="str">
        <f>IF(ISERROR(VLOOKUP($A66,Bestellungen!$6:$1048576,MATCH(Kasse!C$5,Bestellungen!$A$5:$X$5,0),0))=FALSE,SUMIF(Kalkulation!$A$6:$A$40,Kasse!C$5&amp;"*",Kalkulation!$C$6:$C$40)*VLOOKUP($A66,Bestellungen!$6:$1048576,MATCH(Kasse!C$5,Bestellungen!$A$5:$X$5,0),0),"")</f>
        <v/>
      </c>
      <c r="D66" s="26" t="str">
        <f>IF(ISERROR(VLOOKUP($A66,Bestellungen!$6:$1048576,MATCH(Kasse!D$5,Bestellungen!$A$5:$X$5,0),0))=FALSE,SUMIF(Kalkulation!$A$6:$A$40,Kasse!D$5&amp;"*",Kalkulation!$C$6:$C$40)*VLOOKUP($A66,Bestellungen!$6:$1048576,MATCH(Kasse!D$5,Bestellungen!$A$5:$X$5,0),0),"")</f>
        <v/>
      </c>
      <c r="E66" s="26" t="str">
        <f>IF(ISERROR(VLOOKUP($A66,Bestellungen!$6:$1048576,MATCH(Kasse!E$5,Bestellungen!$A$5:$X$5,0),0))=FALSE,SUMIF(Kalkulation!$A$6:$A$40,Kasse!E$5&amp;"*",Kalkulation!$C$6:$C$40)*VLOOKUP($A66,Bestellungen!$6:$1048576,MATCH(Kasse!E$5,Bestellungen!$A$5:$X$5,0),0),"")</f>
        <v/>
      </c>
      <c r="F66" s="26" t="str">
        <f>IF(ISERROR(VLOOKUP($A66,Bestellungen!$6:$1048576,MATCH(Kasse!F$5,Bestellungen!$A$5:$X$5,0),0))=FALSE,SUMIF(Kalkulation!$A$6:$A$40,Kasse!F$5&amp;"*",Kalkulation!$C$6:$C$40)*VLOOKUP($A66,Bestellungen!$6:$1048576,MATCH(Kasse!F$5,Bestellungen!$A$5:$X$5,0),0),"")</f>
        <v/>
      </c>
      <c r="G66" s="26" t="str">
        <f>IF(ISERROR(VLOOKUP($A66,Bestellungen!$6:$1048576,MATCH(Kasse!G$5,Bestellungen!$A$5:$X$5,0),0))=FALSE,SUMIF(Kalkulation!$A$6:$A$40,Kasse!G$5&amp;"*",Kalkulation!$C$6:$C$40)*VLOOKUP($A66,Bestellungen!$6:$1048576,MATCH(Kasse!G$5,Bestellungen!$A$5:$X$5,0),0),"")</f>
        <v/>
      </c>
      <c r="H66" s="26" t="str">
        <f>IF(ISERROR(VLOOKUP($A66,Bestellungen!$6:$1048576,MATCH(Kasse!H$5,Bestellungen!$A$5:$X$5,0),0))=FALSE,SUMIF(Kalkulation!$A$6:$A$40,Kasse!H$5&amp;"*",Kalkulation!$C$6:$C$40)*VLOOKUP($A66,Bestellungen!$6:$1048576,MATCH(Kasse!H$5,Bestellungen!$A$5:$X$5,0),0),"")</f>
        <v/>
      </c>
      <c r="I66" s="26" t="str">
        <f>IF(ISERROR(VLOOKUP($A66,Bestellungen!$6:$1048576,MATCH(Kasse!I$5,Bestellungen!$A$5:$X$5,0),0))=FALSE,SUMIF(Kalkulation!$A$6:$A$40,Kasse!I$5&amp;"*",Kalkulation!$C$6:$C$40)*VLOOKUP($A66,Bestellungen!$6:$1048576,MATCH(Kasse!I$5,Bestellungen!$A$5:$X$5,0),0),"")</f>
        <v/>
      </c>
      <c r="J66" s="26" t="str">
        <f>IF(ISERROR(VLOOKUP($A66,Bestellungen!$6:$1048576,MATCH(Kasse!J$5,Bestellungen!$A$5:$X$5,0),0))=FALSE,SUMIF(Kalkulation!$A$6:$A$40,Kasse!J$5&amp;"*",Kalkulation!$C$6:$C$40)*VLOOKUP($A66,Bestellungen!$6:$1048576,MATCH(Kasse!J$5,Bestellungen!$A$5:$X$5,0),0),"")</f>
        <v/>
      </c>
      <c r="K66" s="26" t="str">
        <f>IF(ISERROR(VLOOKUP($A66,Bestellungen!$6:$1048576,MATCH(Kasse!K$5,Bestellungen!$A$5:$X$5,0),0))=FALSE,SUMIF(Kalkulation!$A$6:$A$40,Kasse!K$5&amp;"*",Kalkulation!$C$6:$C$40)*VLOOKUP($A66,Bestellungen!$6:$1048576,MATCH(Kasse!K$5,Bestellungen!$A$5:$X$5,0),0),"")</f>
        <v/>
      </c>
      <c r="L66" s="26" t="str">
        <f>IF(ISERROR(VLOOKUP($A66,Bestellungen!$6:$1048576,MATCH(Kasse!L$5,Bestellungen!$A$5:$X$5,0),0))=FALSE,SUMIF(Kalkulation!$A$6:$A$40,Kasse!L$5&amp;"*",Kalkulation!$C$6:$C$40)*VLOOKUP($A66,Bestellungen!$6:$1048576,MATCH(Kasse!L$5,Bestellungen!$A$5:$X$5,0),0),"")</f>
        <v/>
      </c>
      <c r="M66" s="26" t="str">
        <f>IF(ISERROR(VLOOKUP($A66,Bestellungen!$6:$1048576,MATCH(Kasse!M$5,Bestellungen!$A$5:$X$5,0),0))=FALSE,SUMIF(Kalkulation!$A$6:$A$40,Kasse!M$5&amp;"*",Kalkulation!$C$6:$C$40)*VLOOKUP($A66,Bestellungen!$6:$1048576,MATCH(Kasse!M$5,Bestellungen!$A$5:$X$5,0),0),"")</f>
        <v/>
      </c>
      <c r="N66" s="26" t="str">
        <f>IF(ISERROR(VLOOKUP($A66,Bestellungen!$6:$1048576,MATCH(Kasse!N$5,Bestellungen!$A$5:$X$5,0),0))=FALSE,SUMIF(Kalkulation!$A$6:$A$40,Kasse!N$5&amp;"*",Kalkulation!$C$6:$C$40)*VLOOKUP($A66,Bestellungen!$6:$1048576,MATCH(Kasse!N$5,Bestellungen!$A$5:$X$5,0),0),"")</f>
        <v/>
      </c>
      <c r="O66" s="26" t="str">
        <f>IF(ISERROR(VLOOKUP($A66,Bestellungen!$6:$1048576,MATCH(Kasse!O$5,Bestellungen!$A$5:$X$5,0),0))=FALSE,SUMIF(Kalkulation!$A$6:$A$40,Kasse!O$5&amp;"*",Kalkulation!$C$6:$C$40)*VLOOKUP($A66,Bestellungen!$6:$1048576,MATCH(Kasse!O$5,Bestellungen!$A$5:$X$5,0),0),"")</f>
        <v/>
      </c>
      <c r="P66" s="26" t="str">
        <f>IF(ISERROR(VLOOKUP($A66,Bestellungen!$6:$1048576,MATCH(Kasse!P$5,Bestellungen!$A$5:$X$5,0),0))=FALSE,SUMIF(Kalkulation!$A$6:$A$40,Kasse!P$5&amp;"*",Kalkulation!$C$6:$C$40)*VLOOKUP($A66,Bestellungen!$6:$1048576,MATCH(Kasse!P$5,Bestellungen!$A$5:$X$5,0),0),"")</f>
        <v/>
      </c>
      <c r="Q66" s="26" t="str">
        <f>IF(ISERROR(VLOOKUP($A66,Bestellungen!$6:$1048576,MATCH(Kasse!Q$5,Bestellungen!$A$5:$X$5,0),0))=FALSE,SUMIF(Kalkulation!$A$6:$A$40,Kasse!Q$5&amp;"*",Kalkulation!$C$6:$C$40)*VLOOKUP($A66,Bestellungen!$6:$1048576,MATCH(Kasse!Q$5,Bestellungen!$A$5:$X$5,0),0),"")</f>
        <v/>
      </c>
      <c r="R66" s="26" t="str">
        <f>IF(ISERROR(VLOOKUP($A66,Bestellungen!$6:$1048576,MATCH(Kasse!R$5,Bestellungen!$A$5:$X$5,0),0))=FALSE,SUMIF(Kalkulation!$A$6:$A$40,Kasse!R$5&amp;"*",Kalkulation!$C$6:$C$40)*VLOOKUP($A66,Bestellungen!$6:$1048576,MATCH(Kasse!R$5,Bestellungen!$A$5:$X$5,0),0),"")</f>
        <v/>
      </c>
      <c r="S66" s="26" t="str">
        <f>IF(ISERROR(VLOOKUP($A66,Bestellungen!$6:$1048576,MATCH(Kasse!S$5,Bestellungen!$A$5:$X$5,0),0))=FALSE,SUMIF(Kalkulation!$A$6:$A$40,Kasse!S$5&amp;"*",Kalkulation!$C$6:$C$40)*VLOOKUP($A66,Bestellungen!$6:$1048576,MATCH(Kasse!S$5,Bestellungen!$A$5:$X$5,0),0),"")</f>
        <v/>
      </c>
      <c r="T66" s="26" t="str">
        <f>IF(ISERROR(VLOOKUP($A66,Bestellungen!$6:$1048576,MATCH(Kasse!T$5,Bestellungen!$A$5:$X$5,0),0))=FALSE,SUMIF(Kalkulation!$A$6:$A$40,Kasse!T$5&amp;"*",Kalkulation!$C$6:$C$40)*VLOOKUP($A66,Bestellungen!$6:$1048576,MATCH(Kasse!T$5,Bestellungen!$A$5:$X$5,0),0),"")</f>
        <v/>
      </c>
      <c r="U66" s="26" t="str">
        <f t="shared" si="0"/>
        <v/>
      </c>
      <c r="W66" s="26" t="str">
        <f t="shared" si="1"/>
        <v/>
      </c>
      <c r="X66" s="26"/>
      <c r="Y66" s="26"/>
      <c r="Z66" s="26"/>
      <c r="AA66" s="26"/>
    </row>
    <row r="67" spans="1:27" x14ac:dyDescent="0.25">
      <c r="A67" t="str">
        <f>IF(LEN(Bestellungen!$A67)&gt;0,Bestellungen!$A67,"")</f>
        <v/>
      </c>
      <c r="B67" s="26" t="str">
        <f>IF(ISERROR(VLOOKUP($A67,Bestellungen!$6:$1048576,MATCH(Kasse!B$5,Bestellungen!$A$5:$X$5,0),0))=FALSE,SUMIF(Kalkulation!$A$6:$A$40,Kasse!B$5&amp;"*",Kalkulation!$C$6:$C$40)*VLOOKUP($A67,Bestellungen!$6:$1048576,MATCH(Kasse!B$5,Bestellungen!$A$5:$X$5,0),0),"")</f>
        <v/>
      </c>
      <c r="C67" s="26" t="str">
        <f>IF(ISERROR(VLOOKUP($A67,Bestellungen!$6:$1048576,MATCH(Kasse!C$5,Bestellungen!$A$5:$X$5,0),0))=FALSE,SUMIF(Kalkulation!$A$6:$A$40,Kasse!C$5&amp;"*",Kalkulation!$C$6:$C$40)*VLOOKUP($A67,Bestellungen!$6:$1048576,MATCH(Kasse!C$5,Bestellungen!$A$5:$X$5,0),0),"")</f>
        <v/>
      </c>
      <c r="D67" s="26" t="str">
        <f>IF(ISERROR(VLOOKUP($A67,Bestellungen!$6:$1048576,MATCH(Kasse!D$5,Bestellungen!$A$5:$X$5,0),0))=FALSE,SUMIF(Kalkulation!$A$6:$A$40,Kasse!D$5&amp;"*",Kalkulation!$C$6:$C$40)*VLOOKUP($A67,Bestellungen!$6:$1048576,MATCH(Kasse!D$5,Bestellungen!$A$5:$X$5,0),0),"")</f>
        <v/>
      </c>
      <c r="E67" s="26" t="str">
        <f>IF(ISERROR(VLOOKUP($A67,Bestellungen!$6:$1048576,MATCH(Kasse!E$5,Bestellungen!$A$5:$X$5,0),0))=FALSE,SUMIF(Kalkulation!$A$6:$A$40,Kasse!E$5&amp;"*",Kalkulation!$C$6:$C$40)*VLOOKUP($A67,Bestellungen!$6:$1048576,MATCH(Kasse!E$5,Bestellungen!$A$5:$X$5,0),0),"")</f>
        <v/>
      </c>
      <c r="F67" s="26" t="str">
        <f>IF(ISERROR(VLOOKUP($A67,Bestellungen!$6:$1048576,MATCH(Kasse!F$5,Bestellungen!$A$5:$X$5,0),0))=FALSE,SUMIF(Kalkulation!$A$6:$A$40,Kasse!F$5&amp;"*",Kalkulation!$C$6:$C$40)*VLOOKUP($A67,Bestellungen!$6:$1048576,MATCH(Kasse!F$5,Bestellungen!$A$5:$X$5,0),0),"")</f>
        <v/>
      </c>
      <c r="G67" s="26" t="str">
        <f>IF(ISERROR(VLOOKUP($A67,Bestellungen!$6:$1048576,MATCH(Kasse!G$5,Bestellungen!$A$5:$X$5,0),0))=FALSE,SUMIF(Kalkulation!$A$6:$A$40,Kasse!G$5&amp;"*",Kalkulation!$C$6:$C$40)*VLOOKUP($A67,Bestellungen!$6:$1048576,MATCH(Kasse!G$5,Bestellungen!$A$5:$X$5,0),0),"")</f>
        <v/>
      </c>
      <c r="H67" s="26" t="str">
        <f>IF(ISERROR(VLOOKUP($A67,Bestellungen!$6:$1048576,MATCH(Kasse!H$5,Bestellungen!$A$5:$X$5,0),0))=FALSE,SUMIF(Kalkulation!$A$6:$A$40,Kasse!H$5&amp;"*",Kalkulation!$C$6:$C$40)*VLOOKUP($A67,Bestellungen!$6:$1048576,MATCH(Kasse!H$5,Bestellungen!$A$5:$X$5,0),0),"")</f>
        <v/>
      </c>
      <c r="I67" s="26" t="str">
        <f>IF(ISERROR(VLOOKUP($A67,Bestellungen!$6:$1048576,MATCH(Kasse!I$5,Bestellungen!$A$5:$X$5,0),0))=FALSE,SUMIF(Kalkulation!$A$6:$A$40,Kasse!I$5&amp;"*",Kalkulation!$C$6:$C$40)*VLOOKUP($A67,Bestellungen!$6:$1048576,MATCH(Kasse!I$5,Bestellungen!$A$5:$X$5,0),0),"")</f>
        <v/>
      </c>
      <c r="J67" s="26" t="str">
        <f>IF(ISERROR(VLOOKUP($A67,Bestellungen!$6:$1048576,MATCH(Kasse!J$5,Bestellungen!$A$5:$X$5,0),0))=FALSE,SUMIF(Kalkulation!$A$6:$A$40,Kasse!J$5&amp;"*",Kalkulation!$C$6:$C$40)*VLOOKUP($A67,Bestellungen!$6:$1048576,MATCH(Kasse!J$5,Bestellungen!$A$5:$X$5,0),0),"")</f>
        <v/>
      </c>
      <c r="K67" s="26" t="str">
        <f>IF(ISERROR(VLOOKUP($A67,Bestellungen!$6:$1048576,MATCH(Kasse!K$5,Bestellungen!$A$5:$X$5,0),0))=FALSE,SUMIF(Kalkulation!$A$6:$A$40,Kasse!K$5&amp;"*",Kalkulation!$C$6:$C$40)*VLOOKUP($A67,Bestellungen!$6:$1048576,MATCH(Kasse!K$5,Bestellungen!$A$5:$X$5,0),0),"")</f>
        <v/>
      </c>
      <c r="L67" s="26" t="str">
        <f>IF(ISERROR(VLOOKUP($A67,Bestellungen!$6:$1048576,MATCH(Kasse!L$5,Bestellungen!$A$5:$X$5,0),0))=FALSE,SUMIF(Kalkulation!$A$6:$A$40,Kasse!L$5&amp;"*",Kalkulation!$C$6:$C$40)*VLOOKUP($A67,Bestellungen!$6:$1048576,MATCH(Kasse!L$5,Bestellungen!$A$5:$X$5,0),0),"")</f>
        <v/>
      </c>
      <c r="M67" s="26" t="str">
        <f>IF(ISERROR(VLOOKUP($A67,Bestellungen!$6:$1048576,MATCH(Kasse!M$5,Bestellungen!$A$5:$X$5,0),0))=FALSE,SUMIF(Kalkulation!$A$6:$A$40,Kasse!M$5&amp;"*",Kalkulation!$C$6:$C$40)*VLOOKUP($A67,Bestellungen!$6:$1048576,MATCH(Kasse!M$5,Bestellungen!$A$5:$X$5,0),0),"")</f>
        <v/>
      </c>
      <c r="N67" s="26" t="str">
        <f>IF(ISERROR(VLOOKUP($A67,Bestellungen!$6:$1048576,MATCH(Kasse!N$5,Bestellungen!$A$5:$X$5,0),0))=FALSE,SUMIF(Kalkulation!$A$6:$A$40,Kasse!N$5&amp;"*",Kalkulation!$C$6:$C$40)*VLOOKUP($A67,Bestellungen!$6:$1048576,MATCH(Kasse!N$5,Bestellungen!$A$5:$X$5,0),0),"")</f>
        <v/>
      </c>
      <c r="O67" s="26" t="str">
        <f>IF(ISERROR(VLOOKUP($A67,Bestellungen!$6:$1048576,MATCH(Kasse!O$5,Bestellungen!$A$5:$X$5,0),0))=FALSE,SUMIF(Kalkulation!$A$6:$A$40,Kasse!O$5&amp;"*",Kalkulation!$C$6:$C$40)*VLOOKUP($A67,Bestellungen!$6:$1048576,MATCH(Kasse!O$5,Bestellungen!$A$5:$X$5,0),0),"")</f>
        <v/>
      </c>
      <c r="P67" s="26" t="str">
        <f>IF(ISERROR(VLOOKUP($A67,Bestellungen!$6:$1048576,MATCH(Kasse!P$5,Bestellungen!$A$5:$X$5,0),0))=FALSE,SUMIF(Kalkulation!$A$6:$A$40,Kasse!P$5&amp;"*",Kalkulation!$C$6:$C$40)*VLOOKUP($A67,Bestellungen!$6:$1048576,MATCH(Kasse!P$5,Bestellungen!$A$5:$X$5,0),0),"")</f>
        <v/>
      </c>
      <c r="Q67" s="26" t="str">
        <f>IF(ISERROR(VLOOKUP($A67,Bestellungen!$6:$1048576,MATCH(Kasse!Q$5,Bestellungen!$A$5:$X$5,0),0))=FALSE,SUMIF(Kalkulation!$A$6:$A$40,Kasse!Q$5&amp;"*",Kalkulation!$C$6:$C$40)*VLOOKUP($A67,Bestellungen!$6:$1048576,MATCH(Kasse!Q$5,Bestellungen!$A$5:$X$5,0),0),"")</f>
        <v/>
      </c>
      <c r="R67" s="26" t="str">
        <f>IF(ISERROR(VLOOKUP($A67,Bestellungen!$6:$1048576,MATCH(Kasse!R$5,Bestellungen!$A$5:$X$5,0),0))=FALSE,SUMIF(Kalkulation!$A$6:$A$40,Kasse!R$5&amp;"*",Kalkulation!$C$6:$C$40)*VLOOKUP($A67,Bestellungen!$6:$1048576,MATCH(Kasse!R$5,Bestellungen!$A$5:$X$5,0),0),"")</f>
        <v/>
      </c>
      <c r="S67" s="26" t="str">
        <f>IF(ISERROR(VLOOKUP($A67,Bestellungen!$6:$1048576,MATCH(Kasse!S$5,Bestellungen!$A$5:$X$5,0),0))=FALSE,SUMIF(Kalkulation!$A$6:$A$40,Kasse!S$5&amp;"*",Kalkulation!$C$6:$C$40)*VLOOKUP($A67,Bestellungen!$6:$1048576,MATCH(Kasse!S$5,Bestellungen!$A$5:$X$5,0),0),"")</f>
        <v/>
      </c>
      <c r="T67" s="26" t="str">
        <f>IF(ISERROR(VLOOKUP($A67,Bestellungen!$6:$1048576,MATCH(Kasse!T$5,Bestellungen!$A$5:$X$5,0),0))=FALSE,SUMIF(Kalkulation!$A$6:$A$40,Kasse!T$5&amp;"*",Kalkulation!$C$6:$C$40)*VLOOKUP($A67,Bestellungen!$6:$1048576,MATCH(Kasse!T$5,Bestellungen!$A$5:$X$5,0),0),"")</f>
        <v/>
      </c>
      <c r="U67" s="26" t="str">
        <f t="shared" si="0"/>
        <v/>
      </c>
      <c r="W67" s="26" t="str">
        <f t="shared" si="1"/>
        <v/>
      </c>
      <c r="X67" s="26"/>
      <c r="Y67" s="26"/>
      <c r="Z67" s="26"/>
      <c r="AA67" s="26"/>
    </row>
    <row r="68" spans="1:27" x14ac:dyDescent="0.25">
      <c r="A68" t="str">
        <f>IF(LEN(Bestellungen!$A68)&gt;0,Bestellungen!$A68,"")</f>
        <v/>
      </c>
      <c r="B68" s="26" t="str">
        <f>IF(ISERROR(VLOOKUP($A68,Bestellungen!$6:$1048576,MATCH(Kasse!B$5,Bestellungen!$A$5:$X$5,0),0))=FALSE,SUMIF(Kalkulation!$A$6:$A$40,Kasse!B$5&amp;"*",Kalkulation!$C$6:$C$40)*VLOOKUP($A68,Bestellungen!$6:$1048576,MATCH(Kasse!B$5,Bestellungen!$A$5:$X$5,0),0),"")</f>
        <v/>
      </c>
      <c r="C68" s="26" t="str">
        <f>IF(ISERROR(VLOOKUP($A68,Bestellungen!$6:$1048576,MATCH(Kasse!C$5,Bestellungen!$A$5:$X$5,0),0))=FALSE,SUMIF(Kalkulation!$A$6:$A$40,Kasse!C$5&amp;"*",Kalkulation!$C$6:$C$40)*VLOOKUP($A68,Bestellungen!$6:$1048576,MATCH(Kasse!C$5,Bestellungen!$A$5:$X$5,0),0),"")</f>
        <v/>
      </c>
      <c r="D68" s="26" t="str">
        <f>IF(ISERROR(VLOOKUP($A68,Bestellungen!$6:$1048576,MATCH(Kasse!D$5,Bestellungen!$A$5:$X$5,0),0))=FALSE,SUMIF(Kalkulation!$A$6:$A$40,Kasse!D$5&amp;"*",Kalkulation!$C$6:$C$40)*VLOOKUP($A68,Bestellungen!$6:$1048576,MATCH(Kasse!D$5,Bestellungen!$A$5:$X$5,0),0),"")</f>
        <v/>
      </c>
      <c r="E68" s="26" t="str">
        <f>IF(ISERROR(VLOOKUP($A68,Bestellungen!$6:$1048576,MATCH(Kasse!E$5,Bestellungen!$A$5:$X$5,0),0))=FALSE,SUMIF(Kalkulation!$A$6:$A$40,Kasse!E$5&amp;"*",Kalkulation!$C$6:$C$40)*VLOOKUP($A68,Bestellungen!$6:$1048576,MATCH(Kasse!E$5,Bestellungen!$A$5:$X$5,0),0),"")</f>
        <v/>
      </c>
      <c r="F68" s="26" t="str">
        <f>IF(ISERROR(VLOOKUP($A68,Bestellungen!$6:$1048576,MATCH(Kasse!F$5,Bestellungen!$A$5:$X$5,0),0))=FALSE,SUMIF(Kalkulation!$A$6:$A$40,Kasse!F$5&amp;"*",Kalkulation!$C$6:$C$40)*VLOOKUP($A68,Bestellungen!$6:$1048576,MATCH(Kasse!F$5,Bestellungen!$A$5:$X$5,0),0),"")</f>
        <v/>
      </c>
      <c r="G68" s="26" t="str">
        <f>IF(ISERROR(VLOOKUP($A68,Bestellungen!$6:$1048576,MATCH(Kasse!G$5,Bestellungen!$A$5:$X$5,0),0))=FALSE,SUMIF(Kalkulation!$A$6:$A$40,Kasse!G$5&amp;"*",Kalkulation!$C$6:$C$40)*VLOOKUP($A68,Bestellungen!$6:$1048576,MATCH(Kasse!G$5,Bestellungen!$A$5:$X$5,0),0),"")</f>
        <v/>
      </c>
      <c r="H68" s="26" t="str">
        <f>IF(ISERROR(VLOOKUP($A68,Bestellungen!$6:$1048576,MATCH(Kasse!H$5,Bestellungen!$A$5:$X$5,0),0))=FALSE,SUMIF(Kalkulation!$A$6:$A$40,Kasse!H$5&amp;"*",Kalkulation!$C$6:$C$40)*VLOOKUP($A68,Bestellungen!$6:$1048576,MATCH(Kasse!H$5,Bestellungen!$A$5:$X$5,0),0),"")</f>
        <v/>
      </c>
      <c r="I68" s="26" t="str">
        <f>IF(ISERROR(VLOOKUP($A68,Bestellungen!$6:$1048576,MATCH(Kasse!I$5,Bestellungen!$A$5:$X$5,0),0))=FALSE,SUMIF(Kalkulation!$A$6:$A$40,Kasse!I$5&amp;"*",Kalkulation!$C$6:$C$40)*VLOOKUP($A68,Bestellungen!$6:$1048576,MATCH(Kasse!I$5,Bestellungen!$A$5:$X$5,0),0),"")</f>
        <v/>
      </c>
      <c r="J68" s="26" t="str">
        <f>IF(ISERROR(VLOOKUP($A68,Bestellungen!$6:$1048576,MATCH(Kasse!J$5,Bestellungen!$A$5:$X$5,0),0))=FALSE,SUMIF(Kalkulation!$A$6:$A$40,Kasse!J$5&amp;"*",Kalkulation!$C$6:$C$40)*VLOOKUP($A68,Bestellungen!$6:$1048576,MATCH(Kasse!J$5,Bestellungen!$A$5:$X$5,0),0),"")</f>
        <v/>
      </c>
      <c r="K68" s="26" t="str">
        <f>IF(ISERROR(VLOOKUP($A68,Bestellungen!$6:$1048576,MATCH(Kasse!K$5,Bestellungen!$A$5:$X$5,0),0))=FALSE,SUMIF(Kalkulation!$A$6:$A$40,Kasse!K$5&amp;"*",Kalkulation!$C$6:$C$40)*VLOOKUP($A68,Bestellungen!$6:$1048576,MATCH(Kasse!K$5,Bestellungen!$A$5:$X$5,0),0),"")</f>
        <v/>
      </c>
      <c r="L68" s="26" t="str">
        <f>IF(ISERROR(VLOOKUP($A68,Bestellungen!$6:$1048576,MATCH(Kasse!L$5,Bestellungen!$A$5:$X$5,0),0))=FALSE,SUMIF(Kalkulation!$A$6:$A$40,Kasse!L$5&amp;"*",Kalkulation!$C$6:$C$40)*VLOOKUP($A68,Bestellungen!$6:$1048576,MATCH(Kasse!L$5,Bestellungen!$A$5:$X$5,0),0),"")</f>
        <v/>
      </c>
      <c r="M68" s="26" t="str">
        <f>IF(ISERROR(VLOOKUP($A68,Bestellungen!$6:$1048576,MATCH(Kasse!M$5,Bestellungen!$A$5:$X$5,0),0))=FALSE,SUMIF(Kalkulation!$A$6:$A$40,Kasse!M$5&amp;"*",Kalkulation!$C$6:$C$40)*VLOOKUP($A68,Bestellungen!$6:$1048576,MATCH(Kasse!M$5,Bestellungen!$A$5:$X$5,0),0),"")</f>
        <v/>
      </c>
      <c r="N68" s="26" t="str">
        <f>IF(ISERROR(VLOOKUP($A68,Bestellungen!$6:$1048576,MATCH(Kasse!N$5,Bestellungen!$A$5:$X$5,0),0))=FALSE,SUMIF(Kalkulation!$A$6:$A$40,Kasse!N$5&amp;"*",Kalkulation!$C$6:$C$40)*VLOOKUP($A68,Bestellungen!$6:$1048576,MATCH(Kasse!N$5,Bestellungen!$A$5:$X$5,0),0),"")</f>
        <v/>
      </c>
      <c r="O68" s="26" t="str">
        <f>IF(ISERROR(VLOOKUP($A68,Bestellungen!$6:$1048576,MATCH(Kasse!O$5,Bestellungen!$A$5:$X$5,0),0))=FALSE,SUMIF(Kalkulation!$A$6:$A$40,Kasse!O$5&amp;"*",Kalkulation!$C$6:$C$40)*VLOOKUP($A68,Bestellungen!$6:$1048576,MATCH(Kasse!O$5,Bestellungen!$A$5:$X$5,0),0),"")</f>
        <v/>
      </c>
      <c r="P68" s="26" t="str">
        <f>IF(ISERROR(VLOOKUP($A68,Bestellungen!$6:$1048576,MATCH(Kasse!P$5,Bestellungen!$A$5:$X$5,0),0))=FALSE,SUMIF(Kalkulation!$A$6:$A$40,Kasse!P$5&amp;"*",Kalkulation!$C$6:$C$40)*VLOOKUP($A68,Bestellungen!$6:$1048576,MATCH(Kasse!P$5,Bestellungen!$A$5:$X$5,0),0),"")</f>
        <v/>
      </c>
      <c r="Q68" s="26" t="str">
        <f>IF(ISERROR(VLOOKUP($A68,Bestellungen!$6:$1048576,MATCH(Kasse!Q$5,Bestellungen!$A$5:$X$5,0),0))=FALSE,SUMIF(Kalkulation!$A$6:$A$40,Kasse!Q$5&amp;"*",Kalkulation!$C$6:$C$40)*VLOOKUP($A68,Bestellungen!$6:$1048576,MATCH(Kasse!Q$5,Bestellungen!$A$5:$X$5,0),0),"")</f>
        <v/>
      </c>
      <c r="R68" s="26" t="str">
        <f>IF(ISERROR(VLOOKUP($A68,Bestellungen!$6:$1048576,MATCH(Kasse!R$5,Bestellungen!$A$5:$X$5,0),0))=FALSE,SUMIF(Kalkulation!$A$6:$A$40,Kasse!R$5&amp;"*",Kalkulation!$C$6:$C$40)*VLOOKUP($A68,Bestellungen!$6:$1048576,MATCH(Kasse!R$5,Bestellungen!$A$5:$X$5,0),0),"")</f>
        <v/>
      </c>
      <c r="S68" s="26" t="str">
        <f>IF(ISERROR(VLOOKUP($A68,Bestellungen!$6:$1048576,MATCH(Kasse!S$5,Bestellungen!$A$5:$X$5,0),0))=FALSE,SUMIF(Kalkulation!$A$6:$A$40,Kasse!S$5&amp;"*",Kalkulation!$C$6:$C$40)*VLOOKUP($A68,Bestellungen!$6:$1048576,MATCH(Kasse!S$5,Bestellungen!$A$5:$X$5,0),0),"")</f>
        <v/>
      </c>
      <c r="T68" s="26" t="str">
        <f>IF(ISERROR(VLOOKUP($A68,Bestellungen!$6:$1048576,MATCH(Kasse!T$5,Bestellungen!$A$5:$X$5,0),0))=FALSE,SUMIF(Kalkulation!$A$6:$A$40,Kasse!T$5&amp;"*",Kalkulation!$C$6:$C$40)*VLOOKUP($A68,Bestellungen!$6:$1048576,MATCH(Kasse!T$5,Bestellungen!$A$5:$X$5,0),0),"")</f>
        <v/>
      </c>
      <c r="U68" s="26" t="str">
        <f t="shared" si="0"/>
        <v/>
      </c>
      <c r="W68" s="26" t="str">
        <f t="shared" si="1"/>
        <v/>
      </c>
      <c r="X68" s="26"/>
      <c r="Y68" s="26"/>
      <c r="Z68" s="26"/>
      <c r="AA68" s="26"/>
    </row>
    <row r="69" spans="1:27" x14ac:dyDescent="0.25">
      <c r="A69" t="str">
        <f>IF(LEN(Bestellungen!$A69)&gt;0,Bestellungen!$A69,"")</f>
        <v/>
      </c>
      <c r="B69" s="26" t="str">
        <f>IF(ISERROR(VLOOKUP($A69,Bestellungen!$6:$1048576,MATCH(Kasse!B$5,Bestellungen!$A$5:$X$5,0),0))=FALSE,SUMIF(Kalkulation!$A$6:$A$40,Kasse!B$5&amp;"*",Kalkulation!$C$6:$C$40)*VLOOKUP($A69,Bestellungen!$6:$1048576,MATCH(Kasse!B$5,Bestellungen!$A$5:$X$5,0),0),"")</f>
        <v/>
      </c>
      <c r="C69" s="26" t="str">
        <f>IF(ISERROR(VLOOKUP($A69,Bestellungen!$6:$1048576,MATCH(Kasse!C$5,Bestellungen!$A$5:$X$5,0),0))=FALSE,SUMIF(Kalkulation!$A$6:$A$40,Kasse!C$5&amp;"*",Kalkulation!$C$6:$C$40)*VLOOKUP($A69,Bestellungen!$6:$1048576,MATCH(Kasse!C$5,Bestellungen!$A$5:$X$5,0),0),"")</f>
        <v/>
      </c>
      <c r="D69" s="26" t="str">
        <f>IF(ISERROR(VLOOKUP($A69,Bestellungen!$6:$1048576,MATCH(Kasse!D$5,Bestellungen!$A$5:$X$5,0),0))=FALSE,SUMIF(Kalkulation!$A$6:$A$40,Kasse!D$5&amp;"*",Kalkulation!$C$6:$C$40)*VLOOKUP($A69,Bestellungen!$6:$1048576,MATCH(Kasse!D$5,Bestellungen!$A$5:$X$5,0),0),"")</f>
        <v/>
      </c>
      <c r="E69" s="26" t="str">
        <f>IF(ISERROR(VLOOKUP($A69,Bestellungen!$6:$1048576,MATCH(Kasse!E$5,Bestellungen!$A$5:$X$5,0),0))=FALSE,SUMIF(Kalkulation!$A$6:$A$40,Kasse!E$5&amp;"*",Kalkulation!$C$6:$C$40)*VLOOKUP($A69,Bestellungen!$6:$1048576,MATCH(Kasse!E$5,Bestellungen!$A$5:$X$5,0),0),"")</f>
        <v/>
      </c>
      <c r="F69" s="26" t="str">
        <f>IF(ISERROR(VLOOKUP($A69,Bestellungen!$6:$1048576,MATCH(Kasse!F$5,Bestellungen!$A$5:$X$5,0),0))=FALSE,SUMIF(Kalkulation!$A$6:$A$40,Kasse!F$5&amp;"*",Kalkulation!$C$6:$C$40)*VLOOKUP($A69,Bestellungen!$6:$1048576,MATCH(Kasse!F$5,Bestellungen!$A$5:$X$5,0),0),"")</f>
        <v/>
      </c>
      <c r="G69" s="26" t="str">
        <f>IF(ISERROR(VLOOKUP($A69,Bestellungen!$6:$1048576,MATCH(Kasse!G$5,Bestellungen!$A$5:$X$5,0),0))=FALSE,SUMIF(Kalkulation!$A$6:$A$40,Kasse!G$5&amp;"*",Kalkulation!$C$6:$C$40)*VLOOKUP($A69,Bestellungen!$6:$1048576,MATCH(Kasse!G$5,Bestellungen!$A$5:$X$5,0),0),"")</f>
        <v/>
      </c>
      <c r="H69" s="26" t="str">
        <f>IF(ISERROR(VLOOKUP($A69,Bestellungen!$6:$1048576,MATCH(Kasse!H$5,Bestellungen!$A$5:$X$5,0),0))=FALSE,SUMIF(Kalkulation!$A$6:$A$40,Kasse!H$5&amp;"*",Kalkulation!$C$6:$C$40)*VLOOKUP($A69,Bestellungen!$6:$1048576,MATCH(Kasse!H$5,Bestellungen!$A$5:$X$5,0),0),"")</f>
        <v/>
      </c>
      <c r="I69" s="26" t="str">
        <f>IF(ISERROR(VLOOKUP($A69,Bestellungen!$6:$1048576,MATCH(Kasse!I$5,Bestellungen!$A$5:$X$5,0),0))=FALSE,SUMIF(Kalkulation!$A$6:$A$40,Kasse!I$5&amp;"*",Kalkulation!$C$6:$C$40)*VLOOKUP($A69,Bestellungen!$6:$1048576,MATCH(Kasse!I$5,Bestellungen!$A$5:$X$5,0),0),"")</f>
        <v/>
      </c>
      <c r="J69" s="26" t="str">
        <f>IF(ISERROR(VLOOKUP($A69,Bestellungen!$6:$1048576,MATCH(Kasse!J$5,Bestellungen!$A$5:$X$5,0),0))=FALSE,SUMIF(Kalkulation!$A$6:$A$40,Kasse!J$5&amp;"*",Kalkulation!$C$6:$C$40)*VLOOKUP($A69,Bestellungen!$6:$1048576,MATCH(Kasse!J$5,Bestellungen!$A$5:$X$5,0),0),"")</f>
        <v/>
      </c>
      <c r="K69" s="26" t="str">
        <f>IF(ISERROR(VLOOKUP($A69,Bestellungen!$6:$1048576,MATCH(Kasse!K$5,Bestellungen!$A$5:$X$5,0),0))=FALSE,SUMIF(Kalkulation!$A$6:$A$40,Kasse!K$5&amp;"*",Kalkulation!$C$6:$C$40)*VLOOKUP($A69,Bestellungen!$6:$1048576,MATCH(Kasse!K$5,Bestellungen!$A$5:$X$5,0),0),"")</f>
        <v/>
      </c>
      <c r="L69" s="26" t="str">
        <f>IF(ISERROR(VLOOKUP($A69,Bestellungen!$6:$1048576,MATCH(Kasse!L$5,Bestellungen!$A$5:$X$5,0),0))=FALSE,SUMIF(Kalkulation!$A$6:$A$40,Kasse!L$5&amp;"*",Kalkulation!$C$6:$C$40)*VLOOKUP($A69,Bestellungen!$6:$1048576,MATCH(Kasse!L$5,Bestellungen!$A$5:$X$5,0),0),"")</f>
        <v/>
      </c>
      <c r="M69" s="26" t="str">
        <f>IF(ISERROR(VLOOKUP($A69,Bestellungen!$6:$1048576,MATCH(Kasse!M$5,Bestellungen!$A$5:$X$5,0),0))=FALSE,SUMIF(Kalkulation!$A$6:$A$40,Kasse!M$5&amp;"*",Kalkulation!$C$6:$C$40)*VLOOKUP($A69,Bestellungen!$6:$1048576,MATCH(Kasse!M$5,Bestellungen!$A$5:$X$5,0),0),"")</f>
        <v/>
      </c>
      <c r="N69" s="26" t="str">
        <f>IF(ISERROR(VLOOKUP($A69,Bestellungen!$6:$1048576,MATCH(Kasse!N$5,Bestellungen!$A$5:$X$5,0),0))=FALSE,SUMIF(Kalkulation!$A$6:$A$40,Kasse!N$5&amp;"*",Kalkulation!$C$6:$C$40)*VLOOKUP($A69,Bestellungen!$6:$1048576,MATCH(Kasse!N$5,Bestellungen!$A$5:$X$5,0),0),"")</f>
        <v/>
      </c>
      <c r="O69" s="26" t="str">
        <f>IF(ISERROR(VLOOKUP($A69,Bestellungen!$6:$1048576,MATCH(Kasse!O$5,Bestellungen!$A$5:$X$5,0),0))=FALSE,SUMIF(Kalkulation!$A$6:$A$40,Kasse!O$5&amp;"*",Kalkulation!$C$6:$C$40)*VLOOKUP($A69,Bestellungen!$6:$1048576,MATCH(Kasse!O$5,Bestellungen!$A$5:$X$5,0),0),"")</f>
        <v/>
      </c>
      <c r="P69" s="26" t="str">
        <f>IF(ISERROR(VLOOKUP($A69,Bestellungen!$6:$1048576,MATCH(Kasse!P$5,Bestellungen!$A$5:$X$5,0),0))=FALSE,SUMIF(Kalkulation!$A$6:$A$40,Kasse!P$5&amp;"*",Kalkulation!$C$6:$C$40)*VLOOKUP($A69,Bestellungen!$6:$1048576,MATCH(Kasse!P$5,Bestellungen!$A$5:$X$5,0),0),"")</f>
        <v/>
      </c>
      <c r="Q69" s="26" t="str">
        <f>IF(ISERROR(VLOOKUP($A69,Bestellungen!$6:$1048576,MATCH(Kasse!Q$5,Bestellungen!$A$5:$X$5,0),0))=FALSE,SUMIF(Kalkulation!$A$6:$A$40,Kasse!Q$5&amp;"*",Kalkulation!$C$6:$C$40)*VLOOKUP($A69,Bestellungen!$6:$1048576,MATCH(Kasse!Q$5,Bestellungen!$A$5:$X$5,0),0),"")</f>
        <v/>
      </c>
      <c r="R69" s="26" t="str">
        <f>IF(ISERROR(VLOOKUP($A69,Bestellungen!$6:$1048576,MATCH(Kasse!R$5,Bestellungen!$A$5:$X$5,0),0))=FALSE,SUMIF(Kalkulation!$A$6:$A$40,Kasse!R$5&amp;"*",Kalkulation!$C$6:$C$40)*VLOOKUP($A69,Bestellungen!$6:$1048576,MATCH(Kasse!R$5,Bestellungen!$A$5:$X$5,0),0),"")</f>
        <v/>
      </c>
      <c r="S69" s="26" t="str">
        <f>IF(ISERROR(VLOOKUP($A69,Bestellungen!$6:$1048576,MATCH(Kasse!S$5,Bestellungen!$A$5:$X$5,0),0))=FALSE,SUMIF(Kalkulation!$A$6:$A$40,Kasse!S$5&amp;"*",Kalkulation!$C$6:$C$40)*VLOOKUP($A69,Bestellungen!$6:$1048576,MATCH(Kasse!S$5,Bestellungen!$A$5:$X$5,0),0),"")</f>
        <v/>
      </c>
      <c r="T69" s="26" t="str">
        <f>IF(ISERROR(VLOOKUP($A69,Bestellungen!$6:$1048576,MATCH(Kasse!T$5,Bestellungen!$A$5:$X$5,0),0))=FALSE,SUMIF(Kalkulation!$A$6:$A$40,Kasse!T$5&amp;"*",Kalkulation!$C$6:$C$40)*VLOOKUP($A69,Bestellungen!$6:$1048576,MATCH(Kasse!T$5,Bestellungen!$A$5:$X$5,0),0),"")</f>
        <v/>
      </c>
      <c r="U69" s="26" t="str">
        <f t="shared" si="0"/>
        <v/>
      </c>
      <c r="W69" s="26" t="str">
        <f t="shared" si="1"/>
        <v/>
      </c>
      <c r="X69" s="26"/>
      <c r="Y69" s="26"/>
      <c r="Z69" s="26"/>
      <c r="AA69" s="26"/>
    </row>
    <row r="70" spans="1:27" x14ac:dyDescent="0.25">
      <c r="A70" t="str">
        <f>IF(LEN(Bestellungen!$A70)&gt;0,Bestellungen!$A70,"")</f>
        <v/>
      </c>
      <c r="B70" s="26" t="str">
        <f>IF(ISERROR(VLOOKUP($A70,Bestellungen!$6:$1048576,MATCH(Kasse!B$5,Bestellungen!$A$5:$X$5,0),0))=FALSE,SUMIF(Kalkulation!$A$6:$A$40,Kasse!B$5&amp;"*",Kalkulation!$C$6:$C$40)*VLOOKUP($A70,Bestellungen!$6:$1048576,MATCH(Kasse!B$5,Bestellungen!$A$5:$X$5,0),0),"")</f>
        <v/>
      </c>
      <c r="C70" s="26" t="str">
        <f>IF(ISERROR(VLOOKUP($A70,Bestellungen!$6:$1048576,MATCH(Kasse!C$5,Bestellungen!$A$5:$X$5,0),0))=FALSE,SUMIF(Kalkulation!$A$6:$A$40,Kasse!C$5&amp;"*",Kalkulation!$C$6:$C$40)*VLOOKUP($A70,Bestellungen!$6:$1048576,MATCH(Kasse!C$5,Bestellungen!$A$5:$X$5,0),0),"")</f>
        <v/>
      </c>
      <c r="D70" s="26" t="str">
        <f>IF(ISERROR(VLOOKUP($A70,Bestellungen!$6:$1048576,MATCH(Kasse!D$5,Bestellungen!$A$5:$X$5,0),0))=FALSE,SUMIF(Kalkulation!$A$6:$A$40,Kasse!D$5&amp;"*",Kalkulation!$C$6:$C$40)*VLOOKUP($A70,Bestellungen!$6:$1048576,MATCH(Kasse!D$5,Bestellungen!$A$5:$X$5,0),0),"")</f>
        <v/>
      </c>
      <c r="E70" s="26" t="str">
        <f>IF(ISERROR(VLOOKUP($A70,Bestellungen!$6:$1048576,MATCH(Kasse!E$5,Bestellungen!$A$5:$X$5,0),0))=FALSE,SUMIF(Kalkulation!$A$6:$A$40,Kasse!E$5&amp;"*",Kalkulation!$C$6:$C$40)*VLOOKUP($A70,Bestellungen!$6:$1048576,MATCH(Kasse!E$5,Bestellungen!$A$5:$X$5,0),0),"")</f>
        <v/>
      </c>
      <c r="F70" s="26" t="str">
        <f>IF(ISERROR(VLOOKUP($A70,Bestellungen!$6:$1048576,MATCH(Kasse!F$5,Bestellungen!$A$5:$X$5,0),0))=FALSE,SUMIF(Kalkulation!$A$6:$A$40,Kasse!F$5&amp;"*",Kalkulation!$C$6:$C$40)*VLOOKUP($A70,Bestellungen!$6:$1048576,MATCH(Kasse!F$5,Bestellungen!$A$5:$X$5,0),0),"")</f>
        <v/>
      </c>
      <c r="G70" s="26" t="str">
        <f>IF(ISERROR(VLOOKUP($A70,Bestellungen!$6:$1048576,MATCH(Kasse!G$5,Bestellungen!$A$5:$X$5,0),0))=FALSE,SUMIF(Kalkulation!$A$6:$A$40,Kasse!G$5&amp;"*",Kalkulation!$C$6:$C$40)*VLOOKUP($A70,Bestellungen!$6:$1048576,MATCH(Kasse!G$5,Bestellungen!$A$5:$X$5,0),0),"")</f>
        <v/>
      </c>
      <c r="H70" s="26" t="str">
        <f>IF(ISERROR(VLOOKUP($A70,Bestellungen!$6:$1048576,MATCH(Kasse!H$5,Bestellungen!$A$5:$X$5,0),0))=FALSE,SUMIF(Kalkulation!$A$6:$A$40,Kasse!H$5&amp;"*",Kalkulation!$C$6:$C$40)*VLOOKUP($A70,Bestellungen!$6:$1048576,MATCH(Kasse!H$5,Bestellungen!$A$5:$X$5,0),0),"")</f>
        <v/>
      </c>
      <c r="I70" s="26" t="str">
        <f>IF(ISERROR(VLOOKUP($A70,Bestellungen!$6:$1048576,MATCH(Kasse!I$5,Bestellungen!$A$5:$X$5,0),0))=FALSE,SUMIF(Kalkulation!$A$6:$A$40,Kasse!I$5&amp;"*",Kalkulation!$C$6:$C$40)*VLOOKUP($A70,Bestellungen!$6:$1048576,MATCH(Kasse!I$5,Bestellungen!$A$5:$X$5,0),0),"")</f>
        <v/>
      </c>
      <c r="J70" s="26" t="str">
        <f>IF(ISERROR(VLOOKUP($A70,Bestellungen!$6:$1048576,MATCH(Kasse!J$5,Bestellungen!$A$5:$X$5,0),0))=FALSE,SUMIF(Kalkulation!$A$6:$A$40,Kasse!J$5&amp;"*",Kalkulation!$C$6:$C$40)*VLOOKUP($A70,Bestellungen!$6:$1048576,MATCH(Kasse!J$5,Bestellungen!$A$5:$X$5,0),0),"")</f>
        <v/>
      </c>
      <c r="K70" s="26" t="str">
        <f>IF(ISERROR(VLOOKUP($A70,Bestellungen!$6:$1048576,MATCH(Kasse!K$5,Bestellungen!$A$5:$X$5,0),0))=FALSE,SUMIF(Kalkulation!$A$6:$A$40,Kasse!K$5&amp;"*",Kalkulation!$C$6:$C$40)*VLOOKUP($A70,Bestellungen!$6:$1048576,MATCH(Kasse!K$5,Bestellungen!$A$5:$X$5,0),0),"")</f>
        <v/>
      </c>
      <c r="L70" s="26" t="str">
        <f>IF(ISERROR(VLOOKUP($A70,Bestellungen!$6:$1048576,MATCH(Kasse!L$5,Bestellungen!$A$5:$X$5,0),0))=FALSE,SUMIF(Kalkulation!$A$6:$A$40,Kasse!L$5&amp;"*",Kalkulation!$C$6:$C$40)*VLOOKUP($A70,Bestellungen!$6:$1048576,MATCH(Kasse!L$5,Bestellungen!$A$5:$X$5,0),0),"")</f>
        <v/>
      </c>
      <c r="M70" s="26" t="str">
        <f>IF(ISERROR(VLOOKUP($A70,Bestellungen!$6:$1048576,MATCH(Kasse!M$5,Bestellungen!$A$5:$X$5,0),0))=FALSE,SUMIF(Kalkulation!$A$6:$A$40,Kasse!M$5&amp;"*",Kalkulation!$C$6:$C$40)*VLOOKUP($A70,Bestellungen!$6:$1048576,MATCH(Kasse!M$5,Bestellungen!$A$5:$X$5,0),0),"")</f>
        <v/>
      </c>
      <c r="N70" s="26" t="str">
        <f>IF(ISERROR(VLOOKUP($A70,Bestellungen!$6:$1048576,MATCH(Kasse!N$5,Bestellungen!$A$5:$X$5,0),0))=FALSE,SUMIF(Kalkulation!$A$6:$A$40,Kasse!N$5&amp;"*",Kalkulation!$C$6:$C$40)*VLOOKUP($A70,Bestellungen!$6:$1048576,MATCH(Kasse!N$5,Bestellungen!$A$5:$X$5,0),0),"")</f>
        <v/>
      </c>
      <c r="O70" s="26" t="str">
        <f>IF(ISERROR(VLOOKUP($A70,Bestellungen!$6:$1048576,MATCH(Kasse!O$5,Bestellungen!$A$5:$X$5,0),0))=FALSE,SUMIF(Kalkulation!$A$6:$A$40,Kasse!O$5&amp;"*",Kalkulation!$C$6:$C$40)*VLOOKUP($A70,Bestellungen!$6:$1048576,MATCH(Kasse!O$5,Bestellungen!$A$5:$X$5,0),0),"")</f>
        <v/>
      </c>
      <c r="P70" s="26" t="str">
        <f>IF(ISERROR(VLOOKUP($A70,Bestellungen!$6:$1048576,MATCH(Kasse!P$5,Bestellungen!$A$5:$X$5,0),0))=FALSE,SUMIF(Kalkulation!$A$6:$A$40,Kasse!P$5&amp;"*",Kalkulation!$C$6:$C$40)*VLOOKUP($A70,Bestellungen!$6:$1048576,MATCH(Kasse!P$5,Bestellungen!$A$5:$X$5,0),0),"")</f>
        <v/>
      </c>
      <c r="Q70" s="26" t="str">
        <f>IF(ISERROR(VLOOKUP($A70,Bestellungen!$6:$1048576,MATCH(Kasse!Q$5,Bestellungen!$A$5:$X$5,0),0))=FALSE,SUMIF(Kalkulation!$A$6:$A$40,Kasse!Q$5&amp;"*",Kalkulation!$C$6:$C$40)*VLOOKUP($A70,Bestellungen!$6:$1048576,MATCH(Kasse!Q$5,Bestellungen!$A$5:$X$5,0),0),"")</f>
        <v/>
      </c>
      <c r="R70" s="26" t="str">
        <f>IF(ISERROR(VLOOKUP($A70,Bestellungen!$6:$1048576,MATCH(Kasse!R$5,Bestellungen!$A$5:$X$5,0),0))=FALSE,SUMIF(Kalkulation!$A$6:$A$40,Kasse!R$5&amp;"*",Kalkulation!$C$6:$C$40)*VLOOKUP($A70,Bestellungen!$6:$1048576,MATCH(Kasse!R$5,Bestellungen!$A$5:$X$5,0),0),"")</f>
        <v/>
      </c>
      <c r="S70" s="26" t="str">
        <f>IF(ISERROR(VLOOKUP($A70,Bestellungen!$6:$1048576,MATCH(Kasse!S$5,Bestellungen!$A$5:$X$5,0),0))=FALSE,SUMIF(Kalkulation!$A$6:$A$40,Kasse!S$5&amp;"*",Kalkulation!$C$6:$C$40)*VLOOKUP($A70,Bestellungen!$6:$1048576,MATCH(Kasse!S$5,Bestellungen!$A$5:$X$5,0),0),"")</f>
        <v/>
      </c>
      <c r="T70" s="26" t="str">
        <f>IF(ISERROR(VLOOKUP($A70,Bestellungen!$6:$1048576,MATCH(Kasse!T$5,Bestellungen!$A$5:$X$5,0),0))=FALSE,SUMIF(Kalkulation!$A$6:$A$40,Kasse!T$5&amp;"*",Kalkulation!$C$6:$C$40)*VLOOKUP($A70,Bestellungen!$6:$1048576,MATCH(Kasse!T$5,Bestellungen!$A$5:$X$5,0),0),"")</f>
        <v/>
      </c>
      <c r="U70" s="26" t="str">
        <f t="shared" si="0"/>
        <v/>
      </c>
      <c r="W70" s="26" t="str">
        <f t="shared" si="1"/>
        <v/>
      </c>
      <c r="X70" s="26"/>
      <c r="Y70" s="26"/>
      <c r="Z70" s="26"/>
      <c r="AA70" s="26"/>
    </row>
    <row r="71" spans="1:27" x14ac:dyDescent="0.25">
      <c r="A71" t="str">
        <f>IF(LEN(Bestellungen!$A71)&gt;0,Bestellungen!$A71,"")</f>
        <v/>
      </c>
      <c r="B71" s="26" t="str">
        <f>IF(ISERROR(VLOOKUP($A71,Bestellungen!$6:$1048576,MATCH(Kasse!B$5,Bestellungen!$A$5:$X$5,0),0))=FALSE,SUMIF(Kalkulation!$A$6:$A$40,Kasse!B$5&amp;"*",Kalkulation!$C$6:$C$40)*VLOOKUP($A71,Bestellungen!$6:$1048576,MATCH(Kasse!B$5,Bestellungen!$A$5:$X$5,0),0),"")</f>
        <v/>
      </c>
      <c r="C71" s="26" t="str">
        <f>IF(ISERROR(VLOOKUP($A71,Bestellungen!$6:$1048576,MATCH(Kasse!C$5,Bestellungen!$A$5:$X$5,0),0))=FALSE,SUMIF(Kalkulation!$A$6:$A$40,Kasse!C$5&amp;"*",Kalkulation!$C$6:$C$40)*VLOOKUP($A71,Bestellungen!$6:$1048576,MATCH(Kasse!C$5,Bestellungen!$A$5:$X$5,0),0),"")</f>
        <v/>
      </c>
      <c r="D71" s="26" t="str">
        <f>IF(ISERROR(VLOOKUP($A71,Bestellungen!$6:$1048576,MATCH(Kasse!D$5,Bestellungen!$A$5:$X$5,0),0))=FALSE,SUMIF(Kalkulation!$A$6:$A$40,Kasse!D$5&amp;"*",Kalkulation!$C$6:$C$40)*VLOOKUP($A71,Bestellungen!$6:$1048576,MATCH(Kasse!D$5,Bestellungen!$A$5:$X$5,0),0),"")</f>
        <v/>
      </c>
      <c r="E71" s="26" t="str">
        <f>IF(ISERROR(VLOOKUP($A71,Bestellungen!$6:$1048576,MATCH(Kasse!E$5,Bestellungen!$A$5:$X$5,0),0))=FALSE,SUMIF(Kalkulation!$A$6:$A$40,Kasse!E$5&amp;"*",Kalkulation!$C$6:$C$40)*VLOOKUP($A71,Bestellungen!$6:$1048576,MATCH(Kasse!E$5,Bestellungen!$A$5:$X$5,0),0),"")</f>
        <v/>
      </c>
      <c r="F71" s="26" t="str">
        <f>IF(ISERROR(VLOOKUP($A71,Bestellungen!$6:$1048576,MATCH(Kasse!F$5,Bestellungen!$A$5:$X$5,0),0))=FALSE,SUMIF(Kalkulation!$A$6:$A$40,Kasse!F$5&amp;"*",Kalkulation!$C$6:$C$40)*VLOOKUP($A71,Bestellungen!$6:$1048576,MATCH(Kasse!F$5,Bestellungen!$A$5:$X$5,0),0),"")</f>
        <v/>
      </c>
      <c r="G71" s="26" t="str">
        <f>IF(ISERROR(VLOOKUP($A71,Bestellungen!$6:$1048576,MATCH(Kasse!G$5,Bestellungen!$A$5:$X$5,0),0))=FALSE,SUMIF(Kalkulation!$A$6:$A$40,Kasse!G$5&amp;"*",Kalkulation!$C$6:$C$40)*VLOOKUP($A71,Bestellungen!$6:$1048576,MATCH(Kasse!G$5,Bestellungen!$A$5:$X$5,0),0),"")</f>
        <v/>
      </c>
      <c r="H71" s="26" t="str">
        <f>IF(ISERROR(VLOOKUP($A71,Bestellungen!$6:$1048576,MATCH(Kasse!H$5,Bestellungen!$A$5:$X$5,0),0))=FALSE,SUMIF(Kalkulation!$A$6:$A$40,Kasse!H$5&amp;"*",Kalkulation!$C$6:$C$40)*VLOOKUP($A71,Bestellungen!$6:$1048576,MATCH(Kasse!H$5,Bestellungen!$A$5:$X$5,0),0),"")</f>
        <v/>
      </c>
      <c r="I71" s="26" t="str">
        <f>IF(ISERROR(VLOOKUP($A71,Bestellungen!$6:$1048576,MATCH(Kasse!I$5,Bestellungen!$A$5:$X$5,0),0))=FALSE,SUMIF(Kalkulation!$A$6:$A$40,Kasse!I$5&amp;"*",Kalkulation!$C$6:$C$40)*VLOOKUP($A71,Bestellungen!$6:$1048576,MATCH(Kasse!I$5,Bestellungen!$A$5:$X$5,0),0),"")</f>
        <v/>
      </c>
      <c r="J71" s="26" t="str">
        <f>IF(ISERROR(VLOOKUP($A71,Bestellungen!$6:$1048576,MATCH(Kasse!J$5,Bestellungen!$A$5:$X$5,0),0))=FALSE,SUMIF(Kalkulation!$A$6:$A$40,Kasse!J$5&amp;"*",Kalkulation!$C$6:$C$40)*VLOOKUP($A71,Bestellungen!$6:$1048576,MATCH(Kasse!J$5,Bestellungen!$A$5:$X$5,0),0),"")</f>
        <v/>
      </c>
      <c r="K71" s="26" t="str">
        <f>IF(ISERROR(VLOOKUP($A71,Bestellungen!$6:$1048576,MATCH(Kasse!K$5,Bestellungen!$A$5:$X$5,0),0))=FALSE,SUMIF(Kalkulation!$A$6:$A$40,Kasse!K$5&amp;"*",Kalkulation!$C$6:$C$40)*VLOOKUP($A71,Bestellungen!$6:$1048576,MATCH(Kasse!K$5,Bestellungen!$A$5:$X$5,0),0),"")</f>
        <v/>
      </c>
      <c r="L71" s="26" t="str">
        <f>IF(ISERROR(VLOOKUP($A71,Bestellungen!$6:$1048576,MATCH(Kasse!L$5,Bestellungen!$A$5:$X$5,0),0))=FALSE,SUMIF(Kalkulation!$A$6:$A$40,Kasse!L$5&amp;"*",Kalkulation!$C$6:$C$40)*VLOOKUP($A71,Bestellungen!$6:$1048576,MATCH(Kasse!L$5,Bestellungen!$A$5:$X$5,0),0),"")</f>
        <v/>
      </c>
      <c r="M71" s="26" t="str">
        <f>IF(ISERROR(VLOOKUP($A71,Bestellungen!$6:$1048576,MATCH(Kasse!M$5,Bestellungen!$A$5:$X$5,0),0))=FALSE,SUMIF(Kalkulation!$A$6:$A$40,Kasse!M$5&amp;"*",Kalkulation!$C$6:$C$40)*VLOOKUP($A71,Bestellungen!$6:$1048576,MATCH(Kasse!M$5,Bestellungen!$A$5:$X$5,0),0),"")</f>
        <v/>
      </c>
      <c r="N71" s="26" t="str">
        <f>IF(ISERROR(VLOOKUP($A71,Bestellungen!$6:$1048576,MATCH(Kasse!N$5,Bestellungen!$A$5:$X$5,0),0))=FALSE,SUMIF(Kalkulation!$A$6:$A$40,Kasse!N$5&amp;"*",Kalkulation!$C$6:$C$40)*VLOOKUP($A71,Bestellungen!$6:$1048576,MATCH(Kasse!N$5,Bestellungen!$A$5:$X$5,0),0),"")</f>
        <v/>
      </c>
      <c r="O71" s="26" t="str">
        <f>IF(ISERROR(VLOOKUP($A71,Bestellungen!$6:$1048576,MATCH(Kasse!O$5,Bestellungen!$A$5:$X$5,0),0))=FALSE,SUMIF(Kalkulation!$A$6:$A$40,Kasse!O$5&amp;"*",Kalkulation!$C$6:$C$40)*VLOOKUP($A71,Bestellungen!$6:$1048576,MATCH(Kasse!O$5,Bestellungen!$A$5:$X$5,0),0),"")</f>
        <v/>
      </c>
      <c r="P71" s="26" t="str">
        <f>IF(ISERROR(VLOOKUP($A71,Bestellungen!$6:$1048576,MATCH(Kasse!P$5,Bestellungen!$A$5:$X$5,0),0))=FALSE,SUMIF(Kalkulation!$A$6:$A$40,Kasse!P$5&amp;"*",Kalkulation!$C$6:$C$40)*VLOOKUP($A71,Bestellungen!$6:$1048576,MATCH(Kasse!P$5,Bestellungen!$A$5:$X$5,0),0),"")</f>
        <v/>
      </c>
      <c r="Q71" s="26" t="str">
        <f>IF(ISERROR(VLOOKUP($A71,Bestellungen!$6:$1048576,MATCH(Kasse!Q$5,Bestellungen!$A$5:$X$5,0),0))=FALSE,SUMIF(Kalkulation!$A$6:$A$40,Kasse!Q$5&amp;"*",Kalkulation!$C$6:$C$40)*VLOOKUP($A71,Bestellungen!$6:$1048576,MATCH(Kasse!Q$5,Bestellungen!$A$5:$X$5,0),0),"")</f>
        <v/>
      </c>
      <c r="R71" s="26" t="str">
        <f>IF(ISERROR(VLOOKUP($A71,Bestellungen!$6:$1048576,MATCH(Kasse!R$5,Bestellungen!$A$5:$X$5,0),0))=FALSE,SUMIF(Kalkulation!$A$6:$A$40,Kasse!R$5&amp;"*",Kalkulation!$C$6:$C$40)*VLOOKUP($A71,Bestellungen!$6:$1048576,MATCH(Kasse!R$5,Bestellungen!$A$5:$X$5,0),0),"")</f>
        <v/>
      </c>
      <c r="S71" s="26" t="str">
        <f>IF(ISERROR(VLOOKUP($A71,Bestellungen!$6:$1048576,MATCH(Kasse!S$5,Bestellungen!$A$5:$X$5,0),0))=FALSE,SUMIF(Kalkulation!$A$6:$A$40,Kasse!S$5&amp;"*",Kalkulation!$C$6:$C$40)*VLOOKUP($A71,Bestellungen!$6:$1048576,MATCH(Kasse!S$5,Bestellungen!$A$5:$X$5,0),0),"")</f>
        <v/>
      </c>
      <c r="T71" s="26" t="str">
        <f>IF(ISERROR(VLOOKUP($A71,Bestellungen!$6:$1048576,MATCH(Kasse!T$5,Bestellungen!$A$5:$X$5,0),0))=FALSE,SUMIF(Kalkulation!$A$6:$A$40,Kasse!T$5&amp;"*",Kalkulation!$C$6:$C$40)*VLOOKUP($A71,Bestellungen!$6:$1048576,MATCH(Kasse!T$5,Bestellungen!$A$5:$X$5,0),0),"")</f>
        <v/>
      </c>
      <c r="U71" s="26" t="str">
        <f t="shared" ref="U71:U134" si="2">IF(COUNT(B71:M71)&gt;0,SUM(B71:M71),"")</f>
        <v/>
      </c>
      <c r="W71" s="26" t="str">
        <f t="shared" ref="W71:W134" si="3">IF(AND(ISNUMBER(U71),ISNUMBER(VALUE(V71))),VALUE(V71)-U71,"")</f>
        <v/>
      </c>
      <c r="X71" s="26"/>
      <c r="Y71" s="26"/>
      <c r="Z71" s="26"/>
      <c r="AA71" s="26"/>
    </row>
    <row r="72" spans="1:27" x14ac:dyDescent="0.25">
      <c r="A72" t="str">
        <f>IF(LEN(Bestellungen!$A72)&gt;0,Bestellungen!$A72,"")</f>
        <v/>
      </c>
      <c r="B72" s="26" t="str">
        <f>IF(ISERROR(VLOOKUP($A72,Bestellungen!$6:$1048576,MATCH(Kasse!B$5,Bestellungen!$A$5:$X$5,0),0))=FALSE,SUMIF(Kalkulation!$A$6:$A$40,Kasse!B$5&amp;"*",Kalkulation!$C$6:$C$40)*VLOOKUP($A72,Bestellungen!$6:$1048576,MATCH(Kasse!B$5,Bestellungen!$A$5:$X$5,0),0),"")</f>
        <v/>
      </c>
      <c r="C72" s="26" t="str">
        <f>IF(ISERROR(VLOOKUP($A72,Bestellungen!$6:$1048576,MATCH(Kasse!C$5,Bestellungen!$A$5:$X$5,0),0))=FALSE,SUMIF(Kalkulation!$A$6:$A$40,Kasse!C$5&amp;"*",Kalkulation!$C$6:$C$40)*VLOOKUP($A72,Bestellungen!$6:$1048576,MATCH(Kasse!C$5,Bestellungen!$A$5:$X$5,0),0),"")</f>
        <v/>
      </c>
      <c r="D72" s="26" t="str">
        <f>IF(ISERROR(VLOOKUP($A72,Bestellungen!$6:$1048576,MATCH(Kasse!D$5,Bestellungen!$A$5:$X$5,0),0))=FALSE,SUMIF(Kalkulation!$A$6:$A$40,Kasse!D$5&amp;"*",Kalkulation!$C$6:$C$40)*VLOOKUP($A72,Bestellungen!$6:$1048576,MATCH(Kasse!D$5,Bestellungen!$A$5:$X$5,0),0),"")</f>
        <v/>
      </c>
      <c r="E72" s="26" t="str">
        <f>IF(ISERROR(VLOOKUP($A72,Bestellungen!$6:$1048576,MATCH(Kasse!E$5,Bestellungen!$A$5:$X$5,0),0))=FALSE,SUMIF(Kalkulation!$A$6:$A$40,Kasse!E$5&amp;"*",Kalkulation!$C$6:$C$40)*VLOOKUP($A72,Bestellungen!$6:$1048576,MATCH(Kasse!E$5,Bestellungen!$A$5:$X$5,0),0),"")</f>
        <v/>
      </c>
      <c r="F72" s="26" t="str">
        <f>IF(ISERROR(VLOOKUP($A72,Bestellungen!$6:$1048576,MATCH(Kasse!F$5,Bestellungen!$A$5:$X$5,0),0))=FALSE,SUMIF(Kalkulation!$A$6:$A$40,Kasse!F$5&amp;"*",Kalkulation!$C$6:$C$40)*VLOOKUP($A72,Bestellungen!$6:$1048576,MATCH(Kasse!F$5,Bestellungen!$A$5:$X$5,0),0),"")</f>
        <v/>
      </c>
      <c r="G72" s="26" t="str">
        <f>IF(ISERROR(VLOOKUP($A72,Bestellungen!$6:$1048576,MATCH(Kasse!G$5,Bestellungen!$A$5:$X$5,0),0))=FALSE,SUMIF(Kalkulation!$A$6:$A$40,Kasse!G$5&amp;"*",Kalkulation!$C$6:$C$40)*VLOOKUP($A72,Bestellungen!$6:$1048576,MATCH(Kasse!G$5,Bestellungen!$A$5:$X$5,0),0),"")</f>
        <v/>
      </c>
      <c r="H72" s="26" t="str">
        <f>IF(ISERROR(VLOOKUP($A72,Bestellungen!$6:$1048576,MATCH(Kasse!H$5,Bestellungen!$A$5:$X$5,0),0))=FALSE,SUMIF(Kalkulation!$A$6:$A$40,Kasse!H$5&amp;"*",Kalkulation!$C$6:$C$40)*VLOOKUP($A72,Bestellungen!$6:$1048576,MATCH(Kasse!H$5,Bestellungen!$A$5:$X$5,0),0),"")</f>
        <v/>
      </c>
      <c r="I72" s="26" t="str">
        <f>IF(ISERROR(VLOOKUP($A72,Bestellungen!$6:$1048576,MATCH(Kasse!I$5,Bestellungen!$A$5:$X$5,0),0))=FALSE,SUMIF(Kalkulation!$A$6:$A$40,Kasse!I$5&amp;"*",Kalkulation!$C$6:$C$40)*VLOOKUP($A72,Bestellungen!$6:$1048576,MATCH(Kasse!I$5,Bestellungen!$A$5:$X$5,0),0),"")</f>
        <v/>
      </c>
      <c r="J72" s="26" t="str">
        <f>IF(ISERROR(VLOOKUP($A72,Bestellungen!$6:$1048576,MATCH(Kasse!J$5,Bestellungen!$A$5:$X$5,0),0))=FALSE,SUMIF(Kalkulation!$A$6:$A$40,Kasse!J$5&amp;"*",Kalkulation!$C$6:$C$40)*VLOOKUP($A72,Bestellungen!$6:$1048576,MATCH(Kasse!J$5,Bestellungen!$A$5:$X$5,0),0),"")</f>
        <v/>
      </c>
      <c r="K72" s="26" t="str">
        <f>IF(ISERROR(VLOOKUP($A72,Bestellungen!$6:$1048576,MATCH(Kasse!K$5,Bestellungen!$A$5:$X$5,0),0))=FALSE,SUMIF(Kalkulation!$A$6:$A$40,Kasse!K$5&amp;"*",Kalkulation!$C$6:$C$40)*VLOOKUP($A72,Bestellungen!$6:$1048576,MATCH(Kasse!K$5,Bestellungen!$A$5:$X$5,0),0),"")</f>
        <v/>
      </c>
      <c r="L72" s="26" t="str">
        <f>IF(ISERROR(VLOOKUP($A72,Bestellungen!$6:$1048576,MATCH(Kasse!L$5,Bestellungen!$A$5:$X$5,0),0))=FALSE,SUMIF(Kalkulation!$A$6:$A$40,Kasse!L$5&amp;"*",Kalkulation!$C$6:$C$40)*VLOOKUP($A72,Bestellungen!$6:$1048576,MATCH(Kasse!L$5,Bestellungen!$A$5:$X$5,0),0),"")</f>
        <v/>
      </c>
      <c r="M72" s="26" t="str">
        <f>IF(ISERROR(VLOOKUP($A72,Bestellungen!$6:$1048576,MATCH(Kasse!M$5,Bestellungen!$A$5:$X$5,0),0))=FALSE,SUMIF(Kalkulation!$A$6:$A$40,Kasse!M$5&amp;"*",Kalkulation!$C$6:$C$40)*VLOOKUP($A72,Bestellungen!$6:$1048576,MATCH(Kasse!M$5,Bestellungen!$A$5:$X$5,0),0),"")</f>
        <v/>
      </c>
      <c r="N72" s="26" t="str">
        <f>IF(ISERROR(VLOOKUP($A72,Bestellungen!$6:$1048576,MATCH(Kasse!N$5,Bestellungen!$A$5:$X$5,0),0))=FALSE,SUMIF(Kalkulation!$A$6:$A$40,Kasse!N$5&amp;"*",Kalkulation!$C$6:$C$40)*VLOOKUP($A72,Bestellungen!$6:$1048576,MATCH(Kasse!N$5,Bestellungen!$A$5:$X$5,0),0),"")</f>
        <v/>
      </c>
      <c r="O72" s="26" t="str">
        <f>IF(ISERROR(VLOOKUP($A72,Bestellungen!$6:$1048576,MATCH(Kasse!O$5,Bestellungen!$A$5:$X$5,0),0))=FALSE,SUMIF(Kalkulation!$A$6:$A$40,Kasse!O$5&amp;"*",Kalkulation!$C$6:$C$40)*VLOOKUP($A72,Bestellungen!$6:$1048576,MATCH(Kasse!O$5,Bestellungen!$A$5:$X$5,0),0),"")</f>
        <v/>
      </c>
      <c r="P72" s="26" t="str">
        <f>IF(ISERROR(VLOOKUP($A72,Bestellungen!$6:$1048576,MATCH(Kasse!P$5,Bestellungen!$A$5:$X$5,0),0))=FALSE,SUMIF(Kalkulation!$A$6:$A$40,Kasse!P$5&amp;"*",Kalkulation!$C$6:$C$40)*VLOOKUP($A72,Bestellungen!$6:$1048576,MATCH(Kasse!P$5,Bestellungen!$A$5:$X$5,0),0),"")</f>
        <v/>
      </c>
      <c r="Q72" s="26" t="str">
        <f>IF(ISERROR(VLOOKUP($A72,Bestellungen!$6:$1048576,MATCH(Kasse!Q$5,Bestellungen!$A$5:$X$5,0),0))=FALSE,SUMIF(Kalkulation!$A$6:$A$40,Kasse!Q$5&amp;"*",Kalkulation!$C$6:$C$40)*VLOOKUP($A72,Bestellungen!$6:$1048576,MATCH(Kasse!Q$5,Bestellungen!$A$5:$X$5,0),0),"")</f>
        <v/>
      </c>
      <c r="R72" s="26" t="str">
        <f>IF(ISERROR(VLOOKUP($A72,Bestellungen!$6:$1048576,MATCH(Kasse!R$5,Bestellungen!$A$5:$X$5,0),0))=FALSE,SUMIF(Kalkulation!$A$6:$A$40,Kasse!R$5&amp;"*",Kalkulation!$C$6:$C$40)*VLOOKUP($A72,Bestellungen!$6:$1048576,MATCH(Kasse!R$5,Bestellungen!$A$5:$X$5,0),0),"")</f>
        <v/>
      </c>
      <c r="S72" s="26" t="str">
        <f>IF(ISERROR(VLOOKUP($A72,Bestellungen!$6:$1048576,MATCH(Kasse!S$5,Bestellungen!$A$5:$X$5,0),0))=FALSE,SUMIF(Kalkulation!$A$6:$A$40,Kasse!S$5&amp;"*",Kalkulation!$C$6:$C$40)*VLOOKUP($A72,Bestellungen!$6:$1048576,MATCH(Kasse!S$5,Bestellungen!$A$5:$X$5,0),0),"")</f>
        <v/>
      </c>
      <c r="T72" s="26" t="str">
        <f>IF(ISERROR(VLOOKUP($A72,Bestellungen!$6:$1048576,MATCH(Kasse!T$5,Bestellungen!$A$5:$X$5,0),0))=FALSE,SUMIF(Kalkulation!$A$6:$A$40,Kasse!T$5&amp;"*",Kalkulation!$C$6:$C$40)*VLOOKUP($A72,Bestellungen!$6:$1048576,MATCH(Kasse!T$5,Bestellungen!$A$5:$X$5,0),0),"")</f>
        <v/>
      </c>
      <c r="U72" s="26" t="str">
        <f t="shared" si="2"/>
        <v/>
      </c>
      <c r="W72" s="26" t="str">
        <f t="shared" si="3"/>
        <v/>
      </c>
      <c r="X72" s="26"/>
      <c r="Y72" s="26"/>
      <c r="Z72" s="26"/>
      <c r="AA72" s="26"/>
    </row>
    <row r="73" spans="1:27" x14ac:dyDescent="0.25">
      <c r="A73" t="str">
        <f>IF(LEN(Bestellungen!$A73)&gt;0,Bestellungen!$A73,"")</f>
        <v/>
      </c>
      <c r="B73" s="26" t="str">
        <f>IF(ISERROR(VLOOKUP($A73,Bestellungen!$6:$1048576,MATCH(Kasse!B$5,Bestellungen!$A$5:$X$5,0),0))=FALSE,SUMIF(Kalkulation!$A$6:$A$40,Kasse!B$5&amp;"*",Kalkulation!$C$6:$C$40)*VLOOKUP($A73,Bestellungen!$6:$1048576,MATCH(Kasse!B$5,Bestellungen!$A$5:$X$5,0),0),"")</f>
        <v/>
      </c>
      <c r="C73" s="26" t="str">
        <f>IF(ISERROR(VLOOKUP($A73,Bestellungen!$6:$1048576,MATCH(Kasse!C$5,Bestellungen!$A$5:$X$5,0),0))=FALSE,SUMIF(Kalkulation!$A$6:$A$40,Kasse!C$5&amp;"*",Kalkulation!$C$6:$C$40)*VLOOKUP($A73,Bestellungen!$6:$1048576,MATCH(Kasse!C$5,Bestellungen!$A$5:$X$5,0),0),"")</f>
        <v/>
      </c>
      <c r="D73" s="26" t="str">
        <f>IF(ISERROR(VLOOKUP($A73,Bestellungen!$6:$1048576,MATCH(Kasse!D$5,Bestellungen!$A$5:$X$5,0),0))=FALSE,SUMIF(Kalkulation!$A$6:$A$40,Kasse!D$5&amp;"*",Kalkulation!$C$6:$C$40)*VLOOKUP($A73,Bestellungen!$6:$1048576,MATCH(Kasse!D$5,Bestellungen!$A$5:$X$5,0),0),"")</f>
        <v/>
      </c>
      <c r="E73" s="26" t="str">
        <f>IF(ISERROR(VLOOKUP($A73,Bestellungen!$6:$1048576,MATCH(Kasse!E$5,Bestellungen!$A$5:$X$5,0),0))=FALSE,SUMIF(Kalkulation!$A$6:$A$40,Kasse!E$5&amp;"*",Kalkulation!$C$6:$C$40)*VLOOKUP($A73,Bestellungen!$6:$1048576,MATCH(Kasse!E$5,Bestellungen!$A$5:$X$5,0),0),"")</f>
        <v/>
      </c>
      <c r="F73" s="26" t="str">
        <f>IF(ISERROR(VLOOKUP($A73,Bestellungen!$6:$1048576,MATCH(Kasse!F$5,Bestellungen!$A$5:$X$5,0),0))=FALSE,SUMIF(Kalkulation!$A$6:$A$40,Kasse!F$5&amp;"*",Kalkulation!$C$6:$C$40)*VLOOKUP($A73,Bestellungen!$6:$1048576,MATCH(Kasse!F$5,Bestellungen!$A$5:$X$5,0),0),"")</f>
        <v/>
      </c>
      <c r="G73" s="26" t="str">
        <f>IF(ISERROR(VLOOKUP($A73,Bestellungen!$6:$1048576,MATCH(Kasse!G$5,Bestellungen!$A$5:$X$5,0),0))=FALSE,SUMIF(Kalkulation!$A$6:$A$40,Kasse!G$5&amp;"*",Kalkulation!$C$6:$C$40)*VLOOKUP($A73,Bestellungen!$6:$1048576,MATCH(Kasse!G$5,Bestellungen!$A$5:$X$5,0),0),"")</f>
        <v/>
      </c>
      <c r="H73" s="26" t="str">
        <f>IF(ISERROR(VLOOKUP($A73,Bestellungen!$6:$1048576,MATCH(Kasse!H$5,Bestellungen!$A$5:$X$5,0),0))=FALSE,SUMIF(Kalkulation!$A$6:$A$40,Kasse!H$5&amp;"*",Kalkulation!$C$6:$C$40)*VLOOKUP($A73,Bestellungen!$6:$1048576,MATCH(Kasse!H$5,Bestellungen!$A$5:$X$5,0),0),"")</f>
        <v/>
      </c>
      <c r="I73" s="26" t="str">
        <f>IF(ISERROR(VLOOKUP($A73,Bestellungen!$6:$1048576,MATCH(Kasse!I$5,Bestellungen!$A$5:$X$5,0),0))=FALSE,SUMIF(Kalkulation!$A$6:$A$40,Kasse!I$5&amp;"*",Kalkulation!$C$6:$C$40)*VLOOKUP($A73,Bestellungen!$6:$1048576,MATCH(Kasse!I$5,Bestellungen!$A$5:$X$5,0),0),"")</f>
        <v/>
      </c>
      <c r="J73" s="26" t="str">
        <f>IF(ISERROR(VLOOKUP($A73,Bestellungen!$6:$1048576,MATCH(Kasse!J$5,Bestellungen!$A$5:$X$5,0),0))=FALSE,SUMIF(Kalkulation!$A$6:$A$40,Kasse!J$5&amp;"*",Kalkulation!$C$6:$C$40)*VLOOKUP($A73,Bestellungen!$6:$1048576,MATCH(Kasse!J$5,Bestellungen!$A$5:$X$5,0),0),"")</f>
        <v/>
      </c>
      <c r="K73" s="26" t="str">
        <f>IF(ISERROR(VLOOKUP($A73,Bestellungen!$6:$1048576,MATCH(Kasse!K$5,Bestellungen!$A$5:$X$5,0),0))=FALSE,SUMIF(Kalkulation!$A$6:$A$40,Kasse!K$5&amp;"*",Kalkulation!$C$6:$C$40)*VLOOKUP($A73,Bestellungen!$6:$1048576,MATCH(Kasse!K$5,Bestellungen!$A$5:$X$5,0),0),"")</f>
        <v/>
      </c>
      <c r="L73" s="26" t="str">
        <f>IF(ISERROR(VLOOKUP($A73,Bestellungen!$6:$1048576,MATCH(Kasse!L$5,Bestellungen!$A$5:$X$5,0),0))=FALSE,SUMIF(Kalkulation!$A$6:$A$40,Kasse!L$5&amp;"*",Kalkulation!$C$6:$C$40)*VLOOKUP($A73,Bestellungen!$6:$1048576,MATCH(Kasse!L$5,Bestellungen!$A$5:$X$5,0),0),"")</f>
        <v/>
      </c>
      <c r="M73" s="26" t="str">
        <f>IF(ISERROR(VLOOKUP($A73,Bestellungen!$6:$1048576,MATCH(Kasse!M$5,Bestellungen!$A$5:$X$5,0),0))=FALSE,SUMIF(Kalkulation!$A$6:$A$40,Kasse!M$5&amp;"*",Kalkulation!$C$6:$C$40)*VLOOKUP($A73,Bestellungen!$6:$1048576,MATCH(Kasse!M$5,Bestellungen!$A$5:$X$5,0),0),"")</f>
        <v/>
      </c>
      <c r="N73" s="26" t="str">
        <f>IF(ISERROR(VLOOKUP($A73,Bestellungen!$6:$1048576,MATCH(Kasse!N$5,Bestellungen!$A$5:$X$5,0),0))=FALSE,SUMIF(Kalkulation!$A$6:$A$40,Kasse!N$5&amp;"*",Kalkulation!$C$6:$C$40)*VLOOKUP($A73,Bestellungen!$6:$1048576,MATCH(Kasse!N$5,Bestellungen!$A$5:$X$5,0),0),"")</f>
        <v/>
      </c>
      <c r="O73" s="26" t="str">
        <f>IF(ISERROR(VLOOKUP($A73,Bestellungen!$6:$1048576,MATCH(Kasse!O$5,Bestellungen!$A$5:$X$5,0),0))=FALSE,SUMIF(Kalkulation!$A$6:$A$40,Kasse!O$5&amp;"*",Kalkulation!$C$6:$C$40)*VLOOKUP($A73,Bestellungen!$6:$1048576,MATCH(Kasse!O$5,Bestellungen!$A$5:$X$5,0),0),"")</f>
        <v/>
      </c>
      <c r="P73" s="26" t="str">
        <f>IF(ISERROR(VLOOKUP($A73,Bestellungen!$6:$1048576,MATCH(Kasse!P$5,Bestellungen!$A$5:$X$5,0),0))=FALSE,SUMIF(Kalkulation!$A$6:$A$40,Kasse!P$5&amp;"*",Kalkulation!$C$6:$C$40)*VLOOKUP($A73,Bestellungen!$6:$1048576,MATCH(Kasse!P$5,Bestellungen!$A$5:$X$5,0),0),"")</f>
        <v/>
      </c>
      <c r="Q73" s="26" t="str">
        <f>IF(ISERROR(VLOOKUP($A73,Bestellungen!$6:$1048576,MATCH(Kasse!Q$5,Bestellungen!$A$5:$X$5,0),0))=FALSE,SUMIF(Kalkulation!$A$6:$A$40,Kasse!Q$5&amp;"*",Kalkulation!$C$6:$C$40)*VLOOKUP($A73,Bestellungen!$6:$1048576,MATCH(Kasse!Q$5,Bestellungen!$A$5:$X$5,0),0),"")</f>
        <v/>
      </c>
      <c r="R73" s="26" t="str">
        <f>IF(ISERROR(VLOOKUP($A73,Bestellungen!$6:$1048576,MATCH(Kasse!R$5,Bestellungen!$A$5:$X$5,0),0))=FALSE,SUMIF(Kalkulation!$A$6:$A$40,Kasse!R$5&amp;"*",Kalkulation!$C$6:$C$40)*VLOOKUP($A73,Bestellungen!$6:$1048576,MATCH(Kasse!R$5,Bestellungen!$A$5:$X$5,0),0),"")</f>
        <v/>
      </c>
      <c r="S73" s="26" t="str">
        <f>IF(ISERROR(VLOOKUP($A73,Bestellungen!$6:$1048576,MATCH(Kasse!S$5,Bestellungen!$A$5:$X$5,0),0))=FALSE,SUMIF(Kalkulation!$A$6:$A$40,Kasse!S$5&amp;"*",Kalkulation!$C$6:$C$40)*VLOOKUP($A73,Bestellungen!$6:$1048576,MATCH(Kasse!S$5,Bestellungen!$A$5:$X$5,0),0),"")</f>
        <v/>
      </c>
      <c r="T73" s="26" t="str">
        <f>IF(ISERROR(VLOOKUP($A73,Bestellungen!$6:$1048576,MATCH(Kasse!T$5,Bestellungen!$A$5:$X$5,0),0))=FALSE,SUMIF(Kalkulation!$A$6:$A$40,Kasse!T$5&amp;"*",Kalkulation!$C$6:$C$40)*VLOOKUP($A73,Bestellungen!$6:$1048576,MATCH(Kasse!T$5,Bestellungen!$A$5:$X$5,0),0),"")</f>
        <v/>
      </c>
      <c r="U73" s="26" t="str">
        <f t="shared" si="2"/>
        <v/>
      </c>
      <c r="W73" s="26" t="str">
        <f t="shared" si="3"/>
        <v/>
      </c>
      <c r="X73" s="26"/>
      <c r="Y73" s="26"/>
      <c r="Z73" s="26"/>
      <c r="AA73" s="26"/>
    </row>
    <row r="74" spans="1:27" x14ac:dyDescent="0.25">
      <c r="A74" t="str">
        <f>IF(LEN(Bestellungen!$A74)&gt;0,Bestellungen!$A74,"")</f>
        <v/>
      </c>
      <c r="B74" s="26" t="str">
        <f>IF(ISERROR(VLOOKUP($A74,Bestellungen!$6:$1048576,MATCH(Kasse!B$5,Bestellungen!$A$5:$X$5,0),0))=FALSE,SUMIF(Kalkulation!$A$6:$A$40,Kasse!B$5&amp;"*",Kalkulation!$C$6:$C$40)*VLOOKUP($A74,Bestellungen!$6:$1048576,MATCH(Kasse!B$5,Bestellungen!$A$5:$X$5,0),0),"")</f>
        <v/>
      </c>
      <c r="C74" s="26" t="str">
        <f>IF(ISERROR(VLOOKUP($A74,Bestellungen!$6:$1048576,MATCH(Kasse!C$5,Bestellungen!$A$5:$X$5,0),0))=FALSE,SUMIF(Kalkulation!$A$6:$A$40,Kasse!C$5&amp;"*",Kalkulation!$C$6:$C$40)*VLOOKUP($A74,Bestellungen!$6:$1048576,MATCH(Kasse!C$5,Bestellungen!$A$5:$X$5,0),0),"")</f>
        <v/>
      </c>
      <c r="D74" s="26" t="str">
        <f>IF(ISERROR(VLOOKUP($A74,Bestellungen!$6:$1048576,MATCH(Kasse!D$5,Bestellungen!$A$5:$X$5,0),0))=FALSE,SUMIF(Kalkulation!$A$6:$A$40,Kasse!D$5&amp;"*",Kalkulation!$C$6:$C$40)*VLOOKUP($A74,Bestellungen!$6:$1048576,MATCH(Kasse!D$5,Bestellungen!$A$5:$X$5,0),0),"")</f>
        <v/>
      </c>
      <c r="E74" s="26" t="str">
        <f>IF(ISERROR(VLOOKUP($A74,Bestellungen!$6:$1048576,MATCH(Kasse!E$5,Bestellungen!$A$5:$X$5,0),0))=FALSE,SUMIF(Kalkulation!$A$6:$A$40,Kasse!E$5&amp;"*",Kalkulation!$C$6:$C$40)*VLOOKUP($A74,Bestellungen!$6:$1048576,MATCH(Kasse!E$5,Bestellungen!$A$5:$X$5,0),0),"")</f>
        <v/>
      </c>
      <c r="F74" s="26" t="str">
        <f>IF(ISERROR(VLOOKUP($A74,Bestellungen!$6:$1048576,MATCH(Kasse!F$5,Bestellungen!$A$5:$X$5,0),0))=FALSE,SUMIF(Kalkulation!$A$6:$A$40,Kasse!F$5&amp;"*",Kalkulation!$C$6:$C$40)*VLOOKUP($A74,Bestellungen!$6:$1048576,MATCH(Kasse!F$5,Bestellungen!$A$5:$X$5,0),0),"")</f>
        <v/>
      </c>
      <c r="G74" s="26" t="str">
        <f>IF(ISERROR(VLOOKUP($A74,Bestellungen!$6:$1048576,MATCH(Kasse!G$5,Bestellungen!$A$5:$X$5,0),0))=FALSE,SUMIF(Kalkulation!$A$6:$A$40,Kasse!G$5&amp;"*",Kalkulation!$C$6:$C$40)*VLOOKUP($A74,Bestellungen!$6:$1048576,MATCH(Kasse!G$5,Bestellungen!$A$5:$X$5,0),0),"")</f>
        <v/>
      </c>
      <c r="H74" s="26" t="str">
        <f>IF(ISERROR(VLOOKUP($A74,Bestellungen!$6:$1048576,MATCH(Kasse!H$5,Bestellungen!$A$5:$X$5,0),0))=FALSE,SUMIF(Kalkulation!$A$6:$A$40,Kasse!H$5&amp;"*",Kalkulation!$C$6:$C$40)*VLOOKUP($A74,Bestellungen!$6:$1048576,MATCH(Kasse!H$5,Bestellungen!$A$5:$X$5,0),0),"")</f>
        <v/>
      </c>
      <c r="I74" s="26" t="str">
        <f>IF(ISERROR(VLOOKUP($A74,Bestellungen!$6:$1048576,MATCH(Kasse!I$5,Bestellungen!$A$5:$X$5,0),0))=FALSE,SUMIF(Kalkulation!$A$6:$A$40,Kasse!I$5&amp;"*",Kalkulation!$C$6:$C$40)*VLOOKUP($A74,Bestellungen!$6:$1048576,MATCH(Kasse!I$5,Bestellungen!$A$5:$X$5,0),0),"")</f>
        <v/>
      </c>
      <c r="J74" s="26" t="str">
        <f>IF(ISERROR(VLOOKUP($A74,Bestellungen!$6:$1048576,MATCH(Kasse!J$5,Bestellungen!$A$5:$X$5,0),0))=FALSE,SUMIF(Kalkulation!$A$6:$A$40,Kasse!J$5&amp;"*",Kalkulation!$C$6:$C$40)*VLOOKUP($A74,Bestellungen!$6:$1048576,MATCH(Kasse!J$5,Bestellungen!$A$5:$X$5,0),0),"")</f>
        <v/>
      </c>
      <c r="K74" s="26" t="str">
        <f>IF(ISERROR(VLOOKUP($A74,Bestellungen!$6:$1048576,MATCH(Kasse!K$5,Bestellungen!$A$5:$X$5,0),0))=FALSE,SUMIF(Kalkulation!$A$6:$A$40,Kasse!K$5&amp;"*",Kalkulation!$C$6:$C$40)*VLOOKUP($A74,Bestellungen!$6:$1048576,MATCH(Kasse!K$5,Bestellungen!$A$5:$X$5,0),0),"")</f>
        <v/>
      </c>
      <c r="L74" s="26" t="str">
        <f>IF(ISERROR(VLOOKUP($A74,Bestellungen!$6:$1048576,MATCH(Kasse!L$5,Bestellungen!$A$5:$X$5,0),0))=FALSE,SUMIF(Kalkulation!$A$6:$A$40,Kasse!L$5&amp;"*",Kalkulation!$C$6:$C$40)*VLOOKUP($A74,Bestellungen!$6:$1048576,MATCH(Kasse!L$5,Bestellungen!$A$5:$X$5,0),0),"")</f>
        <v/>
      </c>
      <c r="M74" s="26" t="str">
        <f>IF(ISERROR(VLOOKUP($A74,Bestellungen!$6:$1048576,MATCH(Kasse!M$5,Bestellungen!$A$5:$X$5,0),0))=FALSE,SUMIF(Kalkulation!$A$6:$A$40,Kasse!M$5&amp;"*",Kalkulation!$C$6:$C$40)*VLOOKUP($A74,Bestellungen!$6:$1048576,MATCH(Kasse!M$5,Bestellungen!$A$5:$X$5,0),0),"")</f>
        <v/>
      </c>
      <c r="N74" s="26" t="str">
        <f>IF(ISERROR(VLOOKUP($A74,Bestellungen!$6:$1048576,MATCH(Kasse!N$5,Bestellungen!$A$5:$X$5,0),0))=FALSE,SUMIF(Kalkulation!$A$6:$A$40,Kasse!N$5&amp;"*",Kalkulation!$C$6:$C$40)*VLOOKUP($A74,Bestellungen!$6:$1048576,MATCH(Kasse!N$5,Bestellungen!$A$5:$X$5,0),0),"")</f>
        <v/>
      </c>
      <c r="O74" s="26" t="str">
        <f>IF(ISERROR(VLOOKUP($A74,Bestellungen!$6:$1048576,MATCH(Kasse!O$5,Bestellungen!$A$5:$X$5,0),0))=FALSE,SUMIF(Kalkulation!$A$6:$A$40,Kasse!O$5&amp;"*",Kalkulation!$C$6:$C$40)*VLOOKUP($A74,Bestellungen!$6:$1048576,MATCH(Kasse!O$5,Bestellungen!$A$5:$X$5,0),0),"")</f>
        <v/>
      </c>
      <c r="P74" s="26" t="str">
        <f>IF(ISERROR(VLOOKUP($A74,Bestellungen!$6:$1048576,MATCH(Kasse!P$5,Bestellungen!$A$5:$X$5,0),0))=FALSE,SUMIF(Kalkulation!$A$6:$A$40,Kasse!P$5&amp;"*",Kalkulation!$C$6:$C$40)*VLOOKUP($A74,Bestellungen!$6:$1048576,MATCH(Kasse!P$5,Bestellungen!$A$5:$X$5,0),0),"")</f>
        <v/>
      </c>
      <c r="Q74" s="26" t="str">
        <f>IF(ISERROR(VLOOKUP($A74,Bestellungen!$6:$1048576,MATCH(Kasse!Q$5,Bestellungen!$A$5:$X$5,0),0))=FALSE,SUMIF(Kalkulation!$A$6:$A$40,Kasse!Q$5&amp;"*",Kalkulation!$C$6:$C$40)*VLOOKUP($A74,Bestellungen!$6:$1048576,MATCH(Kasse!Q$5,Bestellungen!$A$5:$X$5,0),0),"")</f>
        <v/>
      </c>
      <c r="R74" s="26" t="str">
        <f>IF(ISERROR(VLOOKUP($A74,Bestellungen!$6:$1048576,MATCH(Kasse!R$5,Bestellungen!$A$5:$X$5,0),0))=FALSE,SUMIF(Kalkulation!$A$6:$A$40,Kasse!R$5&amp;"*",Kalkulation!$C$6:$C$40)*VLOOKUP($A74,Bestellungen!$6:$1048576,MATCH(Kasse!R$5,Bestellungen!$A$5:$X$5,0),0),"")</f>
        <v/>
      </c>
      <c r="S74" s="26" t="str">
        <f>IF(ISERROR(VLOOKUP($A74,Bestellungen!$6:$1048576,MATCH(Kasse!S$5,Bestellungen!$A$5:$X$5,0),0))=FALSE,SUMIF(Kalkulation!$A$6:$A$40,Kasse!S$5&amp;"*",Kalkulation!$C$6:$C$40)*VLOOKUP($A74,Bestellungen!$6:$1048576,MATCH(Kasse!S$5,Bestellungen!$A$5:$X$5,0),0),"")</f>
        <v/>
      </c>
      <c r="T74" s="26" t="str">
        <f>IF(ISERROR(VLOOKUP($A74,Bestellungen!$6:$1048576,MATCH(Kasse!T$5,Bestellungen!$A$5:$X$5,0),0))=FALSE,SUMIF(Kalkulation!$A$6:$A$40,Kasse!T$5&amp;"*",Kalkulation!$C$6:$C$40)*VLOOKUP($A74,Bestellungen!$6:$1048576,MATCH(Kasse!T$5,Bestellungen!$A$5:$X$5,0),0),"")</f>
        <v/>
      </c>
      <c r="U74" s="26" t="str">
        <f t="shared" si="2"/>
        <v/>
      </c>
      <c r="W74" s="26" t="str">
        <f t="shared" si="3"/>
        <v/>
      </c>
      <c r="X74" s="26"/>
      <c r="Y74" s="26"/>
      <c r="Z74" s="26"/>
      <c r="AA74" s="26"/>
    </row>
    <row r="75" spans="1:27" x14ac:dyDescent="0.25">
      <c r="A75" t="str">
        <f>IF(LEN(Bestellungen!$A75)&gt;0,Bestellungen!$A75,"")</f>
        <v/>
      </c>
      <c r="B75" s="26" t="str">
        <f>IF(ISERROR(VLOOKUP($A75,Bestellungen!$6:$1048576,MATCH(Kasse!B$5,Bestellungen!$A$5:$X$5,0),0))=FALSE,SUMIF(Kalkulation!$A$6:$A$40,Kasse!B$5&amp;"*",Kalkulation!$C$6:$C$40)*VLOOKUP($A75,Bestellungen!$6:$1048576,MATCH(Kasse!B$5,Bestellungen!$A$5:$X$5,0),0),"")</f>
        <v/>
      </c>
      <c r="C75" s="26" t="str">
        <f>IF(ISERROR(VLOOKUP($A75,Bestellungen!$6:$1048576,MATCH(Kasse!C$5,Bestellungen!$A$5:$X$5,0),0))=FALSE,SUMIF(Kalkulation!$A$6:$A$40,Kasse!C$5&amp;"*",Kalkulation!$C$6:$C$40)*VLOOKUP($A75,Bestellungen!$6:$1048576,MATCH(Kasse!C$5,Bestellungen!$A$5:$X$5,0),0),"")</f>
        <v/>
      </c>
      <c r="D75" s="26" t="str">
        <f>IF(ISERROR(VLOOKUP($A75,Bestellungen!$6:$1048576,MATCH(Kasse!D$5,Bestellungen!$A$5:$X$5,0),0))=FALSE,SUMIF(Kalkulation!$A$6:$A$40,Kasse!D$5&amp;"*",Kalkulation!$C$6:$C$40)*VLOOKUP($A75,Bestellungen!$6:$1048576,MATCH(Kasse!D$5,Bestellungen!$A$5:$X$5,0),0),"")</f>
        <v/>
      </c>
      <c r="E75" s="26" t="str">
        <f>IF(ISERROR(VLOOKUP($A75,Bestellungen!$6:$1048576,MATCH(Kasse!E$5,Bestellungen!$A$5:$X$5,0),0))=FALSE,SUMIF(Kalkulation!$A$6:$A$40,Kasse!E$5&amp;"*",Kalkulation!$C$6:$C$40)*VLOOKUP($A75,Bestellungen!$6:$1048576,MATCH(Kasse!E$5,Bestellungen!$A$5:$X$5,0),0),"")</f>
        <v/>
      </c>
      <c r="F75" s="26" t="str">
        <f>IF(ISERROR(VLOOKUP($A75,Bestellungen!$6:$1048576,MATCH(Kasse!F$5,Bestellungen!$A$5:$X$5,0),0))=FALSE,SUMIF(Kalkulation!$A$6:$A$40,Kasse!F$5&amp;"*",Kalkulation!$C$6:$C$40)*VLOOKUP($A75,Bestellungen!$6:$1048576,MATCH(Kasse!F$5,Bestellungen!$A$5:$X$5,0),0),"")</f>
        <v/>
      </c>
      <c r="G75" s="26" t="str">
        <f>IF(ISERROR(VLOOKUP($A75,Bestellungen!$6:$1048576,MATCH(Kasse!G$5,Bestellungen!$A$5:$X$5,0),0))=FALSE,SUMIF(Kalkulation!$A$6:$A$40,Kasse!G$5&amp;"*",Kalkulation!$C$6:$C$40)*VLOOKUP($A75,Bestellungen!$6:$1048576,MATCH(Kasse!G$5,Bestellungen!$A$5:$X$5,0),0),"")</f>
        <v/>
      </c>
      <c r="H75" s="26" t="str">
        <f>IF(ISERROR(VLOOKUP($A75,Bestellungen!$6:$1048576,MATCH(Kasse!H$5,Bestellungen!$A$5:$X$5,0),0))=FALSE,SUMIF(Kalkulation!$A$6:$A$40,Kasse!H$5&amp;"*",Kalkulation!$C$6:$C$40)*VLOOKUP($A75,Bestellungen!$6:$1048576,MATCH(Kasse!H$5,Bestellungen!$A$5:$X$5,0),0),"")</f>
        <v/>
      </c>
      <c r="I75" s="26" t="str">
        <f>IF(ISERROR(VLOOKUP($A75,Bestellungen!$6:$1048576,MATCH(Kasse!I$5,Bestellungen!$A$5:$X$5,0),0))=FALSE,SUMIF(Kalkulation!$A$6:$A$40,Kasse!I$5&amp;"*",Kalkulation!$C$6:$C$40)*VLOOKUP($A75,Bestellungen!$6:$1048576,MATCH(Kasse!I$5,Bestellungen!$A$5:$X$5,0),0),"")</f>
        <v/>
      </c>
      <c r="J75" s="26" t="str">
        <f>IF(ISERROR(VLOOKUP($A75,Bestellungen!$6:$1048576,MATCH(Kasse!J$5,Bestellungen!$A$5:$X$5,0),0))=FALSE,SUMIF(Kalkulation!$A$6:$A$40,Kasse!J$5&amp;"*",Kalkulation!$C$6:$C$40)*VLOOKUP($A75,Bestellungen!$6:$1048576,MATCH(Kasse!J$5,Bestellungen!$A$5:$X$5,0),0),"")</f>
        <v/>
      </c>
      <c r="K75" s="26" t="str">
        <f>IF(ISERROR(VLOOKUP($A75,Bestellungen!$6:$1048576,MATCH(Kasse!K$5,Bestellungen!$A$5:$X$5,0),0))=FALSE,SUMIF(Kalkulation!$A$6:$A$40,Kasse!K$5&amp;"*",Kalkulation!$C$6:$C$40)*VLOOKUP($A75,Bestellungen!$6:$1048576,MATCH(Kasse!K$5,Bestellungen!$A$5:$X$5,0),0),"")</f>
        <v/>
      </c>
      <c r="L75" s="26" t="str">
        <f>IF(ISERROR(VLOOKUP($A75,Bestellungen!$6:$1048576,MATCH(Kasse!L$5,Bestellungen!$A$5:$X$5,0),0))=FALSE,SUMIF(Kalkulation!$A$6:$A$40,Kasse!L$5&amp;"*",Kalkulation!$C$6:$C$40)*VLOOKUP($A75,Bestellungen!$6:$1048576,MATCH(Kasse!L$5,Bestellungen!$A$5:$X$5,0),0),"")</f>
        <v/>
      </c>
      <c r="M75" s="26" t="str">
        <f>IF(ISERROR(VLOOKUP($A75,Bestellungen!$6:$1048576,MATCH(Kasse!M$5,Bestellungen!$A$5:$X$5,0),0))=FALSE,SUMIF(Kalkulation!$A$6:$A$40,Kasse!M$5&amp;"*",Kalkulation!$C$6:$C$40)*VLOOKUP($A75,Bestellungen!$6:$1048576,MATCH(Kasse!M$5,Bestellungen!$A$5:$X$5,0),0),"")</f>
        <v/>
      </c>
      <c r="N75" s="26" t="str">
        <f>IF(ISERROR(VLOOKUP($A75,Bestellungen!$6:$1048576,MATCH(Kasse!N$5,Bestellungen!$A$5:$X$5,0),0))=FALSE,SUMIF(Kalkulation!$A$6:$A$40,Kasse!N$5&amp;"*",Kalkulation!$C$6:$C$40)*VLOOKUP($A75,Bestellungen!$6:$1048576,MATCH(Kasse!N$5,Bestellungen!$A$5:$X$5,0),0),"")</f>
        <v/>
      </c>
      <c r="O75" s="26" t="str">
        <f>IF(ISERROR(VLOOKUP($A75,Bestellungen!$6:$1048576,MATCH(Kasse!O$5,Bestellungen!$A$5:$X$5,0),0))=FALSE,SUMIF(Kalkulation!$A$6:$A$40,Kasse!O$5&amp;"*",Kalkulation!$C$6:$C$40)*VLOOKUP($A75,Bestellungen!$6:$1048576,MATCH(Kasse!O$5,Bestellungen!$A$5:$X$5,0),0),"")</f>
        <v/>
      </c>
      <c r="P75" s="26" t="str">
        <f>IF(ISERROR(VLOOKUP($A75,Bestellungen!$6:$1048576,MATCH(Kasse!P$5,Bestellungen!$A$5:$X$5,0),0))=FALSE,SUMIF(Kalkulation!$A$6:$A$40,Kasse!P$5&amp;"*",Kalkulation!$C$6:$C$40)*VLOOKUP($A75,Bestellungen!$6:$1048576,MATCH(Kasse!P$5,Bestellungen!$A$5:$X$5,0),0),"")</f>
        <v/>
      </c>
      <c r="Q75" s="26" t="str">
        <f>IF(ISERROR(VLOOKUP($A75,Bestellungen!$6:$1048576,MATCH(Kasse!Q$5,Bestellungen!$A$5:$X$5,0),0))=FALSE,SUMIF(Kalkulation!$A$6:$A$40,Kasse!Q$5&amp;"*",Kalkulation!$C$6:$C$40)*VLOOKUP($A75,Bestellungen!$6:$1048576,MATCH(Kasse!Q$5,Bestellungen!$A$5:$X$5,0),0),"")</f>
        <v/>
      </c>
      <c r="R75" s="26" t="str">
        <f>IF(ISERROR(VLOOKUP($A75,Bestellungen!$6:$1048576,MATCH(Kasse!R$5,Bestellungen!$A$5:$X$5,0),0))=FALSE,SUMIF(Kalkulation!$A$6:$A$40,Kasse!R$5&amp;"*",Kalkulation!$C$6:$C$40)*VLOOKUP($A75,Bestellungen!$6:$1048576,MATCH(Kasse!R$5,Bestellungen!$A$5:$X$5,0),0),"")</f>
        <v/>
      </c>
      <c r="S75" s="26" t="str">
        <f>IF(ISERROR(VLOOKUP($A75,Bestellungen!$6:$1048576,MATCH(Kasse!S$5,Bestellungen!$A$5:$X$5,0),0))=FALSE,SUMIF(Kalkulation!$A$6:$A$40,Kasse!S$5&amp;"*",Kalkulation!$C$6:$C$40)*VLOOKUP($A75,Bestellungen!$6:$1048576,MATCH(Kasse!S$5,Bestellungen!$A$5:$X$5,0),0),"")</f>
        <v/>
      </c>
      <c r="T75" s="26" t="str">
        <f>IF(ISERROR(VLOOKUP($A75,Bestellungen!$6:$1048576,MATCH(Kasse!T$5,Bestellungen!$A$5:$X$5,0),0))=FALSE,SUMIF(Kalkulation!$A$6:$A$40,Kasse!T$5&amp;"*",Kalkulation!$C$6:$C$40)*VLOOKUP($A75,Bestellungen!$6:$1048576,MATCH(Kasse!T$5,Bestellungen!$A$5:$X$5,0),0),"")</f>
        <v/>
      </c>
      <c r="U75" s="26" t="str">
        <f t="shared" si="2"/>
        <v/>
      </c>
      <c r="W75" s="26" t="str">
        <f t="shared" si="3"/>
        <v/>
      </c>
      <c r="X75" s="26"/>
      <c r="Y75" s="26"/>
      <c r="Z75" s="26"/>
      <c r="AA75" s="26"/>
    </row>
    <row r="76" spans="1:27" x14ac:dyDescent="0.25">
      <c r="A76" t="str">
        <f>IF(LEN(Bestellungen!$A76)&gt;0,Bestellungen!$A76,"")</f>
        <v/>
      </c>
      <c r="B76" s="26" t="str">
        <f>IF(ISERROR(VLOOKUP($A76,Bestellungen!$6:$1048576,MATCH(Kasse!B$5,Bestellungen!$A$5:$X$5,0),0))=FALSE,SUMIF(Kalkulation!$A$6:$A$40,Kasse!B$5&amp;"*",Kalkulation!$C$6:$C$40)*VLOOKUP($A76,Bestellungen!$6:$1048576,MATCH(Kasse!B$5,Bestellungen!$A$5:$X$5,0),0),"")</f>
        <v/>
      </c>
      <c r="C76" s="26" t="str">
        <f>IF(ISERROR(VLOOKUP($A76,Bestellungen!$6:$1048576,MATCH(Kasse!C$5,Bestellungen!$A$5:$X$5,0),0))=FALSE,SUMIF(Kalkulation!$A$6:$A$40,Kasse!C$5&amp;"*",Kalkulation!$C$6:$C$40)*VLOOKUP($A76,Bestellungen!$6:$1048576,MATCH(Kasse!C$5,Bestellungen!$A$5:$X$5,0),0),"")</f>
        <v/>
      </c>
      <c r="D76" s="26" t="str">
        <f>IF(ISERROR(VLOOKUP($A76,Bestellungen!$6:$1048576,MATCH(Kasse!D$5,Bestellungen!$A$5:$X$5,0),0))=FALSE,SUMIF(Kalkulation!$A$6:$A$40,Kasse!D$5&amp;"*",Kalkulation!$C$6:$C$40)*VLOOKUP($A76,Bestellungen!$6:$1048576,MATCH(Kasse!D$5,Bestellungen!$A$5:$X$5,0),0),"")</f>
        <v/>
      </c>
      <c r="E76" s="26" t="str">
        <f>IF(ISERROR(VLOOKUP($A76,Bestellungen!$6:$1048576,MATCH(Kasse!E$5,Bestellungen!$A$5:$X$5,0),0))=FALSE,SUMIF(Kalkulation!$A$6:$A$40,Kasse!E$5&amp;"*",Kalkulation!$C$6:$C$40)*VLOOKUP($A76,Bestellungen!$6:$1048576,MATCH(Kasse!E$5,Bestellungen!$A$5:$X$5,0),0),"")</f>
        <v/>
      </c>
      <c r="F76" s="26" t="str">
        <f>IF(ISERROR(VLOOKUP($A76,Bestellungen!$6:$1048576,MATCH(Kasse!F$5,Bestellungen!$A$5:$X$5,0),0))=FALSE,SUMIF(Kalkulation!$A$6:$A$40,Kasse!F$5&amp;"*",Kalkulation!$C$6:$C$40)*VLOOKUP($A76,Bestellungen!$6:$1048576,MATCH(Kasse!F$5,Bestellungen!$A$5:$X$5,0),0),"")</f>
        <v/>
      </c>
      <c r="G76" s="26" t="str">
        <f>IF(ISERROR(VLOOKUP($A76,Bestellungen!$6:$1048576,MATCH(Kasse!G$5,Bestellungen!$A$5:$X$5,0),0))=FALSE,SUMIF(Kalkulation!$A$6:$A$40,Kasse!G$5&amp;"*",Kalkulation!$C$6:$C$40)*VLOOKUP($A76,Bestellungen!$6:$1048576,MATCH(Kasse!G$5,Bestellungen!$A$5:$X$5,0),0),"")</f>
        <v/>
      </c>
      <c r="H76" s="26" t="str">
        <f>IF(ISERROR(VLOOKUP($A76,Bestellungen!$6:$1048576,MATCH(Kasse!H$5,Bestellungen!$A$5:$X$5,0),0))=FALSE,SUMIF(Kalkulation!$A$6:$A$40,Kasse!H$5&amp;"*",Kalkulation!$C$6:$C$40)*VLOOKUP($A76,Bestellungen!$6:$1048576,MATCH(Kasse!H$5,Bestellungen!$A$5:$X$5,0),0),"")</f>
        <v/>
      </c>
      <c r="I76" s="26" t="str">
        <f>IF(ISERROR(VLOOKUP($A76,Bestellungen!$6:$1048576,MATCH(Kasse!I$5,Bestellungen!$A$5:$X$5,0),0))=FALSE,SUMIF(Kalkulation!$A$6:$A$40,Kasse!I$5&amp;"*",Kalkulation!$C$6:$C$40)*VLOOKUP($A76,Bestellungen!$6:$1048576,MATCH(Kasse!I$5,Bestellungen!$A$5:$X$5,0),0),"")</f>
        <v/>
      </c>
      <c r="J76" s="26" t="str">
        <f>IF(ISERROR(VLOOKUP($A76,Bestellungen!$6:$1048576,MATCH(Kasse!J$5,Bestellungen!$A$5:$X$5,0),0))=FALSE,SUMIF(Kalkulation!$A$6:$A$40,Kasse!J$5&amp;"*",Kalkulation!$C$6:$C$40)*VLOOKUP($A76,Bestellungen!$6:$1048576,MATCH(Kasse!J$5,Bestellungen!$A$5:$X$5,0),0),"")</f>
        <v/>
      </c>
      <c r="K76" s="26" t="str">
        <f>IF(ISERROR(VLOOKUP($A76,Bestellungen!$6:$1048576,MATCH(Kasse!K$5,Bestellungen!$A$5:$X$5,0),0))=FALSE,SUMIF(Kalkulation!$A$6:$A$40,Kasse!K$5&amp;"*",Kalkulation!$C$6:$C$40)*VLOOKUP($A76,Bestellungen!$6:$1048576,MATCH(Kasse!K$5,Bestellungen!$A$5:$X$5,0),0),"")</f>
        <v/>
      </c>
      <c r="L76" s="26" t="str">
        <f>IF(ISERROR(VLOOKUP($A76,Bestellungen!$6:$1048576,MATCH(Kasse!L$5,Bestellungen!$A$5:$X$5,0),0))=FALSE,SUMIF(Kalkulation!$A$6:$A$40,Kasse!L$5&amp;"*",Kalkulation!$C$6:$C$40)*VLOOKUP($A76,Bestellungen!$6:$1048576,MATCH(Kasse!L$5,Bestellungen!$A$5:$X$5,0),0),"")</f>
        <v/>
      </c>
      <c r="M76" s="26" t="str">
        <f>IF(ISERROR(VLOOKUP($A76,Bestellungen!$6:$1048576,MATCH(Kasse!M$5,Bestellungen!$A$5:$X$5,0),0))=FALSE,SUMIF(Kalkulation!$A$6:$A$40,Kasse!M$5&amp;"*",Kalkulation!$C$6:$C$40)*VLOOKUP($A76,Bestellungen!$6:$1048576,MATCH(Kasse!M$5,Bestellungen!$A$5:$X$5,0),0),"")</f>
        <v/>
      </c>
      <c r="N76" s="26" t="str">
        <f>IF(ISERROR(VLOOKUP($A76,Bestellungen!$6:$1048576,MATCH(Kasse!N$5,Bestellungen!$A$5:$X$5,0),0))=FALSE,SUMIF(Kalkulation!$A$6:$A$40,Kasse!N$5&amp;"*",Kalkulation!$C$6:$C$40)*VLOOKUP($A76,Bestellungen!$6:$1048576,MATCH(Kasse!N$5,Bestellungen!$A$5:$X$5,0),0),"")</f>
        <v/>
      </c>
      <c r="O76" s="26" t="str">
        <f>IF(ISERROR(VLOOKUP($A76,Bestellungen!$6:$1048576,MATCH(Kasse!O$5,Bestellungen!$A$5:$X$5,0),0))=FALSE,SUMIF(Kalkulation!$A$6:$A$40,Kasse!O$5&amp;"*",Kalkulation!$C$6:$C$40)*VLOOKUP($A76,Bestellungen!$6:$1048576,MATCH(Kasse!O$5,Bestellungen!$A$5:$X$5,0),0),"")</f>
        <v/>
      </c>
      <c r="P76" s="26" t="str">
        <f>IF(ISERROR(VLOOKUP($A76,Bestellungen!$6:$1048576,MATCH(Kasse!P$5,Bestellungen!$A$5:$X$5,0),0))=FALSE,SUMIF(Kalkulation!$A$6:$A$40,Kasse!P$5&amp;"*",Kalkulation!$C$6:$C$40)*VLOOKUP($A76,Bestellungen!$6:$1048576,MATCH(Kasse!P$5,Bestellungen!$A$5:$X$5,0),0),"")</f>
        <v/>
      </c>
      <c r="Q76" s="26" t="str">
        <f>IF(ISERROR(VLOOKUP($A76,Bestellungen!$6:$1048576,MATCH(Kasse!Q$5,Bestellungen!$A$5:$X$5,0),0))=FALSE,SUMIF(Kalkulation!$A$6:$A$40,Kasse!Q$5&amp;"*",Kalkulation!$C$6:$C$40)*VLOOKUP($A76,Bestellungen!$6:$1048576,MATCH(Kasse!Q$5,Bestellungen!$A$5:$X$5,0),0),"")</f>
        <v/>
      </c>
      <c r="R76" s="26" t="str">
        <f>IF(ISERROR(VLOOKUP($A76,Bestellungen!$6:$1048576,MATCH(Kasse!R$5,Bestellungen!$A$5:$X$5,0),0))=FALSE,SUMIF(Kalkulation!$A$6:$A$40,Kasse!R$5&amp;"*",Kalkulation!$C$6:$C$40)*VLOOKUP($A76,Bestellungen!$6:$1048576,MATCH(Kasse!R$5,Bestellungen!$A$5:$X$5,0),0),"")</f>
        <v/>
      </c>
      <c r="S76" s="26" t="str">
        <f>IF(ISERROR(VLOOKUP($A76,Bestellungen!$6:$1048576,MATCH(Kasse!S$5,Bestellungen!$A$5:$X$5,0),0))=FALSE,SUMIF(Kalkulation!$A$6:$A$40,Kasse!S$5&amp;"*",Kalkulation!$C$6:$C$40)*VLOOKUP($A76,Bestellungen!$6:$1048576,MATCH(Kasse!S$5,Bestellungen!$A$5:$X$5,0),0),"")</f>
        <v/>
      </c>
      <c r="T76" s="26" t="str">
        <f>IF(ISERROR(VLOOKUP($A76,Bestellungen!$6:$1048576,MATCH(Kasse!T$5,Bestellungen!$A$5:$X$5,0),0))=FALSE,SUMIF(Kalkulation!$A$6:$A$40,Kasse!T$5&amp;"*",Kalkulation!$C$6:$C$40)*VLOOKUP($A76,Bestellungen!$6:$1048576,MATCH(Kasse!T$5,Bestellungen!$A$5:$X$5,0),0),"")</f>
        <v/>
      </c>
      <c r="U76" s="26" t="str">
        <f t="shared" si="2"/>
        <v/>
      </c>
      <c r="W76" s="26" t="str">
        <f t="shared" si="3"/>
        <v/>
      </c>
      <c r="X76" s="26"/>
      <c r="Y76" s="26"/>
      <c r="Z76" s="26"/>
      <c r="AA76" s="26"/>
    </row>
    <row r="77" spans="1:27" x14ac:dyDescent="0.25">
      <c r="A77" t="str">
        <f>IF(LEN(Bestellungen!$A77)&gt;0,Bestellungen!$A77,"")</f>
        <v/>
      </c>
      <c r="B77" s="26" t="str">
        <f>IF(ISERROR(VLOOKUP($A77,Bestellungen!$6:$1048576,MATCH(Kasse!B$5,Bestellungen!$A$5:$X$5,0),0))=FALSE,SUMIF(Kalkulation!$A$6:$A$40,Kasse!B$5&amp;"*",Kalkulation!$C$6:$C$40)*VLOOKUP($A77,Bestellungen!$6:$1048576,MATCH(Kasse!B$5,Bestellungen!$A$5:$X$5,0),0),"")</f>
        <v/>
      </c>
      <c r="C77" s="26" t="str">
        <f>IF(ISERROR(VLOOKUP($A77,Bestellungen!$6:$1048576,MATCH(Kasse!C$5,Bestellungen!$A$5:$X$5,0),0))=FALSE,SUMIF(Kalkulation!$A$6:$A$40,Kasse!C$5&amp;"*",Kalkulation!$C$6:$C$40)*VLOOKUP($A77,Bestellungen!$6:$1048576,MATCH(Kasse!C$5,Bestellungen!$A$5:$X$5,0),0),"")</f>
        <v/>
      </c>
      <c r="D77" s="26" t="str">
        <f>IF(ISERROR(VLOOKUP($A77,Bestellungen!$6:$1048576,MATCH(Kasse!D$5,Bestellungen!$A$5:$X$5,0),0))=FALSE,SUMIF(Kalkulation!$A$6:$A$40,Kasse!D$5&amp;"*",Kalkulation!$C$6:$C$40)*VLOOKUP($A77,Bestellungen!$6:$1048576,MATCH(Kasse!D$5,Bestellungen!$A$5:$X$5,0),0),"")</f>
        <v/>
      </c>
      <c r="E77" s="26" t="str">
        <f>IF(ISERROR(VLOOKUP($A77,Bestellungen!$6:$1048576,MATCH(Kasse!E$5,Bestellungen!$A$5:$X$5,0),0))=FALSE,SUMIF(Kalkulation!$A$6:$A$40,Kasse!E$5&amp;"*",Kalkulation!$C$6:$C$40)*VLOOKUP($A77,Bestellungen!$6:$1048576,MATCH(Kasse!E$5,Bestellungen!$A$5:$X$5,0),0),"")</f>
        <v/>
      </c>
      <c r="F77" s="26" t="str">
        <f>IF(ISERROR(VLOOKUP($A77,Bestellungen!$6:$1048576,MATCH(Kasse!F$5,Bestellungen!$A$5:$X$5,0),0))=FALSE,SUMIF(Kalkulation!$A$6:$A$40,Kasse!F$5&amp;"*",Kalkulation!$C$6:$C$40)*VLOOKUP($A77,Bestellungen!$6:$1048576,MATCH(Kasse!F$5,Bestellungen!$A$5:$X$5,0),0),"")</f>
        <v/>
      </c>
      <c r="G77" s="26" t="str">
        <f>IF(ISERROR(VLOOKUP($A77,Bestellungen!$6:$1048576,MATCH(Kasse!G$5,Bestellungen!$A$5:$X$5,0),0))=FALSE,SUMIF(Kalkulation!$A$6:$A$40,Kasse!G$5&amp;"*",Kalkulation!$C$6:$C$40)*VLOOKUP($A77,Bestellungen!$6:$1048576,MATCH(Kasse!G$5,Bestellungen!$A$5:$X$5,0),0),"")</f>
        <v/>
      </c>
      <c r="H77" s="26" t="str">
        <f>IF(ISERROR(VLOOKUP($A77,Bestellungen!$6:$1048576,MATCH(Kasse!H$5,Bestellungen!$A$5:$X$5,0),0))=FALSE,SUMIF(Kalkulation!$A$6:$A$40,Kasse!H$5&amp;"*",Kalkulation!$C$6:$C$40)*VLOOKUP($A77,Bestellungen!$6:$1048576,MATCH(Kasse!H$5,Bestellungen!$A$5:$X$5,0),0),"")</f>
        <v/>
      </c>
      <c r="I77" s="26" t="str">
        <f>IF(ISERROR(VLOOKUP($A77,Bestellungen!$6:$1048576,MATCH(Kasse!I$5,Bestellungen!$A$5:$X$5,0),0))=FALSE,SUMIF(Kalkulation!$A$6:$A$40,Kasse!I$5&amp;"*",Kalkulation!$C$6:$C$40)*VLOOKUP($A77,Bestellungen!$6:$1048576,MATCH(Kasse!I$5,Bestellungen!$A$5:$X$5,0),0),"")</f>
        <v/>
      </c>
      <c r="J77" s="26" t="str">
        <f>IF(ISERROR(VLOOKUP($A77,Bestellungen!$6:$1048576,MATCH(Kasse!J$5,Bestellungen!$A$5:$X$5,0),0))=FALSE,SUMIF(Kalkulation!$A$6:$A$40,Kasse!J$5&amp;"*",Kalkulation!$C$6:$C$40)*VLOOKUP($A77,Bestellungen!$6:$1048576,MATCH(Kasse!J$5,Bestellungen!$A$5:$X$5,0),0),"")</f>
        <v/>
      </c>
      <c r="K77" s="26" t="str">
        <f>IF(ISERROR(VLOOKUP($A77,Bestellungen!$6:$1048576,MATCH(Kasse!K$5,Bestellungen!$A$5:$X$5,0),0))=FALSE,SUMIF(Kalkulation!$A$6:$A$40,Kasse!K$5&amp;"*",Kalkulation!$C$6:$C$40)*VLOOKUP($A77,Bestellungen!$6:$1048576,MATCH(Kasse!K$5,Bestellungen!$A$5:$X$5,0),0),"")</f>
        <v/>
      </c>
      <c r="L77" s="26" t="str">
        <f>IF(ISERROR(VLOOKUP($A77,Bestellungen!$6:$1048576,MATCH(Kasse!L$5,Bestellungen!$A$5:$X$5,0),0))=FALSE,SUMIF(Kalkulation!$A$6:$A$40,Kasse!L$5&amp;"*",Kalkulation!$C$6:$C$40)*VLOOKUP($A77,Bestellungen!$6:$1048576,MATCH(Kasse!L$5,Bestellungen!$A$5:$X$5,0),0),"")</f>
        <v/>
      </c>
      <c r="M77" s="26" t="str">
        <f>IF(ISERROR(VLOOKUP($A77,Bestellungen!$6:$1048576,MATCH(Kasse!M$5,Bestellungen!$A$5:$X$5,0),0))=FALSE,SUMIF(Kalkulation!$A$6:$A$40,Kasse!M$5&amp;"*",Kalkulation!$C$6:$C$40)*VLOOKUP($A77,Bestellungen!$6:$1048576,MATCH(Kasse!M$5,Bestellungen!$A$5:$X$5,0),0),"")</f>
        <v/>
      </c>
      <c r="N77" s="26" t="str">
        <f>IF(ISERROR(VLOOKUP($A77,Bestellungen!$6:$1048576,MATCH(Kasse!N$5,Bestellungen!$A$5:$X$5,0),0))=FALSE,SUMIF(Kalkulation!$A$6:$A$40,Kasse!N$5&amp;"*",Kalkulation!$C$6:$C$40)*VLOOKUP($A77,Bestellungen!$6:$1048576,MATCH(Kasse!N$5,Bestellungen!$A$5:$X$5,0),0),"")</f>
        <v/>
      </c>
      <c r="O77" s="26" t="str">
        <f>IF(ISERROR(VLOOKUP($A77,Bestellungen!$6:$1048576,MATCH(Kasse!O$5,Bestellungen!$A$5:$X$5,0),0))=FALSE,SUMIF(Kalkulation!$A$6:$A$40,Kasse!O$5&amp;"*",Kalkulation!$C$6:$C$40)*VLOOKUP($A77,Bestellungen!$6:$1048576,MATCH(Kasse!O$5,Bestellungen!$A$5:$X$5,0),0),"")</f>
        <v/>
      </c>
      <c r="P77" s="26" t="str">
        <f>IF(ISERROR(VLOOKUP($A77,Bestellungen!$6:$1048576,MATCH(Kasse!P$5,Bestellungen!$A$5:$X$5,0),0))=FALSE,SUMIF(Kalkulation!$A$6:$A$40,Kasse!P$5&amp;"*",Kalkulation!$C$6:$C$40)*VLOOKUP($A77,Bestellungen!$6:$1048576,MATCH(Kasse!P$5,Bestellungen!$A$5:$X$5,0),0),"")</f>
        <v/>
      </c>
      <c r="Q77" s="26" t="str">
        <f>IF(ISERROR(VLOOKUP($A77,Bestellungen!$6:$1048576,MATCH(Kasse!Q$5,Bestellungen!$A$5:$X$5,0),0))=FALSE,SUMIF(Kalkulation!$A$6:$A$40,Kasse!Q$5&amp;"*",Kalkulation!$C$6:$C$40)*VLOOKUP($A77,Bestellungen!$6:$1048576,MATCH(Kasse!Q$5,Bestellungen!$A$5:$X$5,0),0),"")</f>
        <v/>
      </c>
      <c r="R77" s="26" t="str">
        <f>IF(ISERROR(VLOOKUP($A77,Bestellungen!$6:$1048576,MATCH(Kasse!R$5,Bestellungen!$A$5:$X$5,0),0))=FALSE,SUMIF(Kalkulation!$A$6:$A$40,Kasse!R$5&amp;"*",Kalkulation!$C$6:$C$40)*VLOOKUP($A77,Bestellungen!$6:$1048576,MATCH(Kasse!R$5,Bestellungen!$A$5:$X$5,0),0),"")</f>
        <v/>
      </c>
      <c r="S77" s="26" t="str">
        <f>IF(ISERROR(VLOOKUP($A77,Bestellungen!$6:$1048576,MATCH(Kasse!S$5,Bestellungen!$A$5:$X$5,0),0))=FALSE,SUMIF(Kalkulation!$A$6:$A$40,Kasse!S$5&amp;"*",Kalkulation!$C$6:$C$40)*VLOOKUP($A77,Bestellungen!$6:$1048576,MATCH(Kasse!S$5,Bestellungen!$A$5:$X$5,0),0),"")</f>
        <v/>
      </c>
      <c r="T77" s="26" t="str">
        <f>IF(ISERROR(VLOOKUP($A77,Bestellungen!$6:$1048576,MATCH(Kasse!T$5,Bestellungen!$A$5:$X$5,0),0))=FALSE,SUMIF(Kalkulation!$A$6:$A$40,Kasse!T$5&amp;"*",Kalkulation!$C$6:$C$40)*VLOOKUP($A77,Bestellungen!$6:$1048576,MATCH(Kasse!T$5,Bestellungen!$A$5:$X$5,0),0),"")</f>
        <v/>
      </c>
      <c r="U77" s="26" t="str">
        <f t="shared" si="2"/>
        <v/>
      </c>
      <c r="W77" s="26" t="str">
        <f t="shared" si="3"/>
        <v/>
      </c>
      <c r="X77" s="26"/>
      <c r="Y77" s="26"/>
      <c r="Z77" s="26"/>
      <c r="AA77" s="26"/>
    </row>
    <row r="78" spans="1:27" x14ac:dyDescent="0.25">
      <c r="A78" t="str">
        <f>IF(LEN(Bestellungen!$A78)&gt;0,Bestellungen!$A78,"")</f>
        <v/>
      </c>
      <c r="B78" s="26" t="str">
        <f>IF(ISERROR(VLOOKUP($A78,Bestellungen!$6:$1048576,MATCH(Kasse!B$5,Bestellungen!$A$5:$X$5,0),0))=FALSE,SUMIF(Kalkulation!$A$6:$A$40,Kasse!B$5&amp;"*",Kalkulation!$C$6:$C$40)*VLOOKUP($A78,Bestellungen!$6:$1048576,MATCH(Kasse!B$5,Bestellungen!$A$5:$X$5,0),0),"")</f>
        <v/>
      </c>
      <c r="C78" s="26" t="str">
        <f>IF(ISERROR(VLOOKUP($A78,Bestellungen!$6:$1048576,MATCH(Kasse!C$5,Bestellungen!$A$5:$X$5,0),0))=FALSE,SUMIF(Kalkulation!$A$6:$A$40,Kasse!C$5&amp;"*",Kalkulation!$C$6:$C$40)*VLOOKUP($A78,Bestellungen!$6:$1048576,MATCH(Kasse!C$5,Bestellungen!$A$5:$X$5,0),0),"")</f>
        <v/>
      </c>
      <c r="D78" s="26" t="str">
        <f>IF(ISERROR(VLOOKUP($A78,Bestellungen!$6:$1048576,MATCH(Kasse!D$5,Bestellungen!$A$5:$X$5,0),0))=FALSE,SUMIF(Kalkulation!$A$6:$A$40,Kasse!D$5&amp;"*",Kalkulation!$C$6:$C$40)*VLOOKUP($A78,Bestellungen!$6:$1048576,MATCH(Kasse!D$5,Bestellungen!$A$5:$X$5,0),0),"")</f>
        <v/>
      </c>
      <c r="E78" s="26" t="str">
        <f>IF(ISERROR(VLOOKUP($A78,Bestellungen!$6:$1048576,MATCH(Kasse!E$5,Bestellungen!$A$5:$X$5,0),0))=FALSE,SUMIF(Kalkulation!$A$6:$A$40,Kasse!E$5&amp;"*",Kalkulation!$C$6:$C$40)*VLOOKUP($A78,Bestellungen!$6:$1048576,MATCH(Kasse!E$5,Bestellungen!$A$5:$X$5,0),0),"")</f>
        <v/>
      </c>
      <c r="F78" s="26" t="str">
        <f>IF(ISERROR(VLOOKUP($A78,Bestellungen!$6:$1048576,MATCH(Kasse!F$5,Bestellungen!$A$5:$X$5,0),0))=FALSE,SUMIF(Kalkulation!$A$6:$A$40,Kasse!F$5&amp;"*",Kalkulation!$C$6:$C$40)*VLOOKUP($A78,Bestellungen!$6:$1048576,MATCH(Kasse!F$5,Bestellungen!$A$5:$X$5,0),0),"")</f>
        <v/>
      </c>
      <c r="G78" s="26" t="str">
        <f>IF(ISERROR(VLOOKUP($A78,Bestellungen!$6:$1048576,MATCH(Kasse!G$5,Bestellungen!$A$5:$X$5,0),0))=FALSE,SUMIF(Kalkulation!$A$6:$A$40,Kasse!G$5&amp;"*",Kalkulation!$C$6:$C$40)*VLOOKUP($A78,Bestellungen!$6:$1048576,MATCH(Kasse!G$5,Bestellungen!$A$5:$X$5,0),0),"")</f>
        <v/>
      </c>
      <c r="H78" s="26" t="str">
        <f>IF(ISERROR(VLOOKUP($A78,Bestellungen!$6:$1048576,MATCH(Kasse!H$5,Bestellungen!$A$5:$X$5,0),0))=FALSE,SUMIF(Kalkulation!$A$6:$A$40,Kasse!H$5&amp;"*",Kalkulation!$C$6:$C$40)*VLOOKUP($A78,Bestellungen!$6:$1048576,MATCH(Kasse!H$5,Bestellungen!$A$5:$X$5,0),0),"")</f>
        <v/>
      </c>
      <c r="I78" s="26" t="str">
        <f>IF(ISERROR(VLOOKUP($A78,Bestellungen!$6:$1048576,MATCH(Kasse!I$5,Bestellungen!$A$5:$X$5,0),0))=FALSE,SUMIF(Kalkulation!$A$6:$A$40,Kasse!I$5&amp;"*",Kalkulation!$C$6:$C$40)*VLOOKUP($A78,Bestellungen!$6:$1048576,MATCH(Kasse!I$5,Bestellungen!$A$5:$X$5,0),0),"")</f>
        <v/>
      </c>
      <c r="J78" s="26" t="str">
        <f>IF(ISERROR(VLOOKUP($A78,Bestellungen!$6:$1048576,MATCH(Kasse!J$5,Bestellungen!$A$5:$X$5,0),0))=FALSE,SUMIF(Kalkulation!$A$6:$A$40,Kasse!J$5&amp;"*",Kalkulation!$C$6:$C$40)*VLOOKUP($A78,Bestellungen!$6:$1048576,MATCH(Kasse!J$5,Bestellungen!$A$5:$X$5,0),0),"")</f>
        <v/>
      </c>
      <c r="K78" s="26" t="str">
        <f>IF(ISERROR(VLOOKUP($A78,Bestellungen!$6:$1048576,MATCH(Kasse!K$5,Bestellungen!$A$5:$X$5,0),0))=FALSE,SUMIF(Kalkulation!$A$6:$A$40,Kasse!K$5&amp;"*",Kalkulation!$C$6:$C$40)*VLOOKUP($A78,Bestellungen!$6:$1048576,MATCH(Kasse!K$5,Bestellungen!$A$5:$X$5,0),0),"")</f>
        <v/>
      </c>
      <c r="L78" s="26" t="str">
        <f>IF(ISERROR(VLOOKUP($A78,Bestellungen!$6:$1048576,MATCH(Kasse!L$5,Bestellungen!$A$5:$X$5,0),0))=FALSE,SUMIF(Kalkulation!$A$6:$A$40,Kasse!L$5&amp;"*",Kalkulation!$C$6:$C$40)*VLOOKUP($A78,Bestellungen!$6:$1048576,MATCH(Kasse!L$5,Bestellungen!$A$5:$X$5,0),0),"")</f>
        <v/>
      </c>
      <c r="M78" s="26" t="str">
        <f>IF(ISERROR(VLOOKUP($A78,Bestellungen!$6:$1048576,MATCH(Kasse!M$5,Bestellungen!$A$5:$X$5,0),0))=FALSE,SUMIF(Kalkulation!$A$6:$A$40,Kasse!M$5&amp;"*",Kalkulation!$C$6:$C$40)*VLOOKUP($A78,Bestellungen!$6:$1048576,MATCH(Kasse!M$5,Bestellungen!$A$5:$X$5,0),0),"")</f>
        <v/>
      </c>
      <c r="N78" s="26" t="str">
        <f>IF(ISERROR(VLOOKUP($A78,Bestellungen!$6:$1048576,MATCH(Kasse!N$5,Bestellungen!$A$5:$X$5,0),0))=FALSE,SUMIF(Kalkulation!$A$6:$A$40,Kasse!N$5&amp;"*",Kalkulation!$C$6:$C$40)*VLOOKUP($A78,Bestellungen!$6:$1048576,MATCH(Kasse!N$5,Bestellungen!$A$5:$X$5,0),0),"")</f>
        <v/>
      </c>
      <c r="O78" s="26" t="str">
        <f>IF(ISERROR(VLOOKUP($A78,Bestellungen!$6:$1048576,MATCH(Kasse!O$5,Bestellungen!$A$5:$X$5,0),0))=FALSE,SUMIF(Kalkulation!$A$6:$A$40,Kasse!O$5&amp;"*",Kalkulation!$C$6:$C$40)*VLOOKUP($A78,Bestellungen!$6:$1048576,MATCH(Kasse!O$5,Bestellungen!$A$5:$X$5,0),0),"")</f>
        <v/>
      </c>
      <c r="P78" s="26" t="str">
        <f>IF(ISERROR(VLOOKUP($A78,Bestellungen!$6:$1048576,MATCH(Kasse!P$5,Bestellungen!$A$5:$X$5,0),0))=FALSE,SUMIF(Kalkulation!$A$6:$A$40,Kasse!P$5&amp;"*",Kalkulation!$C$6:$C$40)*VLOOKUP($A78,Bestellungen!$6:$1048576,MATCH(Kasse!P$5,Bestellungen!$A$5:$X$5,0),0),"")</f>
        <v/>
      </c>
      <c r="Q78" s="26" t="str">
        <f>IF(ISERROR(VLOOKUP($A78,Bestellungen!$6:$1048576,MATCH(Kasse!Q$5,Bestellungen!$A$5:$X$5,0),0))=FALSE,SUMIF(Kalkulation!$A$6:$A$40,Kasse!Q$5&amp;"*",Kalkulation!$C$6:$C$40)*VLOOKUP($A78,Bestellungen!$6:$1048576,MATCH(Kasse!Q$5,Bestellungen!$A$5:$X$5,0),0),"")</f>
        <v/>
      </c>
      <c r="R78" s="26" t="str">
        <f>IF(ISERROR(VLOOKUP($A78,Bestellungen!$6:$1048576,MATCH(Kasse!R$5,Bestellungen!$A$5:$X$5,0),0))=FALSE,SUMIF(Kalkulation!$A$6:$A$40,Kasse!R$5&amp;"*",Kalkulation!$C$6:$C$40)*VLOOKUP($A78,Bestellungen!$6:$1048576,MATCH(Kasse!R$5,Bestellungen!$A$5:$X$5,0),0),"")</f>
        <v/>
      </c>
      <c r="S78" s="26" t="str">
        <f>IF(ISERROR(VLOOKUP($A78,Bestellungen!$6:$1048576,MATCH(Kasse!S$5,Bestellungen!$A$5:$X$5,0),0))=FALSE,SUMIF(Kalkulation!$A$6:$A$40,Kasse!S$5&amp;"*",Kalkulation!$C$6:$C$40)*VLOOKUP($A78,Bestellungen!$6:$1048576,MATCH(Kasse!S$5,Bestellungen!$A$5:$X$5,0),0),"")</f>
        <v/>
      </c>
      <c r="T78" s="26" t="str">
        <f>IF(ISERROR(VLOOKUP($A78,Bestellungen!$6:$1048576,MATCH(Kasse!T$5,Bestellungen!$A$5:$X$5,0),0))=FALSE,SUMIF(Kalkulation!$A$6:$A$40,Kasse!T$5&amp;"*",Kalkulation!$C$6:$C$40)*VLOOKUP($A78,Bestellungen!$6:$1048576,MATCH(Kasse!T$5,Bestellungen!$A$5:$X$5,0),0),"")</f>
        <v/>
      </c>
      <c r="U78" s="26" t="str">
        <f t="shared" si="2"/>
        <v/>
      </c>
      <c r="W78" s="26" t="str">
        <f t="shared" si="3"/>
        <v/>
      </c>
      <c r="X78" s="26"/>
      <c r="Y78" s="26"/>
      <c r="Z78" s="26"/>
      <c r="AA78" s="26"/>
    </row>
    <row r="79" spans="1:27" x14ac:dyDescent="0.25">
      <c r="A79" t="str">
        <f>IF(LEN(Bestellungen!$A79)&gt;0,Bestellungen!$A79,"")</f>
        <v/>
      </c>
      <c r="B79" s="26" t="str">
        <f>IF(ISERROR(VLOOKUP($A79,Bestellungen!$6:$1048576,MATCH(Kasse!B$5,Bestellungen!$A$5:$X$5,0),0))=FALSE,SUMIF(Kalkulation!$A$6:$A$40,Kasse!B$5&amp;"*",Kalkulation!$C$6:$C$40)*VLOOKUP($A79,Bestellungen!$6:$1048576,MATCH(Kasse!B$5,Bestellungen!$A$5:$X$5,0),0),"")</f>
        <v/>
      </c>
      <c r="C79" s="26" t="str">
        <f>IF(ISERROR(VLOOKUP($A79,Bestellungen!$6:$1048576,MATCH(Kasse!C$5,Bestellungen!$A$5:$X$5,0),0))=FALSE,SUMIF(Kalkulation!$A$6:$A$40,Kasse!C$5&amp;"*",Kalkulation!$C$6:$C$40)*VLOOKUP($A79,Bestellungen!$6:$1048576,MATCH(Kasse!C$5,Bestellungen!$A$5:$X$5,0),0),"")</f>
        <v/>
      </c>
      <c r="D79" s="26" t="str">
        <f>IF(ISERROR(VLOOKUP($A79,Bestellungen!$6:$1048576,MATCH(Kasse!D$5,Bestellungen!$A$5:$X$5,0),0))=FALSE,SUMIF(Kalkulation!$A$6:$A$40,Kasse!D$5&amp;"*",Kalkulation!$C$6:$C$40)*VLOOKUP($A79,Bestellungen!$6:$1048576,MATCH(Kasse!D$5,Bestellungen!$A$5:$X$5,0),0),"")</f>
        <v/>
      </c>
      <c r="E79" s="26" t="str">
        <f>IF(ISERROR(VLOOKUP($A79,Bestellungen!$6:$1048576,MATCH(Kasse!E$5,Bestellungen!$A$5:$X$5,0),0))=FALSE,SUMIF(Kalkulation!$A$6:$A$40,Kasse!E$5&amp;"*",Kalkulation!$C$6:$C$40)*VLOOKUP($A79,Bestellungen!$6:$1048576,MATCH(Kasse!E$5,Bestellungen!$A$5:$X$5,0),0),"")</f>
        <v/>
      </c>
      <c r="F79" s="26" t="str">
        <f>IF(ISERROR(VLOOKUP($A79,Bestellungen!$6:$1048576,MATCH(Kasse!F$5,Bestellungen!$A$5:$X$5,0),0))=FALSE,SUMIF(Kalkulation!$A$6:$A$40,Kasse!F$5&amp;"*",Kalkulation!$C$6:$C$40)*VLOOKUP($A79,Bestellungen!$6:$1048576,MATCH(Kasse!F$5,Bestellungen!$A$5:$X$5,0),0),"")</f>
        <v/>
      </c>
      <c r="G79" s="26" t="str">
        <f>IF(ISERROR(VLOOKUP($A79,Bestellungen!$6:$1048576,MATCH(Kasse!G$5,Bestellungen!$A$5:$X$5,0),0))=FALSE,SUMIF(Kalkulation!$A$6:$A$40,Kasse!G$5&amp;"*",Kalkulation!$C$6:$C$40)*VLOOKUP($A79,Bestellungen!$6:$1048576,MATCH(Kasse!G$5,Bestellungen!$A$5:$X$5,0),0),"")</f>
        <v/>
      </c>
      <c r="H79" s="26" t="str">
        <f>IF(ISERROR(VLOOKUP($A79,Bestellungen!$6:$1048576,MATCH(Kasse!H$5,Bestellungen!$A$5:$X$5,0),0))=FALSE,SUMIF(Kalkulation!$A$6:$A$40,Kasse!H$5&amp;"*",Kalkulation!$C$6:$C$40)*VLOOKUP($A79,Bestellungen!$6:$1048576,MATCH(Kasse!H$5,Bestellungen!$A$5:$X$5,0),0),"")</f>
        <v/>
      </c>
      <c r="I79" s="26" t="str">
        <f>IF(ISERROR(VLOOKUP($A79,Bestellungen!$6:$1048576,MATCH(Kasse!I$5,Bestellungen!$A$5:$X$5,0),0))=FALSE,SUMIF(Kalkulation!$A$6:$A$40,Kasse!I$5&amp;"*",Kalkulation!$C$6:$C$40)*VLOOKUP($A79,Bestellungen!$6:$1048576,MATCH(Kasse!I$5,Bestellungen!$A$5:$X$5,0),0),"")</f>
        <v/>
      </c>
      <c r="J79" s="26" t="str">
        <f>IF(ISERROR(VLOOKUP($A79,Bestellungen!$6:$1048576,MATCH(Kasse!J$5,Bestellungen!$A$5:$X$5,0),0))=FALSE,SUMIF(Kalkulation!$A$6:$A$40,Kasse!J$5&amp;"*",Kalkulation!$C$6:$C$40)*VLOOKUP($A79,Bestellungen!$6:$1048576,MATCH(Kasse!J$5,Bestellungen!$A$5:$X$5,0),0),"")</f>
        <v/>
      </c>
      <c r="K79" s="26" t="str">
        <f>IF(ISERROR(VLOOKUP($A79,Bestellungen!$6:$1048576,MATCH(Kasse!K$5,Bestellungen!$A$5:$X$5,0),0))=FALSE,SUMIF(Kalkulation!$A$6:$A$40,Kasse!K$5&amp;"*",Kalkulation!$C$6:$C$40)*VLOOKUP($A79,Bestellungen!$6:$1048576,MATCH(Kasse!K$5,Bestellungen!$A$5:$X$5,0),0),"")</f>
        <v/>
      </c>
      <c r="L79" s="26" t="str">
        <f>IF(ISERROR(VLOOKUP($A79,Bestellungen!$6:$1048576,MATCH(Kasse!L$5,Bestellungen!$A$5:$X$5,0),0))=FALSE,SUMIF(Kalkulation!$A$6:$A$40,Kasse!L$5&amp;"*",Kalkulation!$C$6:$C$40)*VLOOKUP($A79,Bestellungen!$6:$1048576,MATCH(Kasse!L$5,Bestellungen!$A$5:$X$5,0),0),"")</f>
        <v/>
      </c>
      <c r="M79" s="26" t="str">
        <f>IF(ISERROR(VLOOKUP($A79,Bestellungen!$6:$1048576,MATCH(Kasse!M$5,Bestellungen!$A$5:$X$5,0),0))=FALSE,SUMIF(Kalkulation!$A$6:$A$40,Kasse!M$5&amp;"*",Kalkulation!$C$6:$C$40)*VLOOKUP($A79,Bestellungen!$6:$1048576,MATCH(Kasse!M$5,Bestellungen!$A$5:$X$5,0),0),"")</f>
        <v/>
      </c>
      <c r="N79" s="26" t="str">
        <f>IF(ISERROR(VLOOKUP($A79,Bestellungen!$6:$1048576,MATCH(Kasse!N$5,Bestellungen!$A$5:$X$5,0),0))=FALSE,SUMIF(Kalkulation!$A$6:$A$40,Kasse!N$5&amp;"*",Kalkulation!$C$6:$C$40)*VLOOKUP($A79,Bestellungen!$6:$1048576,MATCH(Kasse!N$5,Bestellungen!$A$5:$X$5,0),0),"")</f>
        <v/>
      </c>
      <c r="O79" s="26" t="str">
        <f>IF(ISERROR(VLOOKUP($A79,Bestellungen!$6:$1048576,MATCH(Kasse!O$5,Bestellungen!$A$5:$X$5,0),0))=FALSE,SUMIF(Kalkulation!$A$6:$A$40,Kasse!O$5&amp;"*",Kalkulation!$C$6:$C$40)*VLOOKUP($A79,Bestellungen!$6:$1048576,MATCH(Kasse!O$5,Bestellungen!$A$5:$X$5,0),0),"")</f>
        <v/>
      </c>
      <c r="P79" s="26" t="str">
        <f>IF(ISERROR(VLOOKUP($A79,Bestellungen!$6:$1048576,MATCH(Kasse!P$5,Bestellungen!$A$5:$X$5,0),0))=FALSE,SUMIF(Kalkulation!$A$6:$A$40,Kasse!P$5&amp;"*",Kalkulation!$C$6:$C$40)*VLOOKUP($A79,Bestellungen!$6:$1048576,MATCH(Kasse!P$5,Bestellungen!$A$5:$X$5,0),0),"")</f>
        <v/>
      </c>
      <c r="Q79" s="26" t="str">
        <f>IF(ISERROR(VLOOKUP($A79,Bestellungen!$6:$1048576,MATCH(Kasse!Q$5,Bestellungen!$A$5:$X$5,0),0))=FALSE,SUMIF(Kalkulation!$A$6:$A$40,Kasse!Q$5&amp;"*",Kalkulation!$C$6:$C$40)*VLOOKUP($A79,Bestellungen!$6:$1048576,MATCH(Kasse!Q$5,Bestellungen!$A$5:$X$5,0),0),"")</f>
        <v/>
      </c>
      <c r="R79" s="26" t="str">
        <f>IF(ISERROR(VLOOKUP($A79,Bestellungen!$6:$1048576,MATCH(Kasse!R$5,Bestellungen!$A$5:$X$5,0),0))=FALSE,SUMIF(Kalkulation!$A$6:$A$40,Kasse!R$5&amp;"*",Kalkulation!$C$6:$C$40)*VLOOKUP($A79,Bestellungen!$6:$1048576,MATCH(Kasse!R$5,Bestellungen!$A$5:$X$5,0),0),"")</f>
        <v/>
      </c>
      <c r="S79" s="26" t="str">
        <f>IF(ISERROR(VLOOKUP($A79,Bestellungen!$6:$1048576,MATCH(Kasse!S$5,Bestellungen!$A$5:$X$5,0),0))=FALSE,SUMIF(Kalkulation!$A$6:$A$40,Kasse!S$5&amp;"*",Kalkulation!$C$6:$C$40)*VLOOKUP($A79,Bestellungen!$6:$1048576,MATCH(Kasse!S$5,Bestellungen!$A$5:$X$5,0),0),"")</f>
        <v/>
      </c>
      <c r="T79" s="26" t="str">
        <f>IF(ISERROR(VLOOKUP($A79,Bestellungen!$6:$1048576,MATCH(Kasse!T$5,Bestellungen!$A$5:$X$5,0),0))=FALSE,SUMIF(Kalkulation!$A$6:$A$40,Kasse!T$5&amp;"*",Kalkulation!$C$6:$C$40)*VLOOKUP($A79,Bestellungen!$6:$1048576,MATCH(Kasse!T$5,Bestellungen!$A$5:$X$5,0),0),"")</f>
        <v/>
      </c>
      <c r="U79" s="26" t="str">
        <f t="shared" si="2"/>
        <v/>
      </c>
      <c r="W79" s="26" t="str">
        <f t="shared" si="3"/>
        <v/>
      </c>
      <c r="X79" s="26"/>
      <c r="Y79" s="26"/>
      <c r="Z79" s="26"/>
      <c r="AA79" s="26"/>
    </row>
    <row r="80" spans="1:27" x14ac:dyDescent="0.25">
      <c r="A80" t="str">
        <f>IF(LEN(Bestellungen!$A80)&gt;0,Bestellungen!$A80,"")</f>
        <v/>
      </c>
      <c r="B80" s="26" t="str">
        <f>IF(ISERROR(VLOOKUP($A80,Bestellungen!$6:$1048576,MATCH(Kasse!B$5,Bestellungen!$A$5:$X$5,0),0))=FALSE,SUMIF(Kalkulation!$A$6:$A$40,Kasse!B$5&amp;"*",Kalkulation!$C$6:$C$40)*VLOOKUP($A80,Bestellungen!$6:$1048576,MATCH(Kasse!B$5,Bestellungen!$A$5:$X$5,0),0),"")</f>
        <v/>
      </c>
      <c r="C80" s="26" t="str">
        <f>IF(ISERROR(VLOOKUP($A80,Bestellungen!$6:$1048576,MATCH(Kasse!C$5,Bestellungen!$A$5:$X$5,0),0))=FALSE,SUMIF(Kalkulation!$A$6:$A$40,Kasse!C$5&amp;"*",Kalkulation!$C$6:$C$40)*VLOOKUP($A80,Bestellungen!$6:$1048576,MATCH(Kasse!C$5,Bestellungen!$A$5:$X$5,0),0),"")</f>
        <v/>
      </c>
      <c r="D80" s="26" t="str">
        <f>IF(ISERROR(VLOOKUP($A80,Bestellungen!$6:$1048576,MATCH(Kasse!D$5,Bestellungen!$A$5:$X$5,0),0))=FALSE,SUMIF(Kalkulation!$A$6:$A$40,Kasse!D$5&amp;"*",Kalkulation!$C$6:$C$40)*VLOOKUP($A80,Bestellungen!$6:$1048576,MATCH(Kasse!D$5,Bestellungen!$A$5:$X$5,0),0),"")</f>
        <v/>
      </c>
      <c r="E80" s="26" t="str">
        <f>IF(ISERROR(VLOOKUP($A80,Bestellungen!$6:$1048576,MATCH(Kasse!E$5,Bestellungen!$A$5:$X$5,0),0))=FALSE,SUMIF(Kalkulation!$A$6:$A$40,Kasse!E$5&amp;"*",Kalkulation!$C$6:$C$40)*VLOOKUP($A80,Bestellungen!$6:$1048576,MATCH(Kasse!E$5,Bestellungen!$A$5:$X$5,0),0),"")</f>
        <v/>
      </c>
      <c r="F80" s="26" t="str">
        <f>IF(ISERROR(VLOOKUP($A80,Bestellungen!$6:$1048576,MATCH(Kasse!F$5,Bestellungen!$A$5:$X$5,0),0))=FALSE,SUMIF(Kalkulation!$A$6:$A$40,Kasse!F$5&amp;"*",Kalkulation!$C$6:$C$40)*VLOOKUP($A80,Bestellungen!$6:$1048576,MATCH(Kasse!F$5,Bestellungen!$A$5:$X$5,0),0),"")</f>
        <v/>
      </c>
      <c r="G80" s="26" t="str">
        <f>IF(ISERROR(VLOOKUP($A80,Bestellungen!$6:$1048576,MATCH(Kasse!G$5,Bestellungen!$A$5:$X$5,0),0))=FALSE,SUMIF(Kalkulation!$A$6:$A$40,Kasse!G$5&amp;"*",Kalkulation!$C$6:$C$40)*VLOOKUP($A80,Bestellungen!$6:$1048576,MATCH(Kasse!G$5,Bestellungen!$A$5:$X$5,0),0),"")</f>
        <v/>
      </c>
      <c r="H80" s="26" t="str">
        <f>IF(ISERROR(VLOOKUP($A80,Bestellungen!$6:$1048576,MATCH(Kasse!H$5,Bestellungen!$A$5:$X$5,0),0))=FALSE,SUMIF(Kalkulation!$A$6:$A$40,Kasse!H$5&amp;"*",Kalkulation!$C$6:$C$40)*VLOOKUP($A80,Bestellungen!$6:$1048576,MATCH(Kasse!H$5,Bestellungen!$A$5:$X$5,0),0),"")</f>
        <v/>
      </c>
      <c r="I80" s="26" t="str">
        <f>IF(ISERROR(VLOOKUP($A80,Bestellungen!$6:$1048576,MATCH(Kasse!I$5,Bestellungen!$A$5:$X$5,0),0))=FALSE,SUMIF(Kalkulation!$A$6:$A$40,Kasse!I$5&amp;"*",Kalkulation!$C$6:$C$40)*VLOOKUP($A80,Bestellungen!$6:$1048576,MATCH(Kasse!I$5,Bestellungen!$A$5:$X$5,0),0),"")</f>
        <v/>
      </c>
      <c r="J80" s="26" t="str">
        <f>IF(ISERROR(VLOOKUP($A80,Bestellungen!$6:$1048576,MATCH(Kasse!J$5,Bestellungen!$A$5:$X$5,0),0))=FALSE,SUMIF(Kalkulation!$A$6:$A$40,Kasse!J$5&amp;"*",Kalkulation!$C$6:$C$40)*VLOOKUP($A80,Bestellungen!$6:$1048576,MATCH(Kasse!J$5,Bestellungen!$A$5:$X$5,0),0),"")</f>
        <v/>
      </c>
      <c r="K80" s="26" t="str">
        <f>IF(ISERROR(VLOOKUP($A80,Bestellungen!$6:$1048576,MATCH(Kasse!K$5,Bestellungen!$A$5:$X$5,0),0))=FALSE,SUMIF(Kalkulation!$A$6:$A$40,Kasse!K$5&amp;"*",Kalkulation!$C$6:$C$40)*VLOOKUP($A80,Bestellungen!$6:$1048576,MATCH(Kasse!K$5,Bestellungen!$A$5:$X$5,0),0),"")</f>
        <v/>
      </c>
      <c r="L80" s="26" t="str">
        <f>IF(ISERROR(VLOOKUP($A80,Bestellungen!$6:$1048576,MATCH(Kasse!L$5,Bestellungen!$A$5:$X$5,0),0))=FALSE,SUMIF(Kalkulation!$A$6:$A$40,Kasse!L$5&amp;"*",Kalkulation!$C$6:$C$40)*VLOOKUP($A80,Bestellungen!$6:$1048576,MATCH(Kasse!L$5,Bestellungen!$A$5:$X$5,0),0),"")</f>
        <v/>
      </c>
      <c r="M80" s="26" t="str">
        <f>IF(ISERROR(VLOOKUP($A80,Bestellungen!$6:$1048576,MATCH(Kasse!M$5,Bestellungen!$A$5:$X$5,0),0))=FALSE,SUMIF(Kalkulation!$A$6:$A$40,Kasse!M$5&amp;"*",Kalkulation!$C$6:$C$40)*VLOOKUP($A80,Bestellungen!$6:$1048576,MATCH(Kasse!M$5,Bestellungen!$A$5:$X$5,0),0),"")</f>
        <v/>
      </c>
      <c r="N80" s="26" t="str">
        <f>IF(ISERROR(VLOOKUP($A80,Bestellungen!$6:$1048576,MATCH(Kasse!N$5,Bestellungen!$A$5:$X$5,0),0))=FALSE,SUMIF(Kalkulation!$A$6:$A$40,Kasse!N$5&amp;"*",Kalkulation!$C$6:$C$40)*VLOOKUP($A80,Bestellungen!$6:$1048576,MATCH(Kasse!N$5,Bestellungen!$A$5:$X$5,0),0),"")</f>
        <v/>
      </c>
      <c r="O80" s="26" t="str">
        <f>IF(ISERROR(VLOOKUP($A80,Bestellungen!$6:$1048576,MATCH(Kasse!O$5,Bestellungen!$A$5:$X$5,0),0))=FALSE,SUMIF(Kalkulation!$A$6:$A$40,Kasse!O$5&amp;"*",Kalkulation!$C$6:$C$40)*VLOOKUP($A80,Bestellungen!$6:$1048576,MATCH(Kasse!O$5,Bestellungen!$A$5:$X$5,0),0),"")</f>
        <v/>
      </c>
      <c r="P80" s="26" t="str">
        <f>IF(ISERROR(VLOOKUP($A80,Bestellungen!$6:$1048576,MATCH(Kasse!P$5,Bestellungen!$A$5:$X$5,0),0))=FALSE,SUMIF(Kalkulation!$A$6:$A$40,Kasse!P$5&amp;"*",Kalkulation!$C$6:$C$40)*VLOOKUP($A80,Bestellungen!$6:$1048576,MATCH(Kasse!P$5,Bestellungen!$A$5:$X$5,0),0),"")</f>
        <v/>
      </c>
      <c r="Q80" s="26" t="str">
        <f>IF(ISERROR(VLOOKUP($A80,Bestellungen!$6:$1048576,MATCH(Kasse!Q$5,Bestellungen!$A$5:$X$5,0),0))=FALSE,SUMIF(Kalkulation!$A$6:$A$40,Kasse!Q$5&amp;"*",Kalkulation!$C$6:$C$40)*VLOOKUP($A80,Bestellungen!$6:$1048576,MATCH(Kasse!Q$5,Bestellungen!$A$5:$X$5,0),0),"")</f>
        <v/>
      </c>
      <c r="R80" s="26" t="str">
        <f>IF(ISERROR(VLOOKUP($A80,Bestellungen!$6:$1048576,MATCH(Kasse!R$5,Bestellungen!$A$5:$X$5,0),0))=FALSE,SUMIF(Kalkulation!$A$6:$A$40,Kasse!R$5&amp;"*",Kalkulation!$C$6:$C$40)*VLOOKUP($A80,Bestellungen!$6:$1048576,MATCH(Kasse!R$5,Bestellungen!$A$5:$X$5,0),0),"")</f>
        <v/>
      </c>
      <c r="S80" s="26" t="str">
        <f>IF(ISERROR(VLOOKUP($A80,Bestellungen!$6:$1048576,MATCH(Kasse!S$5,Bestellungen!$A$5:$X$5,0),0))=FALSE,SUMIF(Kalkulation!$A$6:$A$40,Kasse!S$5&amp;"*",Kalkulation!$C$6:$C$40)*VLOOKUP($A80,Bestellungen!$6:$1048576,MATCH(Kasse!S$5,Bestellungen!$A$5:$X$5,0),0),"")</f>
        <v/>
      </c>
      <c r="T80" s="26" t="str">
        <f>IF(ISERROR(VLOOKUP($A80,Bestellungen!$6:$1048576,MATCH(Kasse!T$5,Bestellungen!$A$5:$X$5,0),0))=FALSE,SUMIF(Kalkulation!$A$6:$A$40,Kasse!T$5&amp;"*",Kalkulation!$C$6:$C$40)*VLOOKUP($A80,Bestellungen!$6:$1048576,MATCH(Kasse!T$5,Bestellungen!$A$5:$X$5,0),0),"")</f>
        <v/>
      </c>
      <c r="U80" s="26" t="str">
        <f t="shared" si="2"/>
        <v/>
      </c>
      <c r="W80" s="26" t="str">
        <f t="shared" si="3"/>
        <v/>
      </c>
      <c r="X80" s="26"/>
      <c r="Y80" s="26"/>
      <c r="Z80" s="26"/>
      <c r="AA80" s="26"/>
    </row>
    <row r="81" spans="1:27" x14ac:dyDescent="0.25">
      <c r="A81" t="str">
        <f>IF(LEN(Bestellungen!$A81)&gt;0,Bestellungen!$A81,"")</f>
        <v/>
      </c>
      <c r="B81" s="26" t="str">
        <f>IF(ISERROR(VLOOKUP($A81,Bestellungen!$6:$1048576,MATCH(Kasse!B$5,Bestellungen!$A$5:$X$5,0),0))=FALSE,SUMIF(Kalkulation!$A$6:$A$40,Kasse!B$5&amp;"*",Kalkulation!$C$6:$C$40)*VLOOKUP($A81,Bestellungen!$6:$1048576,MATCH(Kasse!B$5,Bestellungen!$A$5:$X$5,0),0),"")</f>
        <v/>
      </c>
      <c r="C81" s="26" t="str">
        <f>IF(ISERROR(VLOOKUP($A81,Bestellungen!$6:$1048576,MATCH(Kasse!C$5,Bestellungen!$A$5:$X$5,0),0))=FALSE,SUMIF(Kalkulation!$A$6:$A$40,Kasse!C$5&amp;"*",Kalkulation!$C$6:$C$40)*VLOOKUP($A81,Bestellungen!$6:$1048576,MATCH(Kasse!C$5,Bestellungen!$A$5:$X$5,0),0),"")</f>
        <v/>
      </c>
      <c r="D81" s="26" t="str">
        <f>IF(ISERROR(VLOOKUP($A81,Bestellungen!$6:$1048576,MATCH(Kasse!D$5,Bestellungen!$A$5:$X$5,0),0))=FALSE,SUMIF(Kalkulation!$A$6:$A$40,Kasse!D$5&amp;"*",Kalkulation!$C$6:$C$40)*VLOOKUP($A81,Bestellungen!$6:$1048576,MATCH(Kasse!D$5,Bestellungen!$A$5:$X$5,0),0),"")</f>
        <v/>
      </c>
      <c r="E81" s="26" t="str">
        <f>IF(ISERROR(VLOOKUP($A81,Bestellungen!$6:$1048576,MATCH(Kasse!E$5,Bestellungen!$A$5:$X$5,0),0))=FALSE,SUMIF(Kalkulation!$A$6:$A$40,Kasse!E$5&amp;"*",Kalkulation!$C$6:$C$40)*VLOOKUP($A81,Bestellungen!$6:$1048576,MATCH(Kasse!E$5,Bestellungen!$A$5:$X$5,0),0),"")</f>
        <v/>
      </c>
      <c r="F81" s="26" t="str">
        <f>IF(ISERROR(VLOOKUP($A81,Bestellungen!$6:$1048576,MATCH(Kasse!F$5,Bestellungen!$A$5:$X$5,0),0))=FALSE,SUMIF(Kalkulation!$A$6:$A$40,Kasse!F$5&amp;"*",Kalkulation!$C$6:$C$40)*VLOOKUP($A81,Bestellungen!$6:$1048576,MATCH(Kasse!F$5,Bestellungen!$A$5:$X$5,0),0),"")</f>
        <v/>
      </c>
      <c r="G81" s="26" t="str">
        <f>IF(ISERROR(VLOOKUP($A81,Bestellungen!$6:$1048576,MATCH(Kasse!G$5,Bestellungen!$A$5:$X$5,0),0))=FALSE,SUMIF(Kalkulation!$A$6:$A$40,Kasse!G$5&amp;"*",Kalkulation!$C$6:$C$40)*VLOOKUP($A81,Bestellungen!$6:$1048576,MATCH(Kasse!G$5,Bestellungen!$A$5:$X$5,0),0),"")</f>
        <v/>
      </c>
      <c r="H81" s="26" t="str">
        <f>IF(ISERROR(VLOOKUP($A81,Bestellungen!$6:$1048576,MATCH(Kasse!H$5,Bestellungen!$A$5:$X$5,0),0))=FALSE,SUMIF(Kalkulation!$A$6:$A$40,Kasse!H$5&amp;"*",Kalkulation!$C$6:$C$40)*VLOOKUP($A81,Bestellungen!$6:$1048576,MATCH(Kasse!H$5,Bestellungen!$A$5:$X$5,0),0),"")</f>
        <v/>
      </c>
      <c r="I81" s="26" t="str">
        <f>IF(ISERROR(VLOOKUP($A81,Bestellungen!$6:$1048576,MATCH(Kasse!I$5,Bestellungen!$A$5:$X$5,0),0))=FALSE,SUMIF(Kalkulation!$A$6:$A$40,Kasse!I$5&amp;"*",Kalkulation!$C$6:$C$40)*VLOOKUP($A81,Bestellungen!$6:$1048576,MATCH(Kasse!I$5,Bestellungen!$A$5:$X$5,0),0),"")</f>
        <v/>
      </c>
      <c r="J81" s="26" t="str">
        <f>IF(ISERROR(VLOOKUP($A81,Bestellungen!$6:$1048576,MATCH(Kasse!J$5,Bestellungen!$A$5:$X$5,0),0))=FALSE,SUMIF(Kalkulation!$A$6:$A$40,Kasse!J$5&amp;"*",Kalkulation!$C$6:$C$40)*VLOOKUP($A81,Bestellungen!$6:$1048576,MATCH(Kasse!J$5,Bestellungen!$A$5:$X$5,0),0),"")</f>
        <v/>
      </c>
      <c r="K81" s="26" t="str">
        <f>IF(ISERROR(VLOOKUP($A81,Bestellungen!$6:$1048576,MATCH(Kasse!K$5,Bestellungen!$A$5:$X$5,0),0))=FALSE,SUMIF(Kalkulation!$A$6:$A$40,Kasse!K$5&amp;"*",Kalkulation!$C$6:$C$40)*VLOOKUP($A81,Bestellungen!$6:$1048576,MATCH(Kasse!K$5,Bestellungen!$A$5:$X$5,0),0),"")</f>
        <v/>
      </c>
      <c r="L81" s="26" t="str">
        <f>IF(ISERROR(VLOOKUP($A81,Bestellungen!$6:$1048576,MATCH(Kasse!L$5,Bestellungen!$A$5:$X$5,0),0))=FALSE,SUMIF(Kalkulation!$A$6:$A$40,Kasse!L$5&amp;"*",Kalkulation!$C$6:$C$40)*VLOOKUP($A81,Bestellungen!$6:$1048576,MATCH(Kasse!L$5,Bestellungen!$A$5:$X$5,0),0),"")</f>
        <v/>
      </c>
      <c r="M81" s="26" t="str">
        <f>IF(ISERROR(VLOOKUP($A81,Bestellungen!$6:$1048576,MATCH(Kasse!M$5,Bestellungen!$A$5:$X$5,0),0))=FALSE,SUMIF(Kalkulation!$A$6:$A$40,Kasse!M$5&amp;"*",Kalkulation!$C$6:$C$40)*VLOOKUP($A81,Bestellungen!$6:$1048576,MATCH(Kasse!M$5,Bestellungen!$A$5:$X$5,0),0),"")</f>
        <v/>
      </c>
      <c r="N81" s="26" t="str">
        <f>IF(ISERROR(VLOOKUP($A81,Bestellungen!$6:$1048576,MATCH(Kasse!N$5,Bestellungen!$A$5:$X$5,0),0))=FALSE,SUMIF(Kalkulation!$A$6:$A$40,Kasse!N$5&amp;"*",Kalkulation!$C$6:$C$40)*VLOOKUP($A81,Bestellungen!$6:$1048576,MATCH(Kasse!N$5,Bestellungen!$A$5:$X$5,0),0),"")</f>
        <v/>
      </c>
      <c r="O81" s="26" t="str">
        <f>IF(ISERROR(VLOOKUP($A81,Bestellungen!$6:$1048576,MATCH(Kasse!O$5,Bestellungen!$A$5:$X$5,0),0))=FALSE,SUMIF(Kalkulation!$A$6:$A$40,Kasse!O$5&amp;"*",Kalkulation!$C$6:$C$40)*VLOOKUP($A81,Bestellungen!$6:$1048576,MATCH(Kasse!O$5,Bestellungen!$A$5:$X$5,0),0),"")</f>
        <v/>
      </c>
      <c r="P81" s="26" t="str">
        <f>IF(ISERROR(VLOOKUP($A81,Bestellungen!$6:$1048576,MATCH(Kasse!P$5,Bestellungen!$A$5:$X$5,0),0))=FALSE,SUMIF(Kalkulation!$A$6:$A$40,Kasse!P$5&amp;"*",Kalkulation!$C$6:$C$40)*VLOOKUP($A81,Bestellungen!$6:$1048576,MATCH(Kasse!P$5,Bestellungen!$A$5:$X$5,0),0),"")</f>
        <v/>
      </c>
      <c r="Q81" s="26" t="str">
        <f>IF(ISERROR(VLOOKUP($A81,Bestellungen!$6:$1048576,MATCH(Kasse!Q$5,Bestellungen!$A$5:$X$5,0),0))=FALSE,SUMIF(Kalkulation!$A$6:$A$40,Kasse!Q$5&amp;"*",Kalkulation!$C$6:$C$40)*VLOOKUP($A81,Bestellungen!$6:$1048576,MATCH(Kasse!Q$5,Bestellungen!$A$5:$X$5,0),0),"")</f>
        <v/>
      </c>
      <c r="R81" s="26" t="str">
        <f>IF(ISERROR(VLOOKUP($A81,Bestellungen!$6:$1048576,MATCH(Kasse!R$5,Bestellungen!$A$5:$X$5,0),0))=FALSE,SUMIF(Kalkulation!$A$6:$A$40,Kasse!R$5&amp;"*",Kalkulation!$C$6:$C$40)*VLOOKUP($A81,Bestellungen!$6:$1048576,MATCH(Kasse!R$5,Bestellungen!$A$5:$X$5,0),0),"")</f>
        <v/>
      </c>
      <c r="S81" s="26" t="str">
        <f>IF(ISERROR(VLOOKUP($A81,Bestellungen!$6:$1048576,MATCH(Kasse!S$5,Bestellungen!$A$5:$X$5,0),0))=FALSE,SUMIF(Kalkulation!$A$6:$A$40,Kasse!S$5&amp;"*",Kalkulation!$C$6:$C$40)*VLOOKUP($A81,Bestellungen!$6:$1048576,MATCH(Kasse!S$5,Bestellungen!$A$5:$X$5,0),0),"")</f>
        <v/>
      </c>
      <c r="T81" s="26" t="str">
        <f>IF(ISERROR(VLOOKUP($A81,Bestellungen!$6:$1048576,MATCH(Kasse!T$5,Bestellungen!$A$5:$X$5,0),0))=FALSE,SUMIF(Kalkulation!$A$6:$A$40,Kasse!T$5&amp;"*",Kalkulation!$C$6:$C$40)*VLOOKUP($A81,Bestellungen!$6:$1048576,MATCH(Kasse!T$5,Bestellungen!$A$5:$X$5,0),0),"")</f>
        <v/>
      </c>
      <c r="U81" s="26" t="str">
        <f t="shared" si="2"/>
        <v/>
      </c>
      <c r="W81" s="26" t="str">
        <f t="shared" si="3"/>
        <v/>
      </c>
      <c r="X81" s="26"/>
      <c r="Y81" s="26"/>
      <c r="Z81" s="26"/>
      <c r="AA81" s="26"/>
    </row>
    <row r="82" spans="1:27" x14ac:dyDescent="0.25">
      <c r="A82" t="str">
        <f>IF(LEN(Bestellungen!$A82)&gt;0,Bestellungen!$A82,"")</f>
        <v/>
      </c>
      <c r="B82" s="26" t="str">
        <f>IF(ISERROR(VLOOKUP($A82,Bestellungen!$6:$1048576,MATCH(Kasse!B$5,Bestellungen!$A$5:$X$5,0),0))=FALSE,SUMIF(Kalkulation!$A$6:$A$40,Kasse!B$5&amp;"*",Kalkulation!$C$6:$C$40)*VLOOKUP($A82,Bestellungen!$6:$1048576,MATCH(Kasse!B$5,Bestellungen!$A$5:$X$5,0),0),"")</f>
        <v/>
      </c>
      <c r="C82" s="26" t="str">
        <f>IF(ISERROR(VLOOKUP($A82,Bestellungen!$6:$1048576,MATCH(Kasse!C$5,Bestellungen!$A$5:$X$5,0),0))=FALSE,SUMIF(Kalkulation!$A$6:$A$40,Kasse!C$5&amp;"*",Kalkulation!$C$6:$C$40)*VLOOKUP($A82,Bestellungen!$6:$1048576,MATCH(Kasse!C$5,Bestellungen!$A$5:$X$5,0),0),"")</f>
        <v/>
      </c>
      <c r="D82" s="26" t="str">
        <f>IF(ISERROR(VLOOKUP($A82,Bestellungen!$6:$1048576,MATCH(Kasse!D$5,Bestellungen!$A$5:$X$5,0),0))=FALSE,SUMIF(Kalkulation!$A$6:$A$40,Kasse!D$5&amp;"*",Kalkulation!$C$6:$C$40)*VLOOKUP($A82,Bestellungen!$6:$1048576,MATCH(Kasse!D$5,Bestellungen!$A$5:$X$5,0),0),"")</f>
        <v/>
      </c>
      <c r="E82" s="26" t="str">
        <f>IF(ISERROR(VLOOKUP($A82,Bestellungen!$6:$1048576,MATCH(Kasse!E$5,Bestellungen!$A$5:$X$5,0),0))=FALSE,SUMIF(Kalkulation!$A$6:$A$40,Kasse!E$5&amp;"*",Kalkulation!$C$6:$C$40)*VLOOKUP($A82,Bestellungen!$6:$1048576,MATCH(Kasse!E$5,Bestellungen!$A$5:$X$5,0),0),"")</f>
        <v/>
      </c>
      <c r="F82" s="26" t="str">
        <f>IF(ISERROR(VLOOKUP($A82,Bestellungen!$6:$1048576,MATCH(Kasse!F$5,Bestellungen!$A$5:$X$5,0),0))=FALSE,SUMIF(Kalkulation!$A$6:$A$40,Kasse!F$5&amp;"*",Kalkulation!$C$6:$C$40)*VLOOKUP($A82,Bestellungen!$6:$1048576,MATCH(Kasse!F$5,Bestellungen!$A$5:$X$5,0),0),"")</f>
        <v/>
      </c>
      <c r="G82" s="26" t="str">
        <f>IF(ISERROR(VLOOKUP($A82,Bestellungen!$6:$1048576,MATCH(Kasse!G$5,Bestellungen!$A$5:$X$5,0),0))=FALSE,SUMIF(Kalkulation!$A$6:$A$40,Kasse!G$5&amp;"*",Kalkulation!$C$6:$C$40)*VLOOKUP($A82,Bestellungen!$6:$1048576,MATCH(Kasse!G$5,Bestellungen!$A$5:$X$5,0),0),"")</f>
        <v/>
      </c>
      <c r="H82" s="26" t="str">
        <f>IF(ISERROR(VLOOKUP($A82,Bestellungen!$6:$1048576,MATCH(Kasse!H$5,Bestellungen!$A$5:$X$5,0),0))=FALSE,SUMIF(Kalkulation!$A$6:$A$40,Kasse!H$5&amp;"*",Kalkulation!$C$6:$C$40)*VLOOKUP($A82,Bestellungen!$6:$1048576,MATCH(Kasse!H$5,Bestellungen!$A$5:$X$5,0),0),"")</f>
        <v/>
      </c>
      <c r="I82" s="26" t="str">
        <f>IF(ISERROR(VLOOKUP($A82,Bestellungen!$6:$1048576,MATCH(Kasse!I$5,Bestellungen!$A$5:$X$5,0),0))=FALSE,SUMIF(Kalkulation!$A$6:$A$40,Kasse!I$5&amp;"*",Kalkulation!$C$6:$C$40)*VLOOKUP($A82,Bestellungen!$6:$1048576,MATCH(Kasse!I$5,Bestellungen!$A$5:$X$5,0),0),"")</f>
        <v/>
      </c>
      <c r="J82" s="26" t="str">
        <f>IF(ISERROR(VLOOKUP($A82,Bestellungen!$6:$1048576,MATCH(Kasse!J$5,Bestellungen!$A$5:$X$5,0),0))=FALSE,SUMIF(Kalkulation!$A$6:$A$40,Kasse!J$5&amp;"*",Kalkulation!$C$6:$C$40)*VLOOKUP($A82,Bestellungen!$6:$1048576,MATCH(Kasse!J$5,Bestellungen!$A$5:$X$5,0),0),"")</f>
        <v/>
      </c>
      <c r="K82" s="26" t="str">
        <f>IF(ISERROR(VLOOKUP($A82,Bestellungen!$6:$1048576,MATCH(Kasse!K$5,Bestellungen!$A$5:$X$5,0),0))=FALSE,SUMIF(Kalkulation!$A$6:$A$40,Kasse!K$5&amp;"*",Kalkulation!$C$6:$C$40)*VLOOKUP($A82,Bestellungen!$6:$1048576,MATCH(Kasse!K$5,Bestellungen!$A$5:$X$5,0),0),"")</f>
        <v/>
      </c>
      <c r="L82" s="26" t="str">
        <f>IF(ISERROR(VLOOKUP($A82,Bestellungen!$6:$1048576,MATCH(Kasse!L$5,Bestellungen!$A$5:$X$5,0),0))=FALSE,SUMIF(Kalkulation!$A$6:$A$40,Kasse!L$5&amp;"*",Kalkulation!$C$6:$C$40)*VLOOKUP($A82,Bestellungen!$6:$1048576,MATCH(Kasse!L$5,Bestellungen!$A$5:$X$5,0),0),"")</f>
        <v/>
      </c>
      <c r="M82" s="26" t="str">
        <f>IF(ISERROR(VLOOKUP($A82,Bestellungen!$6:$1048576,MATCH(Kasse!M$5,Bestellungen!$A$5:$X$5,0),0))=FALSE,SUMIF(Kalkulation!$A$6:$A$40,Kasse!M$5&amp;"*",Kalkulation!$C$6:$C$40)*VLOOKUP($A82,Bestellungen!$6:$1048576,MATCH(Kasse!M$5,Bestellungen!$A$5:$X$5,0),0),"")</f>
        <v/>
      </c>
      <c r="N82" s="26" t="str">
        <f>IF(ISERROR(VLOOKUP($A82,Bestellungen!$6:$1048576,MATCH(Kasse!N$5,Bestellungen!$A$5:$X$5,0),0))=FALSE,SUMIF(Kalkulation!$A$6:$A$40,Kasse!N$5&amp;"*",Kalkulation!$C$6:$C$40)*VLOOKUP($A82,Bestellungen!$6:$1048576,MATCH(Kasse!N$5,Bestellungen!$A$5:$X$5,0),0),"")</f>
        <v/>
      </c>
      <c r="O82" s="26" t="str">
        <f>IF(ISERROR(VLOOKUP($A82,Bestellungen!$6:$1048576,MATCH(Kasse!O$5,Bestellungen!$A$5:$X$5,0),0))=FALSE,SUMIF(Kalkulation!$A$6:$A$40,Kasse!O$5&amp;"*",Kalkulation!$C$6:$C$40)*VLOOKUP($A82,Bestellungen!$6:$1048576,MATCH(Kasse!O$5,Bestellungen!$A$5:$X$5,0),0),"")</f>
        <v/>
      </c>
      <c r="P82" s="26" t="str">
        <f>IF(ISERROR(VLOOKUP($A82,Bestellungen!$6:$1048576,MATCH(Kasse!P$5,Bestellungen!$A$5:$X$5,0),0))=FALSE,SUMIF(Kalkulation!$A$6:$A$40,Kasse!P$5&amp;"*",Kalkulation!$C$6:$C$40)*VLOOKUP($A82,Bestellungen!$6:$1048576,MATCH(Kasse!P$5,Bestellungen!$A$5:$X$5,0),0),"")</f>
        <v/>
      </c>
      <c r="Q82" s="26" t="str">
        <f>IF(ISERROR(VLOOKUP($A82,Bestellungen!$6:$1048576,MATCH(Kasse!Q$5,Bestellungen!$A$5:$X$5,0),0))=FALSE,SUMIF(Kalkulation!$A$6:$A$40,Kasse!Q$5&amp;"*",Kalkulation!$C$6:$C$40)*VLOOKUP($A82,Bestellungen!$6:$1048576,MATCH(Kasse!Q$5,Bestellungen!$A$5:$X$5,0),0),"")</f>
        <v/>
      </c>
      <c r="R82" s="26" t="str">
        <f>IF(ISERROR(VLOOKUP($A82,Bestellungen!$6:$1048576,MATCH(Kasse!R$5,Bestellungen!$A$5:$X$5,0),0))=FALSE,SUMIF(Kalkulation!$A$6:$A$40,Kasse!R$5&amp;"*",Kalkulation!$C$6:$C$40)*VLOOKUP($A82,Bestellungen!$6:$1048576,MATCH(Kasse!R$5,Bestellungen!$A$5:$X$5,0),0),"")</f>
        <v/>
      </c>
      <c r="S82" s="26" t="str">
        <f>IF(ISERROR(VLOOKUP($A82,Bestellungen!$6:$1048576,MATCH(Kasse!S$5,Bestellungen!$A$5:$X$5,0),0))=FALSE,SUMIF(Kalkulation!$A$6:$A$40,Kasse!S$5&amp;"*",Kalkulation!$C$6:$C$40)*VLOOKUP($A82,Bestellungen!$6:$1048576,MATCH(Kasse!S$5,Bestellungen!$A$5:$X$5,0),0),"")</f>
        <v/>
      </c>
      <c r="T82" s="26" t="str">
        <f>IF(ISERROR(VLOOKUP($A82,Bestellungen!$6:$1048576,MATCH(Kasse!T$5,Bestellungen!$A$5:$X$5,0),0))=FALSE,SUMIF(Kalkulation!$A$6:$A$40,Kasse!T$5&amp;"*",Kalkulation!$C$6:$C$40)*VLOOKUP($A82,Bestellungen!$6:$1048576,MATCH(Kasse!T$5,Bestellungen!$A$5:$X$5,0),0),"")</f>
        <v/>
      </c>
      <c r="U82" s="26" t="str">
        <f t="shared" si="2"/>
        <v/>
      </c>
      <c r="W82" s="26" t="str">
        <f t="shared" si="3"/>
        <v/>
      </c>
      <c r="X82" s="26"/>
      <c r="Y82" s="26"/>
      <c r="Z82" s="26"/>
      <c r="AA82" s="26"/>
    </row>
    <row r="83" spans="1:27" x14ac:dyDescent="0.25">
      <c r="A83" t="str">
        <f>IF(LEN(Bestellungen!$A83)&gt;0,Bestellungen!$A83,"")</f>
        <v/>
      </c>
      <c r="B83" s="26" t="str">
        <f>IF(ISERROR(VLOOKUP($A83,Bestellungen!$6:$1048576,MATCH(Kasse!B$5,Bestellungen!$A$5:$X$5,0),0))=FALSE,SUMIF(Kalkulation!$A$6:$A$40,Kasse!B$5&amp;"*",Kalkulation!$C$6:$C$40)*VLOOKUP($A83,Bestellungen!$6:$1048576,MATCH(Kasse!B$5,Bestellungen!$A$5:$X$5,0),0),"")</f>
        <v/>
      </c>
      <c r="C83" s="26" t="str">
        <f>IF(ISERROR(VLOOKUP($A83,Bestellungen!$6:$1048576,MATCH(Kasse!C$5,Bestellungen!$A$5:$X$5,0),0))=FALSE,SUMIF(Kalkulation!$A$6:$A$40,Kasse!C$5&amp;"*",Kalkulation!$C$6:$C$40)*VLOOKUP($A83,Bestellungen!$6:$1048576,MATCH(Kasse!C$5,Bestellungen!$A$5:$X$5,0),0),"")</f>
        <v/>
      </c>
      <c r="D83" s="26" t="str">
        <f>IF(ISERROR(VLOOKUP($A83,Bestellungen!$6:$1048576,MATCH(Kasse!D$5,Bestellungen!$A$5:$X$5,0),0))=FALSE,SUMIF(Kalkulation!$A$6:$A$40,Kasse!D$5&amp;"*",Kalkulation!$C$6:$C$40)*VLOOKUP($A83,Bestellungen!$6:$1048576,MATCH(Kasse!D$5,Bestellungen!$A$5:$X$5,0),0),"")</f>
        <v/>
      </c>
      <c r="E83" s="26" t="str">
        <f>IF(ISERROR(VLOOKUP($A83,Bestellungen!$6:$1048576,MATCH(Kasse!E$5,Bestellungen!$A$5:$X$5,0),0))=FALSE,SUMIF(Kalkulation!$A$6:$A$40,Kasse!E$5&amp;"*",Kalkulation!$C$6:$C$40)*VLOOKUP($A83,Bestellungen!$6:$1048576,MATCH(Kasse!E$5,Bestellungen!$A$5:$X$5,0),0),"")</f>
        <v/>
      </c>
      <c r="F83" s="26" t="str">
        <f>IF(ISERROR(VLOOKUP($A83,Bestellungen!$6:$1048576,MATCH(Kasse!F$5,Bestellungen!$A$5:$X$5,0),0))=FALSE,SUMIF(Kalkulation!$A$6:$A$40,Kasse!F$5&amp;"*",Kalkulation!$C$6:$C$40)*VLOOKUP($A83,Bestellungen!$6:$1048576,MATCH(Kasse!F$5,Bestellungen!$A$5:$X$5,0),0),"")</f>
        <v/>
      </c>
      <c r="G83" s="26" t="str">
        <f>IF(ISERROR(VLOOKUP($A83,Bestellungen!$6:$1048576,MATCH(Kasse!G$5,Bestellungen!$A$5:$X$5,0),0))=FALSE,SUMIF(Kalkulation!$A$6:$A$40,Kasse!G$5&amp;"*",Kalkulation!$C$6:$C$40)*VLOOKUP($A83,Bestellungen!$6:$1048576,MATCH(Kasse!G$5,Bestellungen!$A$5:$X$5,0),0),"")</f>
        <v/>
      </c>
      <c r="H83" s="26" t="str">
        <f>IF(ISERROR(VLOOKUP($A83,Bestellungen!$6:$1048576,MATCH(Kasse!H$5,Bestellungen!$A$5:$X$5,0),0))=FALSE,SUMIF(Kalkulation!$A$6:$A$40,Kasse!H$5&amp;"*",Kalkulation!$C$6:$C$40)*VLOOKUP($A83,Bestellungen!$6:$1048576,MATCH(Kasse!H$5,Bestellungen!$A$5:$X$5,0),0),"")</f>
        <v/>
      </c>
      <c r="I83" s="26" t="str">
        <f>IF(ISERROR(VLOOKUP($A83,Bestellungen!$6:$1048576,MATCH(Kasse!I$5,Bestellungen!$A$5:$X$5,0),0))=FALSE,SUMIF(Kalkulation!$A$6:$A$40,Kasse!I$5&amp;"*",Kalkulation!$C$6:$C$40)*VLOOKUP($A83,Bestellungen!$6:$1048576,MATCH(Kasse!I$5,Bestellungen!$A$5:$X$5,0),0),"")</f>
        <v/>
      </c>
      <c r="J83" s="26" t="str">
        <f>IF(ISERROR(VLOOKUP($A83,Bestellungen!$6:$1048576,MATCH(Kasse!J$5,Bestellungen!$A$5:$X$5,0),0))=FALSE,SUMIF(Kalkulation!$A$6:$A$40,Kasse!J$5&amp;"*",Kalkulation!$C$6:$C$40)*VLOOKUP($A83,Bestellungen!$6:$1048576,MATCH(Kasse!J$5,Bestellungen!$A$5:$X$5,0),0),"")</f>
        <v/>
      </c>
      <c r="K83" s="26" t="str">
        <f>IF(ISERROR(VLOOKUP($A83,Bestellungen!$6:$1048576,MATCH(Kasse!K$5,Bestellungen!$A$5:$X$5,0),0))=FALSE,SUMIF(Kalkulation!$A$6:$A$40,Kasse!K$5&amp;"*",Kalkulation!$C$6:$C$40)*VLOOKUP($A83,Bestellungen!$6:$1048576,MATCH(Kasse!K$5,Bestellungen!$A$5:$X$5,0),0),"")</f>
        <v/>
      </c>
      <c r="L83" s="26" t="str">
        <f>IF(ISERROR(VLOOKUP($A83,Bestellungen!$6:$1048576,MATCH(Kasse!L$5,Bestellungen!$A$5:$X$5,0),0))=FALSE,SUMIF(Kalkulation!$A$6:$A$40,Kasse!L$5&amp;"*",Kalkulation!$C$6:$C$40)*VLOOKUP($A83,Bestellungen!$6:$1048576,MATCH(Kasse!L$5,Bestellungen!$A$5:$X$5,0),0),"")</f>
        <v/>
      </c>
      <c r="M83" s="26" t="str">
        <f>IF(ISERROR(VLOOKUP($A83,Bestellungen!$6:$1048576,MATCH(Kasse!M$5,Bestellungen!$A$5:$X$5,0),0))=FALSE,SUMIF(Kalkulation!$A$6:$A$40,Kasse!M$5&amp;"*",Kalkulation!$C$6:$C$40)*VLOOKUP($A83,Bestellungen!$6:$1048576,MATCH(Kasse!M$5,Bestellungen!$A$5:$X$5,0),0),"")</f>
        <v/>
      </c>
      <c r="N83" s="26" t="str">
        <f>IF(ISERROR(VLOOKUP($A83,Bestellungen!$6:$1048576,MATCH(Kasse!N$5,Bestellungen!$A$5:$X$5,0),0))=FALSE,SUMIF(Kalkulation!$A$6:$A$40,Kasse!N$5&amp;"*",Kalkulation!$C$6:$C$40)*VLOOKUP($A83,Bestellungen!$6:$1048576,MATCH(Kasse!N$5,Bestellungen!$A$5:$X$5,0),0),"")</f>
        <v/>
      </c>
      <c r="O83" s="26" t="str">
        <f>IF(ISERROR(VLOOKUP($A83,Bestellungen!$6:$1048576,MATCH(Kasse!O$5,Bestellungen!$A$5:$X$5,0),0))=FALSE,SUMIF(Kalkulation!$A$6:$A$40,Kasse!O$5&amp;"*",Kalkulation!$C$6:$C$40)*VLOOKUP($A83,Bestellungen!$6:$1048576,MATCH(Kasse!O$5,Bestellungen!$A$5:$X$5,0),0),"")</f>
        <v/>
      </c>
      <c r="P83" s="26" t="str">
        <f>IF(ISERROR(VLOOKUP($A83,Bestellungen!$6:$1048576,MATCH(Kasse!P$5,Bestellungen!$A$5:$X$5,0),0))=FALSE,SUMIF(Kalkulation!$A$6:$A$40,Kasse!P$5&amp;"*",Kalkulation!$C$6:$C$40)*VLOOKUP($A83,Bestellungen!$6:$1048576,MATCH(Kasse!P$5,Bestellungen!$A$5:$X$5,0),0),"")</f>
        <v/>
      </c>
      <c r="Q83" s="26" t="str">
        <f>IF(ISERROR(VLOOKUP($A83,Bestellungen!$6:$1048576,MATCH(Kasse!Q$5,Bestellungen!$A$5:$X$5,0),0))=FALSE,SUMIF(Kalkulation!$A$6:$A$40,Kasse!Q$5&amp;"*",Kalkulation!$C$6:$C$40)*VLOOKUP($A83,Bestellungen!$6:$1048576,MATCH(Kasse!Q$5,Bestellungen!$A$5:$X$5,0),0),"")</f>
        <v/>
      </c>
      <c r="R83" s="26" t="str">
        <f>IF(ISERROR(VLOOKUP($A83,Bestellungen!$6:$1048576,MATCH(Kasse!R$5,Bestellungen!$A$5:$X$5,0),0))=FALSE,SUMIF(Kalkulation!$A$6:$A$40,Kasse!R$5&amp;"*",Kalkulation!$C$6:$C$40)*VLOOKUP($A83,Bestellungen!$6:$1048576,MATCH(Kasse!R$5,Bestellungen!$A$5:$X$5,0),0),"")</f>
        <v/>
      </c>
      <c r="S83" s="26" t="str">
        <f>IF(ISERROR(VLOOKUP($A83,Bestellungen!$6:$1048576,MATCH(Kasse!S$5,Bestellungen!$A$5:$X$5,0),0))=FALSE,SUMIF(Kalkulation!$A$6:$A$40,Kasse!S$5&amp;"*",Kalkulation!$C$6:$C$40)*VLOOKUP($A83,Bestellungen!$6:$1048576,MATCH(Kasse!S$5,Bestellungen!$A$5:$X$5,0),0),"")</f>
        <v/>
      </c>
      <c r="T83" s="26" t="str">
        <f>IF(ISERROR(VLOOKUP($A83,Bestellungen!$6:$1048576,MATCH(Kasse!T$5,Bestellungen!$A$5:$X$5,0),0))=FALSE,SUMIF(Kalkulation!$A$6:$A$40,Kasse!T$5&amp;"*",Kalkulation!$C$6:$C$40)*VLOOKUP($A83,Bestellungen!$6:$1048576,MATCH(Kasse!T$5,Bestellungen!$A$5:$X$5,0),0),"")</f>
        <v/>
      </c>
      <c r="U83" s="26" t="str">
        <f t="shared" si="2"/>
        <v/>
      </c>
      <c r="W83" s="26" t="str">
        <f t="shared" si="3"/>
        <v/>
      </c>
      <c r="X83" s="26"/>
      <c r="Y83" s="26"/>
      <c r="Z83" s="26"/>
      <c r="AA83" s="26"/>
    </row>
    <row r="84" spans="1:27" x14ac:dyDescent="0.25">
      <c r="A84" t="str">
        <f>IF(LEN(Bestellungen!$A84)&gt;0,Bestellungen!$A84,"")</f>
        <v/>
      </c>
      <c r="B84" s="26" t="str">
        <f>IF(ISERROR(VLOOKUP($A84,Bestellungen!$6:$1048576,MATCH(Kasse!B$5,Bestellungen!$A$5:$X$5,0),0))=FALSE,SUMIF(Kalkulation!$A$6:$A$40,Kasse!B$5&amp;"*",Kalkulation!$C$6:$C$40)*VLOOKUP($A84,Bestellungen!$6:$1048576,MATCH(Kasse!B$5,Bestellungen!$A$5:$X$5,0),0),"")</f>
        <v/>
      </c>
      <c r="C84" s="26" t="str">
        <f>IF(ISERROR(VLOOKUP($A84,Bestellungen!$6:$1048576,MATCH(Kasse!C$5,Bestellungen!$A$5:$X$5,0),0))=FALSE,SUMIF(Kalkulation!$A$6:$A$40,Kasse!C$5&amp;"*",Kalkulation!$C$6:$C$40)*VLOOKUP($A84,Bestellungen!$6:$1048576,MATCH(Kasse!C$5,Bestellungen!$A$5:$X$5,0),0),"")</f>
        <v/>
      </c>
      <c r="D84" s="26" t="str">
        <f>IF(ISERROR(VLOOKUP($A84,Bestellungen!$6:$1048576,MATCH(Kasse!D$5,Bestellungen!$A$5:$X$5,0),0))=FALSE,SUMIF(Kalkulation!$A$6:$A$40,Kasse!D$5&amp;"*",Kalkulation!$C$6:$C$40)*VLOOKUP($A84,Bestellungen!$6:$1048576,MATCH(Kasse!D$5,Bestellungen!$A$5:$X$5,0),0),"")</f>
        <v/>
      </c>
      <c r="E84" s="26" t="str">
        <f>IF(ISERROR(VLOOKUP($A84,Bestellungen!$6:$1048576,MATCH(Kasse!E$5,Bestellungen!$A$5:$X$5,0),0))=FALSE,SUMIF(Kalkulation!$A$6:$A$40,Kasse!E$5&amp;"*",Kalkulation!$C$6:$C$40)*VLOOKUP($A84,Bestellungen!$6:$1048576,MATCH(Kasse!E$5,Bestellungen!$A$5:$X$5,0),0),"")</f>
        <v/>
      </c>
      <c r="F84" s="26" t="str">
        <f>IF(ISERROR(VLOOKUP($A84,Bestellungen!$6:$1048576,MATCH(Kasse!F$5,Bestellungen!$A$5:$X$5,0),0))=FALSE,SUMIF(Kalkulation!$A$6:$A$40,Kasse!F$5&amp;"*",Kalkulation!$C$6:$C$40)*VLOOKUP($A84,Bestellungen!$6:$1048576,MATCH(Kasse!F$5,Bestellungen!$A$5:$X$5,0),0),"")</f>
        <v/>
      </c>
      <c r="G84" s="26" t="str">
        <f>IF(ISERROR(VLOOKUP($A84,Bestellungen!$6:$1048576,MATCH(Kasse!G$5,Bestellungen!$A$5:$X$5,0),0))=FALSE,SUMIF(Kalkulation!$A$6:$A$40,Kasse!G$5&amp;"*",Kalkulation!$C$6:$C$40)*VLOOKUP($A84,Bestellungen!$6:$1048576,MATCH(Kasse!G$5,Bestellungen!$A$5:$X$5,0),0),"")</f>
        <v/>
      </c>
      <c r="H84" s="26" t="str">
        <f>IF(ISERROR(VLOOKUP($A84,Bestellungen!$6:$1048576,MATCH(Kasse!H$5,Bestellungen!$A$5:$X$5,0),0))=FALSE,SUMIF(Kalkulation!$A$6:$A$40,Kasse!H$5&amp;"*",Kalkulation!$C$6:$C$40)*VLOOKUP($A84,Bestellungen!$6:$1048576,MATCH(Kasse!H$5,Bestellungen!$A$5:$X$5,0),0),"")</f>
        <v/>
      </c>
      <c r="I84" s="26" t="str">
        <f>IF(ISERROR(VLOOKUP($A84,Bestellungen!$6:$1048576,MATCH(Kasse!I$5,Bestellungen!$A$5:$X$5,0),0))=FALSE,SUMIF(Kalkulation!$A$6:$A$40,Kasse!I$5&amp;"*",Kalkulation!$C$6:$C$40)*VLOOKUP($A84,Bestellungen!$6:$1048576,MATCH(Kasse!I$5,Bestellungen!$A$5:$X$5,0),0),"")</f>
        <v/>
      </c>
      <c r="J84" s="26" t="str">
        <f>IF(ISERROR(VLOOKUP($A84,Bestellungen!$6:$1048576,MATCH(Kasse!J$5,Bestellungen!$A$5:$X$5,0),0))=FALSE,SUMIF(Kalkulation!$A$6:$A$40,Kasse!J$5&amp;"*",Kalkulation!$C$6:$C$40)*VLOOKUP($A84,Bestellungen!$6:$1048576,MATCH(Kasse!J$5,Bestellungen!$A$5:$X$5,0),0),"")</f>
        <v/>
      </c>
      <c r="K84" s="26" t="str">
        <f>IF(ISERROR(VLOOKUP($A84,Bestellungen!$6:$1048576,MATCH(Kasse!K$5,Bestellungen!$A$5:$X$5,0),0))=FALSE,SUMIF(Kalkulation!$A$6:$A$40,Kasse!K$5&amp;"*",Kalkulation!$C$6:$C$40)*VLOOKUP($A84,Bestellungen!$6:$1048576,MATCH(Kasse!K$5,Bestellungen!$A$5:$X$5,0),0),"")</f>
        <v/>
      </c>
      <c r="L84" s="26" t="str">
        <f>IF(ISERROR(VLOOKUP($A84,Bestellungen!$6:$1048576,MATCH(Kasse!L$5,Bestellungen!$A$5:$X$5,0),0))=FALSE,SUMIF(Kalkulation!$A$6:$A$40,Kasse!L$5&amp;"*",Kalkulation!$C$6:$C$40)*VLOOKUP($A84,Bestellungen!$6:$1048576,MATCH(Kasse!L$5,Bestellungen!$A$5:$X$5,0),0),"")</f>
        <v/>
      </c>
      <c r="M84" s="26" t="str">
        <f>IF(ISERROR(VLOOKUP($A84,Bestellungen!$6:$1048576,MATCH(Kasse!M$5,Bestellungen!$A$5:$X$5,0),0))=FALSE,SUMIF(Kalkulation!$A$6:$A$40,Kasse!M$5&amp;"*",Kalkulation!$C$6:$C$40)*VLOOKUP($A84,Bestellungen!$6:$1048576,MATCH(Kasse!M$5,Bestellungen!$A$5:$X$5,0),0),"")</f>
        <v/>
      </c>
      <c r="N84" s="26" t="str">
        <f>IF(ISERROR(VLOOKUP($A84,Bestellungen!$6:$1048576,MATCH(Kasse!N$5,Bestellungen!$A$5:$X$5,0),0))=FALSE,SUMIF(Kalkulation!$A$6:$A$40,Kasse!N$5&amp;"*",Kalkulation!$C$6:$C$40)*VLOOKUP($A84,Bestellungen!$6:$1048576,MATCH(Kasse!N$5,Bestellungen!$A$5:$X$5,0),0),"")</f>
        <v/>
      </c>
      <c r="O84" s="26" t="str">
        <f>IF(ISERROR(VLOOKUP($A84,Bestellungen!$6:$1048576,MATCH(Kasse!O$5,Bestellungen!$A$5:$X$5,0),0))=FALSE,SUMIF(Kalkulation!$A$6:$A$40,Kasse!O$5&amp;"*",Kalkulation!$C$6:$C$40)*VLOOKUP($A84,Bestellungen!$6:$1048576,MATCH(Kasse!O$5,Bestellungen!$A$5:$X$5,0),0),"")</f>
        <v/>
      </c>
      <c r="P84" s="26" t="str">
        <f>IF(ISERROR(VLOOKUP($A84,Bestellungen!$6:$1048576,MATCH(Kasse!P$5,Bestellungen!$A$5:$X$5,0),0))=FALSE,SUMIF(Kalkulation!$A$6:$A$40,Kasse!P$5&amp;"*",Kalkulation!$C$6:$C$40)*VLOOKUP($A84,Bestellungen!$6:$1048576,MATCH(Kasse!P$5,Bestellungen!$A$5:$X$5,0),0),"")</f>
        <v/>
      </c>
      <c r="Q84" s="26" t="str">
        <f>IF(ISERROR(VLOOKUP($A84,Bestellungen!$6:$1048576,MATCH(Kasse!Q$5,Bestellungen!$A$5:$X$5,0),0))=FALSE,SUMIF(Kalkulation!$A$6:$A$40,Kasse!Q$5&amp;"*",Kalkulation!$C$6:$C$40)*VLOOKUP($A84,Bestellungen!$6:$1048576,MATCH(Kasse!Q$5,Bestellungen!$A$5:$X$5,0),0),"")</f>
        <v/>
      </c>
      <c r="R84" s="26" t="str">
        <f>IF(ISERROR(VLOOKUP($A84,Bestellungen!$6:$1048576,MATCH(Kasse!R$5,Bestellungen!$A$5:$X$5,0),0))=FALSE,SUMIF(Kalkulation!$A$6:$A$40,Kasse!R$5&amp;"*",Kalkulation!$C$6:$C$40)*VLOOKUP($A84,Bestellungen!$6:$1048576,MATCH(Kasse!R$5,Bestellungen!$A$5:$X$5,0),0),"")</f>
        <v/>
      </c>
      <c r="S84" s="26" t="str">
        <f>IF(ISERROR(VLOOKUP($A84,Bestellungen!$6:$1048576,MATCH(Kasse!S$5,Bestellungen!$A$5:$X$5,0),0))=FALSE,SUMIF(Kalkulation!$A$6:$A$40,Kasse!S$5&amp;"*",Kalkulation!$C$6:$C$40)*VLOOKUP($A84,Bestellungen!$6:$1048576,MATCH(Kasse!S$5,Bestellungen!$A$5:$X$5,0),0),"")</f>
        <v/>
      </c>
      <c r="T84" s="26" t="str">
        <f>IF(ISERROR(VLOOKUP($A84,Bestellungen!$6:$1048576,MATCH(Kasse!T$5,Bestellungen!$A$5:$X$5,0),0))=FALSE,SUMIF(Kalkulation!$A$6:$A$40,Kasse!T$5&amp;"*",Kalkulation!$C$6:$C$40)*VLOOKUP($A84,Bestellungen!$6:$1048576,MATCH(Kasse!T$5,Bestellungen!$A$5:$X$5,0),0),"")</f>
        <v/>
      </c>
      <c r="U84" s="26" t="str">
        <f t="shared" si="2"/>
        <v/>
      </c>
      <c r="W84" s="26" t="str">
        <f t="shared" si="3"/>
        <v/>
      </c>
      <c r="X84" s="26"/>
      <c r="Y84" s="26"/>
      <c r="Z84" s="26"/>
      <c r="AA84" s="26"/>
    </row>
    <row r="85" spans="1:27" x14ac:dyDescent="0.25">
      <c r="A85" t="str">
        <f>IF(LEN(Bestellungen!$A85)&gt;0,Bestellungen!$A85,"")</f>
        <v/>
      </c>
      <c r="B85" s="26" t="str">
        <f>IF(ISERROR(VLOOKUP($A85,Bestellungen!$6:$1048576,MATCH(Kasse!B$5,Bestellungen!$A$5:$X$5,0),0))=FALSE,SUMIF(Kalkulation!$A$6:$A$40,Kasse!B$5&amp;"*",Kalkulation!$C$6:$C$40)*VLOOKUP($A85,Bestellungen!$6:$1048576,MATCH(Kasse!B$5,Bestellungen!$A$5:$X$5,0),0),"")</f>
        <v/>
      </c>
      <c r="C85" s="26" t="str">
        <f>IF(ISERROR(VLOOKUP($A85,Bestellungen!$6:$1048576,MATCH(Kasse!C$5,Bestellungen!$A$5:$X$5,0),0))=FALSE,SUMIF(Kalkulation!$A$6:$A$40,Kasse!C$5&amp;"*",Kalkulation!$C$6:$C$40)*VLOOKUP($A85,Bestellungen!$6:$1048576,MATCH(Kasse!C$5,Bestellungen!$A$5:$X$5,0),0),"")</f>
        <v/>
      </c>
      <c r="D85" s="26" t="str">
        <f>IF(ISERROR(VLOOKUP($A85,Bestellungen!$6:$1048576,MATCH(Kasse!D$5,Bestellungen!$A$5:$X$5,0),0))=FALSE,SUMIF(Kalkulation!$A$6:$A$40,Kasse!D$5&amp;"*",Kalkulation!$C$6:$C$40)*VLOOKUP($A85,Bestellungen!$6:$1048576,MATCH(Kasse!D$5,Bestellungen!$A$5:$X$5,0),0),"")</f>
        <v/>
      </c>
      <c r="E85" s="26" t="str">
        <f>IF(ISERROR(VLOOKUP($A85,Bestellungen!$6:$1048576,MATCH(Kasse!E$5,Bestellungen!$A$5:$X$5,0),0))=FALSE,SUMIF(Kalkulation!$A$6:$A$40,Kasse!E$5&amp;"*",Kalkulation!$C$6:$C$40)*VLOOKUP($A85,Bestellungen!$6:$1048576,MATCH(Kasse!E$5,Bestellungen!$A$5:$X$5,0),0),"")</f>
        <v/>
      </c>
      <c r="F85" s="26" t="str">
        <f>IF(ISERROR(VLOOKUP($A85,Bestellungen!$6:$1048576,MATCH(Kasse!F$5,Bestellungen!$A$5:$X$5,0),0))=FALSE,SUMIF(Kalkulation!$A$6:$A$40,Kasse!F$5&amp;"*",Kalkulation!$C$6:$C$40)*VLOOKUP($A85,Bestellungen!$6:$1048576,MATCH(Kasse!F$5,Bestellungen!$A$5:$X$5,0),0),"")</f>
        <v/>
      </c>
      <c r="G85" s="26" t="str">
        <f>IF(ISERROR(VLOOKUP($A85,Bestellungen!$6:$1048576,MATCH(Kasse!G$5,Bestellungen!$A$5:$X$5,0),0))=FALSE,SUMIF(Kalkulation!$A$6:$A$40,Kasse!G$5&amp;"*",Kalkulation!$C$6:$C$40)*VLOOKUP($A85,Bestellungen!$6:$1048576,MATCH(Kasse!G$5,Bestellungen!$A$5:$X$5,0),0),"")</f>
        <v/>
      </c>
      <c r="H85" s="26" t="str">
        <f>IF(ISERROR(VLOOKUP($A85,Bestellungen!$6:$1048576,MATCH(Kasse!H$5,Bestellungen!$A$5:$X$5,0),0))=FALSE,SUMIF(Kalkulation!$A$6:$A$40,Kasse!H$5&amp;"*",Kalkulation!$C$6:$C$40)*VLOOKUP($A85,Bestellungen!$6:$1048576,MATCH(Kasse!H$5,Bestellungen!$A$5:$X$5,0),0),"")</f>
        <v/>
      </c>
      <c r="I85" s="26" t="str">
        <f>IF(ISERROR(VLOOKUP($A85,Bestellungen!$6:$1048576,MATCH(Kasse!I$5,Bestellungen!$A$5:$X$5,0),0))=FALSE,SUMIF(Kalkulation!$A$6:$A$40,Kasse!I$5&amp;"*",Kalkulation!$C$6:$C$40)*VLOOKUP($A85,Bestellungen!$6:$1048576,MATCH(Kasse!I$5,Bestellungen!$A$5:$X$5,0),0),"")</f>
        <v/>
      </c>
      <c r="J85" s="26" t="str">
        <f>IF(ISERROR(VLOOKUP($A85,Bestellungen!$6:$1048576,MATCH(Kasse!J$5,Bestellungen!$A$5:$X$5,0),0))=FALSE,SUMIF(Kalkulation!$A$6:$A$40,Kasse!J$5&amp;"*",Kalkulation!$C$6:$C$40)*VLOOKUP($A85,Bestellungen!$6:$1048576,MATCH(Kasse!J$5,Bestellungen!$A$5:$X$5,0),0),"")</f>
        <v/>
      </c>
      <c r="K85" s="26" t="str">
        <f>IF(ISERROR(VLOOKUP($A85,Bestellungen!$6:$1048576,MATCH(Kasse!K$5,Bestellungen!$A$5:$X$5,0),0))=FALSE,SUMIF(Kalkulation!$A$6:$A$40,Kasse!K$5&amp;"*",Kalkulation!$C$6:$C$40)*VLOOKUP($A85,Bestellungen!$6:$1048576,MATCH(Kasse!K$5,Bestellungen!$A$5:$X$5,0),0),"")</f>
        <v/>
      </c>
      <c r="L85" s="26" t="str">
        <f>IF(ISERROR(VLOOKUP($A85,Bestellungen!$6:$1048576,MATCH(Kasse!L$5,Bestellungen!$A$5:$X$5,0),0))=FALSE,SUMIF(Kalkulation!$A$6:$A$40,Kasse!L$5&amp;"*",Kalkulation!$C$6:$C$40)*VLOOKUP($A85,Bestellungen!$6:$1048576,MATCH(Kasse!L$5,Bestellungen!$A$5:$X$5,0),0),"")</f>
        <v/>
      </c>
      <c r="M85" s="26" t="str">
        <f>IF(ISERROR(VLOOKUP($A85,Bestellungen!$6:$1048576,MATCH(Kasse!M$5,Bestellungen!$A$5:$X$5,0),0))=FALSE,SUMIF(Kalkulation!$A$6:$A$40,Kasse!M$5&amp;"*",Kalkulation!$C$6:$C$40)*VLOOKUP($A85,Bestellungen!$6:$1048576,MATCH(Kasse!M$5,Bestellungen!$A$5:$X$5,0),0),"")</f>
        <v/>
      </c>
      <c r="N85" s="26" t="str">
        <f>IF(ISERROR(VLOOKUP($A85,Bestellungen!$6:$1048576,MATCH(Kasse!N$5,Bestellungen!$A$5:$X$5,0),0))=FALSE,SUMIF(Kalkulation!$A$6:$A$40,Kasse!N$5&amp;"*",Kalkulation!$C$6:$C$40)*VLOOKUP($A85,Bestellungen!$6:$1048576,MATCH(Kasse!N$5,Bestellungen!$A$5:$X$5,0),0),"")</f>
        <v/>
      </c>
      <c r="O85" s="26" t="str">
        <f>IF(ISERROR(VLOOKUP($A85,Bestellungen!$6:$1048576,MATCH(Kasse!O$5,Bestellungen!$A$5:$X$5,0),0))=FALSE,SUMIF(Kalkulation!$A$6:$A$40,Kasse!O$5&amp;"*",Kalkulation!$C$6:$C$40)*VLOOKUP($A85,Bestellungen!$6:$1048576,MATCH(Kasse!O$5,Bestellungen!$A$5:$X$5,0),0),"")</f>
        <v/>
      </c>
      <c r="P85" s="26" t="str">
        <f>IF(ISERROR(VLOOKUP($A85,Bestellungen!$6:$1048576,MATCH(Kasse!P$5,Bestellungen!$A$5:$X$5,0),0))=FALSE,SUMIF(Kalkulation!$A$6:$A$40,Kasse!P$5&amp;"*",Kalkulation!$C$6:$C$40)*VLOOKUP($A85,Bestellungen!$6:$1048576,MATCH(Kasse!P$5,Bestellungen!$A$5:$X$5,0),0),"")</f>
        <v/>
      </c>
      <c r="Q85" s="26" t="str">
        <f>IF(ISERROR(VLOOKUP($A85,Bestellungen!$6:$1048576,MATCH(Kasse!Q$5,Bestellungen!$A$5:$X$5,0),0))=FALSE,SUMIF(Kalkulation!$A$6:$A$40,Kasse!Q$5&amp;"*",Kalkulation!$C$6:$C$40)*VLOOKUP($A85,Bestellungen!$6:$1048576,MATCH(Kasse!Q$5,Bestellungen!$A$5:$X$5,0),0),"")</f>
        <v/>
      </c>
      <c r="R85" s="26" t="str">
        <f>IF(ISERROR(VLOOKUP($A85,Bestellungen!$6:$1048576,MATCH(Kasse!R$5,Bestellungen!$A$5:$X$5,0),0))=FALSE,SUMIF(Kalkulation!$A$6:$A$40,Kasse!R$5&amp;"*",Kalkulation!$C$6:$C$40)*VLOOKUP($A85,Bestellungen!$6:$1048576,MATCH(Kasse!R$5,Bestellungen!$A$5:$X$5,0),0),"")</f>
        <v/>
      </c>
      <c r="S85" s="26" t="str">
        <f>IF(ISERROR(VLOOKUP($A85,Bestellungen!$6:$1048576,MATCH(Kasse!S$5,Bestellungen!$A$5:$X$5,0),0))=FALSE,SUMIF(Kalkulation!$A$6:$A$40,Kasse!S$5&amp;"*",Kalkulation!$C$6:$C$40)*VLOOKUP($A85,Bestellungen!$6:$1048576,MATCH(Kasse!S$5,Bestellungen!$A$5:$X$5,0),0),"")</f>
        <v/>
      </c>
      <c r="T85" s="26" t="str">
        <f>IF(ISERROR(VLOOKUP($A85,Bestellungen!$6:$1048576,MATCH(Kasse!T$5,Bestellungen!$A$5:$X$5,0),0))=FALSE,SUMIF(Kalkulation!$A$6:$A$40,Kasse!T$5&amp;"*",Kalkulation!$C$6:$C$40)*VLOOKUP($A85,Bestellungen!$6:$1048576,MATCH(Kasse!T$5,Bestellungen!$A$5:$X$5,0),0),"")</f>
        <v/>
      </c>
      <c r="U85" s="26" t="str">
        <f t="shared" si="2"/>
        <v/>
      </c>
      <c r="W85" s="26" t="str">
        <f t="shared" si="3"/>
        <v/>
      </c>
      <c r="X85" s="26"/>
      <c r="Y85" s="26"/>
      <c r="Z85" s="26"/>
      <c r="AA85" s="26"/>
    </row>
    <row r="86" spans="1:27" x14ac:dyDescent="0.25">
      <c r="A86" t="str">
        <f>IF(LEN(Bestellungen!$A86)&gt;0,Bestellungen!$A86,"")</f>
        <v/>
      </c>
      <c r="B86" s="26" t="str">
        <f>IF(ISERROR(VLOOKUP($A86,Bestellungen!$6:$1048576,MATCH(Kasse!B$5,Bestellungen!$A$5:$X$5,0),0))=FALSE,SUMIF(Kalkulation!$A$6:$A$40,Kasse!B$5&amp;"*",Kalkulation!$C$6:$C$40)*VLOOKUP($A86,Bestellungen!$6:$1048576,MATCH(Kasse!B$5,Bestellungen!$A$5:$X$5,0),0),"")</f>
        <v/>
      </c>
      <c r="C86" s="26" t="str">
        <f>IF(ISERROR(VLOOKUP($A86,Bestellungen!$6:$1048576,MATCH(Kasse!C$5,Bestellungen!$A$5:$X$5,0),0))=FALSE,SUMIF(Kalkulation!$A$6:$A$40,Kasse!C$5&amp;"*",Kalkulation!$C$6:$C$40)*VLOOKUP($A86,Bestellungen!$6:$1048576,MATCH(Kasse!C$5,Bestellungen!$A$5:$X$5,0),0),"")</f>
        <v/>
      </c>
      <c r="D86" s="26" t="str">
        <f>IF(ISERROR(VLOOKUP($A86,Bestellungen!$6:$1048576,MATCH(Kasse!D$5,Bestellungen!$A$5:$X$5,0),0))=FALSE,SUMIF(Kalkulation!$A$6:$A$40,Kasse!D$5&amp;"*",Kalkulation!$C$6:$C$40)*VLOOKUP($A86,Bestellungen!$6:$1048576,MATCH(Kasse!D$5,Bestellungen!$A$5:$X$5,0),0),"")</f>
        <v/>
      </c>
      <c r="E86" s="26" t="str">
        <f>IF(ISERROR(VLOOKUP($A86,Bestellungen!$6:$1048576,MATCH(Kasse!E$5,Bestellungen!$A$5:$X$5,0),0))=FALSE,SUMIF(Kalkulation!$A$6:$A$40,Kasse!E$5&amp;"*",Kalkulation!$C$6:$C$40)*VLOOKUP($A86,Bestellungen!$6:$1048576,MATCH(Kasse!E$5,Bestellungen!$A$5:$X$5,0),0),"")</f>
        <v/>
      </c>
      <c r="F86" s="26" t="str">
        <f>IF(ISERROR(VLOOKUP($A86,Bestellungen!$6:$1048576,MATCH(Kasse!F$5,Bestellungen!$A$5:$X$5,0),0))=FALSE,SUMIF(Kalkulation!$A$6:$A$40,Kasse!F$5&amp;"*",Kalkulation!$C$6:$C$40)*VLOOKUP($A86,Bestellungen!$6:$1048576,MATCH(Kasse!F$5,Bestellungen!$A$5:$X$5,0),0),"")</f>
        <v/>
      </c>
      <c r="G86" s="26" t="str">
        <f>IF(ISERROR(VLOOKUP($A86,Bestellungen!$6:$1048576,MATCH(Kasse!G$5,Bestellungen!$A$5:$X$5,0),0))=FALSE,SUMIF(Kalkulation!$A$6:$A$40,Kasse!G$5&amp;"*",Kalkulation!$C$6:$C$40)*VLOOKUP($A86,Bestellungen!$6:$1048576,MATCH(Kasse!G$5,Bestellungen!$A$5:$X$5,0),0),"")</f>
        <v/>
      </c>
      <c r="H86" s="26" t="str">
        <f>IF(ISERROR(VLOOKUP($A86,Bestellungen!$6:$1048576,MATCH(Kasse!H$5,Bestellungen!$A$5:$X$5,0),0))=FALSE,SUMIF(Kalkulation!$A$6:$A$40,Kasse!H$5&amp;"*",Kalkulation!$C$6:$C$40)*VLOOKUP($A86,Bestellungen!$6:$1048576,MATCH(Kasse!H$5,Bestellungen!$A$5:$X$5,0),0),"")</f>
        <v/>
      </c>
      <c r="I86" s="26" t="str">
        <f>IF(ISERROR(VLOOKUP($A86,Bestellungen!$6:$1048576,MATCH(Kasse!I$5,Bestellungen!$A$5:$X$5,0),0))=FALSE,SUMIF(Kalkulation!$A$6:$A$40,Kasse!I$5&amp;"*",Kalkulation!$C$6:$C$40)*VLOOKUP($A86,Bestellungen!$6:$1048576,MATCH(Kasse!I$5,Bestellungen!$A$5:$X$5,0),0),"")</f>
        <v/>
      </c>
      <c r="J86" s="26" t="str">
        <f>IF(ISERROR(VLOOKUP($A86,Bestellungen!$6:$1048576,MATCH(Kasse!J$5,Bestellungen!$A$5:$X$5,0),0))=FALSE,SUMIF(Kalkulation!$A$6:$A$40,Kasse!J$5&amp;"*",Kalkulation!$C$6:$C$40)*VLOOKUP($A86,Bestellungen!$6:$1048576,MATCH(Kasse!J$5,Bestellungen!$A$5:$X$5,0),0),"")</f>
        <v/>
      </c>
      <c r="K86" s="26" t="str">
        <f>IF(ISERROR(VLOOKUP($A86,Bestellungen!$6:$1048576,MATCH(Kasse!K$5,Bestellungen!$A$5:$X$5,0),0))=FALSE,SUMIF(Kalkulation!$A$6:$A$40,Kasse!K$5&amp;"*",Kalkulation!$C$6:$C$40)*VLOOKUP($A86,Bestellungen!$6:$1048576,MATCH(Kasse!K$5,Bestellungen!$A$5:$X$5,0),0),"")</f>
        <v/>
      </c>
      <c r="L86" s="26" t="str">
        <f>IF(ISERROR(VLOOKUP($A86,Bestellungen!$6:$1048576,MATCH(Kasse!L$5,Bestellungen!$A$5:$X$5,0),0))=FALSE,SUMIF(Kalkulation!$A$6:$A$40,Kasse!L$5&amp;"*",Kalkulation!$C$6:$C$40)*VLOOKUP($A86,Bestellungen!$6:$1048576,MATCH(Kasse!L$5,Bestellungen!$A$5:$X$5,0),0),"")</f>
        <v/>
      </c>
      <c r="M86" s="26" t="str">
        <f>IF(ISERROR(VLOOKUP($A86,Bestellungen!$6:$1048576,MATCH(Kasse!M$5,Bestellungen!$A$5:$X$5,0),0))=FALSE,SUMIF(Kalkulation!$A$6:$A$40,Kasse!M$5&amp;"*",Kalkulation!$C$6:$C$40)*VLOOKUP($A86,Bestellungen!$6:$1048576,MATCH(Kasse!M$5,Bestellungen!$A$5:$X$5,0),0),"")</f>
        <v/>
      </c>
      <c r="N86" s="26" t="str">
        <f>IF(ISERROR(VLOOKUP($A86,Bestellungen!$6:$1048576,MATCH(Kasse!N$5,Bestellungen!$A$5:$X$5,0),0))=FALSE,SUMIF(Kalkulation!$A$6:$A$40,Kasse!N$5&amp;"*",Kalkulation!$C$6:$C$40)*VLOOKUP($A86,Bestellungen!$6:$1048576,MATCH(Kasse!N$5,Bestellungen!$A$5:$X$5,0),0),"")</f>
        <v/>
      </c>
      <c r="O86" s="26" t="str">
        <f>IF(ISERROR(VLOOKUP($A86,Bestellungen!$6:$1048576,MATCH(Kasse!O$5,Bestellungen!$A$5:$X$5,0),0))=FALSE,SUMIF(Kalkulation!$A$6:$A$40,Kasse!O$5&amp;"*",Kalkulation!$C$6:$C$40)*VLOOKUP($A86,Bestellungen!$6:$1048576,MATCH(Kasse!O$5,Bestellungen!$A$5:$X$5,0),0),"")</f>
        <v/>
      </c>
      <c r="P86" s="26" t="str">
        <f>IF(ISERROR(VLOOKUP($A86,Bestellungen!$6:$1048576,MATCH(Kasse!P$5,Bestellungen!$A$5:$X$5,0),0))=FALSE,SUMIF(Kalkulation!$A$6:$A$40,Kasse!P$5&amp;"*",Kalkulation!$C$6:$C$40)*VLOOKUP($A86,Bestellungen!$6:$1048576,MATCH(Kasse!P$5,Bestellungen!$A$5:$X$5,0),0),"")</f>
        <v/>
      </c>
      <c r="Q86" s="26" t="str">
        <f>IF(ISERROR(VLOOKUP($A86,Bestellungen!$6:$1048576,MATCH(Kasse!Q$5,Bestellungen!$A$5:$X$5,0),0))=FALSE,SUMIF(Kalkulation!$A$6:$A$40,Kasse!Q$5&amp;"*",Kalkulation!$C$6:$C$40)*VLOOKUP($A86,Bestellungen!$6:$1048576,MATCH(Kasse!Q$5,Bestellungen!$A$5:$X$5,0),0),"")</f>
        <v/>
      </c>
      <c r="R86" s="26" t="str">
        <f>IF(ISERROR(VLOOKUP($A86,Bestellungen!$6:$1048576,MATCH(Kasse!R$5,Bestellungen!$A$5:$X$5,0),0))=FALSE,SUMIF(Kalkulation!$A$6:$A$40,Kasse!R$5&amp;"*",Kalkulation!$C$6:$C$40)*VLOOKUP($A86,Bestellungen!$6:$1048576,MATCH(Kasse!R$5,Bestellungen!$A$5:$X$5,0),0),"")</f>
        <v/>
      </c>
      <c r="S86" s="26" t="str">
        <f>IF(ISERROR(VLOOKUP($A86,Bestellungen!$6:$1048576,MATCH(Kasse!S$5,Bestellungen!$A$5:$X$5,0),0))=FALSE,SUMIF(Kalkulation!$A$6:$A$40,Kasse!S$5&amp;"*",Kalkulation!$C$6:$C$40)*VLOOKUP($A86,Bestellungen!$6:$1048576,MATCH(Kasse!S$5,Bestellungen!$A$5:$X$5,0),0),"")</f>
        <v/>
      </c>
      <c r="T86" s="26" t="str">
        <f>IF(ISERROR(VLOOKUP($A86,Bestellungen!$6:$1048576,MATCH(Kasse!T$5,Bestellungen!$A$5:$X$5,0),0))=FALSE,SUMIF(Kalkulation!$A$6:$A$40,Kasse!T$5&amp;"*",Kalkulation!$C$6:$C$40)*VLOOKUP($A86,Bestellungen!$6:$1048576,MATCH(Kasse!T$5,Bestellungen!$A$5:$X$5,0),0),"")</f>
        <v/>
      </c>
      <c r="U86" s="26" t="str">
        <f t="shared" si="2"/>
        <v/>
      </c>
      <c r="W86" s="26" t="str">
        <f t="shared" si="3"/>
        <v/>
      </c>
      <c r="X86" s="26"/>
      <c r="Y86" s="26"/>
      <c r="Z86" s="26"/>
      <c r="AA86" s="26"/>
    </row>
    <row r="87" spans="1:27" x14ac:dyDescent="0.25">
      <c r="A87" t="str">
        <f>IF(LEN(Bestellungen!$A87)&gt;0,Bestellungen!$A87,"")</f>
        <v/>
      </c>
      <c r="B87" s="26" t="str">
        <f>IF(ISERROR(VLOOKUP($A87,Bestellungen!$6:$1048576,MATCH(Kasse!B$5,Bestellungen!$A$5:$X$5,0),0))=FALSE,SUMIF(Kalkulation!$A$6:$A$40,Kasse!B$5&amp;"*",Kalkulation!$C$6:$C$40)*VLOOKUP($A87,Bestellungen!$6:$1048576,MATCH(Kasse!B$5,Bestellungen!$A$5:$X$5,0),0),"")</f>
        <v/>
      </c>
      <c r="C87" s="26" t="str">
        <f>IF(ISERROR(VLOOKUP($A87,Bestellungen!$6:$1048576,MATCH(Kasse!C$5,Bestellungen!$A$5:$X$5,0),0))=FALSE,SUMIF(Kalkulation!$A$6:$A$40,Kasse!C$5&amp;"*",Kalkulation!$C$6:$C$40)*VLOOKUP($A87,Bestellungen!$6:$1048576,MATCH(Kasse!C$5,Bestellungen!$A$5:$X$5,0),0),"")</f>
        <v/>
      </c>
      <c r="D87" s="26" t="str">
        <f>IF(ISERROR(VLOOKUP($A87,Bestellungen!$6:$1048576,MATCH(Kasse!D$5,Bestellungen!$A$5:$X$5,0),0))=FALSE,SUMIF(Kalkulation!$A$6:$A$40,Kasse!D$5&amp;"*",Kalkulation!$C$6:$C$40)*VLOOKUP($A87,Bestellungen!$6:$1048576,MATCH(Kasse!D$5,Bestellungen!$A$5:$X$5,0),0),"")</f>
        <v/>
      </c>
      <c r="E87" s="26" t="str">
        <f>IF(ISERROR(VLOOKUP($A87,Bestellungen!$6:$1048576,MATCH(Kasse!E$5,Bestellungen!$A$5:$X$5,0),0))=FALSE,SUMIF(Kalkulation!$A$6:$A$40,Kasse!E$5&amp;"*",Kalkulation!$C$6:$C$40)*VLOOKUP($A87,Bestellungen!$6:$1048576,MATCH(Kasse!E$5,Bestellungen!$A$5:$X$5,0),0),"")</f>
        <v/>
      </c>
      <c r="F87" s="26" t="str">
        <f>IF(ISERROR(VLOOKUP($A87,Bestellungen!$6:$1048576,MATCH(Kasse!F$5,Bestellungen!$A$5:$X$5,0),0))=FALSE,SUMIF(Kalkulation!$A$6:$A$40,Kasse!F$5&amp;"*",Kalkulation!$C$6:$C$40)*VLOOKUP($A87,Bestellungen!$6:$1048576,MATCH(Kasse!F$5,Bestellungen!$A$5:$X$5,0),0),"")</f>
        <v/>
      </c>
      <c r="G87" s="26" t="str">
        <f>IF(ISERROR(VLOOKUP($A87,Bestellungen!$6:$1048576,MATCH(Kasse!G$5,Bestellungen!$A$5:$X$5,0),0))=FALSE,SUMIF(Kalkulation!$A$6:$A$40,Kasse!G$5&amp;"*",Kalkulation!$C$6:$C$40)*VLOOKUP($A87,Bestellungen!$6:$1048576,MATCH(Kasse!G$5,Bestellungen!$A$5:$X$5,0),0),"")</f>
        <v/>
      </c>
      <c r="H87" s="26" t="str">
        <f>IF(ISERROR(VLOOKUP($A87,Bestellungen!$6:$1048576,MATCH(Kasse!H$5,Bestellungen!$A$5:$X$5,0),0))=FALSE,SUMIF(Kalkulation!$A$6:$A$40,Kasse!H$5&amp;"*",Kalkulation!$C$6:$C$40)*VLOOKUP($A87,Bestellungen!$6:$1048576,MATCH(Kasse!H$5,Bestellungen!$A$5:$X$5,0),0),"")</f>
        <v/>
      </c>
      <c r="I87" s="26" t="str">
        <f>IF(ISERROR(VLOOKUP($A87,Bestellungen!$6:$1048576,MATCH(Kasse!I$5,Bestellungen!$A$5:$X$5,0),0))=FALSE,SUMIF(Kalkulation!$A$6:$A$40,Kasse!I$5&amp;"*",Kalkulation!$C$6:$C$40)*VLOOKUP($A87,Bestellungen!$6:$1048576,MATCH(Kasse!I$5,Bestellungen!$A$5:$X$5,0),0),"")</f>
        <v/>
      </c>
      <c r="J87" s="26" t="str">
        <f>IF(ISERROR(VLOOKUP($A87,Bestellungen!$6:$1048576,MATCH(Kasse!J$5,Bestellungen!$A$5:$X$5,0),0))=FALSE,SUMIF(Kalkulation!$A$6:$A$40,Kasse!J$5&amp;"*",Kalkulation!$C$6:$C$40)*VLOOKUP($A87,Bestellungen!$6:$1048576,MATCH(Kasse!J$5,Bestellungen!$A$5:$X$5,0),0),"")</f>
        <v/>
      </c>
      <c r="K87" s="26" t="str">
        <f>IF(ISERROR(VLOOKUP($A87,Bestellungen!$6:$1048576,MATCH(Kasse!K$5,Bestellungen!$A$5:$X$5,0),0))=FALSE,SUMIF(Kalkulation!$A$6:$A$40,Kasse!K$5&amp;"*",Kalkulation!$C$6:$C$40)*VLOOKUP($A87,Bestellungen!$6:$1048576,MATCH(Kasse!K$5,Bestellungen!$A$5:$X$5,0),0),"")</f>
        <v/>
      </c>
      <c r="L87" s="26" t="str">
        <f>IF(ISERROR(VLOOKUP($A87,Bestellungen!$6:$1048576,MATCH(Kasse!L$5,Bestellungen!$A$5:$X$5,0),0))=FALSE,SUMIF(Kalkulation!$A$6:$A$40,Kasse!L$5&amp;"*",Kalkulation!$C$6:$C$40)*VLOOKUP($A87,Bestellungen!$6:$1048576,MATCH(Kasse!L$5,Bestellungen!$A$5:$X$5,0),0),"")</f>
        <v/>
      </c>
      <c r="M87" s="26" t="str">
        <f>IF(ISERROR(VLOOKUP($A87,Bestellungen!$6:$1048576,MATCH(Kasse!M$5,Bestellungen!$A$5:$X$5,0),0))=FALSE,SUMIF(Kalkulation!$A$6:$A$40,Kasse!M$5&amp;"*",Kalkulation!$C$6:$C$40)*VLOOKUP($A87,Bestellungen!$6:$1048576,MATCH(Kasse!M$5,Bestellungen!$A$5:$X$5,0),0),"")</f>
        <v/>
      </c>
      <c r="N87" s="26" t="str">
        <f>IF(ISERROR(VLOOKUP($A87,Bestellungen!$6:$1048576,MATCH(Kasse!N$5,Bestellungen!$A$5:$X$5,0),0))=FALSE,SUMIF(Kalkulation!$A$6:$A$40,Kasse!N$5&amp;"*",Kalkulation!$C$6:$C$40)*VLOOKUP($A87,Bestellungen!$6:$1048576,MATCH(Kasse!N$5,Bestellungen!$A$5:$X$5,0),0),"")</f>
        <v/>
      </c>
      <c r="O87" s="26" t="str">
        <f>IF(ISERROR(VLOOKUP($A87,Bestellungen!$6:$1048576,MATCH(Kasse!O$5,Bestellungen!$A$5:$X$5,0),0))=FALSE,SUMIF(Kalkulation!$A$6:$A$40,Kasse!O$5&amp;"*",Kalkulation!$C$6:$C$40)*VLOOKUP($A87,Bestellungen!$6:$1048576,MATCH(Kasse!O$5,Bestellungen!$A$5:$X$5,0),0),"")</f>
        <v/>
      </c>
      <c r="P87" s="26" t="str">
        <f>IF(ISERROR(VLOOKUP($A87,Bestellungen!$6:$1048576,MATCH(Kasse!P$5,Bestellungen!$A$5:$X$5,0),0))=FALSE,SUMIF(Kalkulation!$A$6:$A$40,Kasse!P$5&amp;"*",Kalkulation!$C$6:$C$40)*VLOOKUP($A87,Bestellungen!$6:$1048576,MATCH(Kasse!P$5,Bestellungen!$A$5:$X$5,0),0),"")</f>
        <v/>
      </c>
      <c r="Q87" s="26" t="str">
        <f>IF(ISERROR(VLOOKUP($A87,Bestellungen!$6:$1048576,MATCH(Kasse!Q$5,Bestellungen!$A$5:$X$5,0),0))=FALSE,SUMIF(Kalkulation!$A$6:$A$40,Kasse!Q$5&amp;"*",Kalkulation!$C$6:$C$40)*VLOOKUP($A87,Bestellungen!$6:$1048576,MATCH(Kasse!Q$5,Bestellungen!$A$5:$X$5,0),0),"")</f>
        <v/>
      </c>
      <c r="R87" s="26" t="str">
        <f>IF(ISERROR(VLOOKUP($A87,Bestellungen!$6:$1048576,MATCH(Kasse!R$5,Bestellungen!$A$5:$X$5,0),0))=FALSE,SUMIF(Kalkulation!$A$6:$A$40,Kasse!R$5&amp;"*",Kalkulation!$C$6:$C$40)*VLOOKUP($A87,Bestellungen!$6:$1048576,MATCH(Kasse!R$5,Bestellungen!$A$5:$X$5,0),0),"")</f>
        <v/>
      </c>
      <c r="S87" s="26" t="str">
        <f>IF(ISERROR(VLOOKUP($A87,Bestellungen!$6:$1048576,MATCH(Kasse!S$5,Bestellungen!$A$5:$X$5,0),0))=FALSE,SUMIF(Kalkulation!$A$6:$A$40,Kasse!S$5&amp;"*",Kalkulation!$C$6:$C$40)*VLOOKUP($A87,Bestellungen!$6:$1048576,MATCH(Kasse!S$5,Bestellungen!$A$5:$X$5,0),0),"")</f>
        <v/>
      </c>
      <c r="T87" s="26" t="str">
        <f>IF(ISERROR(VLOOKUP($A87,Bestellungen!$6:$1048576,MATCH(Kasse!T$5,Bestellungen!$A$5:$X$5,0),0))=FALSE,SUMIF(Kalkulation!$A$6:$A$40,Kasse!T$5&amp;"*",Kalkulation!$C$6:$C$40)*VLOOKUP($A87,Bestellungen!$6:$1048576,MATCH(Kasse!T$5,Bestellungen!$A$5:$X$5,0),0),"")</f>
        <v/>
      </c>
      <c r="U87" s="26" t="str">
        <f t="shared" si="2"/>
        <v/>
      </c>
      <c r="W87" s="26" t="str">
        <f t="shared" si="3"/>
        <v/>
      </c>
      <c r="X87" s="26"/>
      <c r="Y87" s="26"/>
      <c r="Z87" s="26"/>
      <c r="AA87" s="26"/>
    </row>
    <row r="88" spans="1:27" x14ac:dyDescent="0.25">
      <c r="A88" t="str">
        <f>IF(LEN(Bestellungen!$A88)&gt;0,Bestellungen!$A88,"")</f>
        <v/>
      </c>
      <c r="B88" s="26" t="str">
        <f>IF(ISERROR(VLOOKUP($A88,Bestellungen!$6:$1048576,MATCH(Kasse!B$5,Bestellungen!$A$5:$X$5,0),0))=FALSE,SUMIF(Kalkulation!$A$6:$A$40,Kasse!B$5&amp;"*",Kalkulation!$C$6:$C$40)*VLOOKUP($A88,Bestellungen!$6:$1048576,MATCH(Kasse!B$5,Bestellungen!$A$5:$X$5,0),0),"")</f>
        <v/>
      </c>
      <c r="C88" s="26" t="str">
        <f>IF(ISERROR(VLOOKUP($A88,Bestellungen!$6:$1048576,MATCH(Kasse!C$5,Bestellungen!$A$5:$X$5,0),0))=FALSE,SUMIF(Kalkulation!$A$6:$A$40,Kasse!C$5&amp;"*",Kalkulation!$C$6:$C$40)*VLOOKUP($A88,Bestellungen!$6:$1048576,MATCH(Kasse!C$5,Bestellungen!$A$5:$X$5,0),0),"")</f>
        <v/>
      </c>
      <c r="D88" s="26" t="str">
        <f>IF(ISERROR(VLOOKUP($A88,Bestellungen!$6:$1048576,MATCH(Kasse!D$5,Bestellungen!$A$5:$X$5,0),0))=FALSE,SUMIF(Kalkulation!$A$6:$A$40,Kasse!D$5&amp;"*",Kalkulation!$C$6:$C$40)*VLOOKUP($A88,Bestellungen!$6:$1048576,MATCH(Kasse!D$5,Bestellungen!$A$5:$X$5,0),0),"")</f>
        <v/>
      </c>
      <c r="E88" s="26" t="str">
        <f>IF(ISERROR(VLOOKUP($A88,Bestellungen!$6:$1048576,MATCH(Kasse!E$5,Bestellungen!$A$5:$X$5,0),0))=FALSE,SUMIF(Kalkulation!$A$6:$A$40,Kasse!E$5&amp;"*",Kalkulation!$C$6:$C$40)*VLOOKUP($A88,Bestellungen!$6:$1048576,MATCH(Kasse!E$5,Bestellungen!$A$5:$X$5,0),0),"")</f>
        <v/>
      </c>
      <c r="F88" s="26" t="str">
        <f>IF(ISERROR(VLOOKUP($A88,Bestellungen!$6:$1048576,MATCH(Kasse!F$5,Bestellungen!$A$5:$X$5,0),0))=FALSE,SUMIF(Kalkulation!$A$6:$A$40,Kasse!F$5&amp;"*",Kalkulation!$C$6:$C$40)*VLOOKUP($A88,Bestellungen!$6:$1048576,MATCH(Kasse!F$5,Bestellungen!$A$5:$X$5,0),0),"")</f>
        <v/>
      </c>
      <c r="G88" s="26" t="str">
        <f>IF(ISERROR(VLOOKUP($A88,Bestellungen!$6:$1048576,MATCH(Kasse!G$5,Bestellungen!$A$5:$X$5,0),0))=FALSE,SUMIF(Kalkulation!$A$6:$A$40,Kasse!G$5&amp;"*",Kalkulation!$C$6:$C$40)*VLOOKUP($A88,Bestellungen!$6:$1048576,MATCH(Kasse!G$5,Bestellungen!$A$5:$X$5,0),0),"")</f>
        <v/>
      </c>
      <c r="H88" s="26" t="str">
        <f>IF(ISERROR(VLOOKUP($A88,Bestellungen!$6:$1048576,MATCH(Kasse!H$5,Bestellungen!$A$5:$X$5,0),0))=FALSE,SUMIF(Kalkulation!$A$6:$A$40,Kasse!H$5&amp;"*",Kalkulation!$C$6:$C$40)*VLOOKUP($A88,Bestellungen!$6:$1048576,MATCH(Kasse!H$5,Bestellungen!$A$5:$X$5,0),0),"")</f>
        <v/>
      </c>
      <c r="I88" s="26" t="str">
        <f>IF(ISERROR(VLOOKUP($A88,Bestellungen!$6:$1048576,MATCH(Kasse!I$5,Bestellungen!$A$5:$X$5,0),0))=FALSE,SUMIF(Kalkulation!$A$6:$A$40,Kasse!I$5&amp;"*",Kalkulation!$C$6:$C$40)*VLOOKUP($A88,Bestellungen!$6:$1048576,MATCH(Kasse!I$5,Bestellungen!$A$5:$X$5,0),0),"")</f>
        <v/>
      </c>
      <c r="J88" s="26" t="str">
        <f>IF(ISERROR(VLOOKUP($A88,Bestellungen!$6:$1048576,MATCH(Kasse!J$5,Bestellungen!$A$5:$X$5,0),0))=FALSE,SUMIF(Kalkulation!$A$6:$A$40,Kasse!J$5&amp;"*",Kalkulation!$C$6:$C$40)*VLOOKUP($A88,Bestellungen!$6:$1048576,MATCH(Kasse!J$5,Bestellungen!$A$5:$X$5,0),0),"")</f>
        <v/>
      </c>
      <c r="K88" s="26" t="str">
        <f>IF(ISERROR(VLOOKUP($A88,Bestellungen!$6:$1048576,MATCH(Kasse!K$5,Bestellungen!$A$5:$X$5,0),0))=FALSE,SUMIF(Kalkulation!$A$6:$A$40,Kasse!K$5&amp;"*",Kalkulation!$C$6:$C$40)*VLOOKUP($A88,Bestellungen!$6:$1048576,MATCH(Kasse!K$5,Bestellungen!$A$5:$X$5,0),0),"")</f>
        <v/>
      </c>
      <c r="L88" s="26" t="str">
        <f>IF(ISERROR(VLOOKUP($A88,Bestellungen!$6:$1048576,MATCH(Kasse!L$5,Bestellungen!$A$5:$X$5,0),0))=FALSE,SUMIF(Kalkulation!$A$6:$A$40,Kasse!L$5&amp;"*",Kalkulation!$C$6:$C$40)*VLOOKUP($A88,Bestellungen!$6:$1048576,MATCH(Kasse!L$5,Bestellungen!$A$5:$X$5,0),0),"")</f>
        <v/>
      </c>
      <c r="M88" s="26" t="str">
        <f>IF(ISERROR(VLOOKUP($A88,Bestellungen!$6:$1048576,MATCH(Kasse!M$5,Bestellungen!$A$5:$X$5,0),0))=FALSE,SUMIF(Kalkulation!$A$6:$A$40,Kasse!M$5&amp;"*",Kalkulation!$C$6:$C$40)*VLOOKUP($A88,Bestellungen!$6:$1048576,MATCH(Kasse!M$5,Bestellungen!$A$5:$X$5,0),0),"")</f>
        <v/>
      </c>
      <c r="N88" s="26" t="str">
        <f>IF(ISERROR(VLOOKUP($A88,Bestellungen!$6:$1048576,MATCH(Kasse!N$5,Bestellungen!$A$5:$X$5,0),0))=FALSE,SUMIF(Kalkulation!$A$6:$A$40,Kasse!N$5&amp;"*",Kalkulation!$C$6:$C$40)*VLOOKUP($A88,Bestellungen!$6:$1048576,MATCH(Kasse!N$5,Bestellungen!$A$5:$X$5,0),0),"")</f>
        <v/>
      </c>
      <c r="O88" s="26" t="str">
        <f>IF(ISERROR(VLOOKUP($A88,Bestellungen!$6:$1048576,MATCH(Kasse!O$5,Bestellungen!$A$5:$X$5,0),0))=FALSE,SUMIF(Kalkulation!$A$6:$A$40,Kasse!O$5&amp;"*",Kalkulation!$C$6:$C$40)*VLOOKUP($A88,Bestellungen!$6:$1048576,MATCH(Kasse!O$5,Bestellungen!$A$5:$X$5,0),0),"")</f>
        <v/>
      </c>
      <c r="P88" s="26" t="str">
        <f>IF(ISERROR(VLOOKUP($A88,Bestellungen!$6:$1048576,MATCH(Kasse!P$5,Bestellungen!$A$5:$X$5,0),0))=FALSE,SUMIF(Kalkulation!$A$6:$A$40,Kasse!P$5&amp;"*",Kalkulation!$C$6:$C$40)*VLOOKUP($A88,Bestellungen!$6:$1048576,MATCH(Kasse!P$5,Bestellungen!$A$5:$X$5,0),0),"")</f>
        <v/>
      </c>
      <c r="Q88" s="26" t="str">
        <f>IF(ISERROR(VLOOKUP($A88,Bestellungen!$6:$1048576,MATCH(Kasse!Q$5,Bestellungen!$A$5:$X$5,0),0))=FALSE,SUMIF(Kalkulation!$A$6:$A$40,Kasse!Q$5&amp;"*",Kalkulation!$C$6:$C$40)*VLOOKUP($A88,Bestellungen!$6:$1048576,MATCH(Kasse!Q$5,Bestellungen!$A$5:$X$5,0),0),"")</f>
        <v/>
      </c>
      <c r="R88" s="26" t="str">
        <f>IF(ISERROR(VLOOKUP($A88,Bestellungen!$6:$1048576,MATCH(Kasse!R$5,Bestellungen!$A$5:$X$5,0),0))=FALSE,SUMIF(Kalkulation!$A$6:$A$40,Kasse!R$5&amp;"*",Kalkulation!$C$6:$C$40)*VLOOKUP($A88,Bestellungen!$6:$1048576,MATCH(Kasse!R$5,Bestellungen!$A$5:$X$5,0),0),"")</f>
        <v/>
      </c>
      <c r="S88" s="26" t="str">
        <f>IF(ISERROR(VLOOKUP($A88,Bestellungen!$6:$1048576,MATCH(Kasse!S$5,Bestellungen!$A$5:$X$5,0),0))=FALSE,SUMIF(Kalkulation!$A$6:$A$40,Kasse!S$5&amp;"*",Kalkulation!$C$6:$C$40)*VLOOKUP($A88,Bestellungen!$6:$1048576,MATCH(Kasse!S$5,Bestellungen!$A$5:$X$5,0),0),"")</f>
        <v/>
      </c>
      <c r="T88" s="26" t="str">
        <f>IF(ISERROR(VLOOKUP($A88,Bestellungen!$6:$1048576,MATCH(Kasse!T$5,Bestellungen!$A$5:$X$5,0),0))=FALSE,SUMIF(Kalkulation!$A$6:$A$40,Kasse!T$5&amp;"*",Kalkulation!$C$6:$C$40)*VLOOKUP($A88,Bestellungen!$6:$1048576,MATCH(Kasse!T$5,Bestellungen!$A$5:$X$5,0),0),"")</f>
        <v/>
      </c>
      <c r="U88" s="26" t="str">
        <f t="shared" si="2"/>
        <v/>
      </c>
      <c r="W88" s="26" t="str">
        <f t="shared" si="3"/>
        <v/>
      </c>
      <c r="X88" s="26"/>
      <c r="Y88" s="26"/>
      <c r="Z88" s="26"/>
      <c r="AA88" s="26"/>
    </row>
    <row r="89" spans="1:27" x14ac:dyDescent="0.25">
      <c r="A89" t="str">
        <f>IF(LEN(Bestellungen!$A89)&gt;0,Bestellungen!$A89,"")</f>
        <v/>
      </c>
      <c r="B89" s="26" t="str">
        <f>IF(ISERROR(VLOOKUP($A89,Bestellungen!$6:$1048576,MATCH(Kasse!B$5,Bestellungen!$A$5:$X$5,0),0))=FALSE,SUMIF(Kalkulation!$A$6:$A$40,Kasse!B$5&amp;"*",Kalkulation!$C$6:$C$40)*VLOOKUP($A89,Bestellungen!$6:$1048576,MATCH(Kasse!B$5,Bestellungen!$A$5:$X$5,0),0),"")</f>
        <v/>
      </c>
      <c r="C89" s="26" t="str">
        <f>IF(ISERROR(VLOOKUP($A89,Bestellungen!$6:$1048576,MATCH(Kasse!C$5,Bestellungen!$A$5:$X$5,0),0))=FALSE,SUMIF(Kalkulation!$A$6:$A$40,Kasse!C$5&amp;"*",Kalkulation!$C$6:$C$40)*VLOOKUP($A89,Bestellungen!$6:$1048576,MATCH(Kasse!C$5,Bestellungen!$A$5:$X$5,0),0),"")</f>
        <v/>
      </c>
      <c r="D89" s="26" t="str">
        <f>IF(ISERROR(VLOOKUP($A89,Bestellungen!$6:$1048576,MATCH(Kasse!D$5,Bestellungen!$A$5:$X$5,0),0))=FALSE,SUMIF(Kalkulation!$A$6:$A$40,Kasse!D$5&amp;"*",Kalkulation!$C$6:$C$40)*VLOOKUP($A89,Bestellungen!$6:$1048576,MATCH(Kasse!D$5,Bestellungen!$A$5:$X$5,0),0),"")</f>
        <v/>
      </c>
      <c r="E89" s="26" t="str">
        <f>IF(ISERROR(VLOOKUP($A89,Bestellungen!$6:$1048576,MATCH(Kasse!E$5,Bestellungen!$A$5:$X$5,0),0))=FALSE,SUMIF(Kalkulation!$A$6:$A$40,Kasse!E$5&amp;"*",Kalkulation!$C$6:$C$40)*VLOOKUP($A89,Bestellungen!$6:$1048576,MATCH(Kasse!E$5,Bestellungen!$A$5:$X$5,0),0),"")</f>
        <v/>
      </c>
      <c r="F89" s="26" t="str">
        <f>IF(ISERROR(VLOOKUP($A89,Bestellungen!$6:$1048576,MATCH(Kasse!F$5,Bestellungen!$A$5:$X$5,0),0))=FALSE,SUMIF(Kalkulation!$A$6:$A$40,Kasse!F$5&amp;"*",Kalkulation!$C$6:$C$40)*VLOOKUP($A89,Bestellungen!$6:$1048576,MATCH(Kasse!F$5,Bestellungen!$A$5:$X$5,0),0),"")</f>
        <v/>
      </c>
      <c r="G89" s="26" t="str">
        <f>IF(ISERROR(VLOOKUP($A89,Bestellungen!$6:$1048576,MATCH(Kasse!G$5,Bestellungen!$A$5:$X$5,0),0))=FALSE,SUMIF(Kalkulation!$A$6:$A$40,Kasse!G$5&amp;"*",Kalkulation!$C$6:$C$40)*VLOOKUP($A89,Bestellungen!$6:$1048576,MATCH(Kasse!G$5,Bestellungen!$A$5:$X$5,0),0),"")</f>
        <v/>
      </c>
      <c r="H89" s="26" t="str">
        <f>IF(ISERROR(VLOOKUP($A89,Bestellungen!$6:$1048576,MATCH(Kasse!H$5,Bestellungen!$A$5:$X$5,0),0))=FALSE,SUMIF(Kalkulation!$A$6:$A$40,Kasse!H$5&amp;"*",Kalkulation!$C$6:$C$40)*VLOOKUP($A89,Bestellungen!$6:$1048576,MATCH(Kasse!H$5,Bestellungen!$A$5:$X$5,0),0),"")</f>
        <v/>
      </c>
      <c r="I89" s="26" t="str">
        <f>IF(ISERROR(VLOOKUP($A89,Bestellungen!$6:$1048576,MATCH(Kasse!I$5,Bestellungen!$A$5:$X$5,0),0))=FALSE,SUMIF(Kalkulation!$A$6:$A$40,Kasse!I$5&amp;"*",Kalkulation!$C$6:$C$40)*VLOOKUP($A89,Bestellungen!$6:$1048576,MATCH(Kasse!I$5,Bestellungen!$A$5:$X$5,0),0),"")</f>
        <v/>
      </c>
      <c r="J89" s="26" t="str">
        <f>IF(ISERROR(VLOOKUP($A89,Bestellungen!$6:$1048576,MATCH(Kasse!J$5,Bestellungen!$A$5:$X$5,0),0))=FALSE,SUMIF(Kalkulation!$A$6:$A$40,Kasse!J$5&amp;"*",Kalkulation!$C$6:$C$40)*VLOOKUP($A89,Bestellungen!$6:$1048576,MATCH(Kasse!J$5,Bestellungen!$A$5:$X$5,0),0),"")</f>
        <v/>
      </c>
      <c r="K89" s="26" t="str">
        <f>IF(ISERROR(VLOOKUP($A89,Bestellungen!$6:$1048576,MATCH(Kasse!K$5,Bestellungen!$A$5:$X$5,0),0))=FALSE,SUMIF(Kalkulation!$A$6:$A$40,Kasse!K$5&amp;"*",Kalkulation!$C$6:$C$40)*VLOOKUP($A89,Bestellungen!$6:$1048576,MATCH(Kasse!K$5,Bestellungen!$A$5:$X$5,0),0),"")</f>
        <v/>
      </c>
      <c r="L89" s="26" t="str">
        <f>IF(ISERROR(VLOOKUP($A89,Bestellungen!$6:$1048576,MATCH(Kasse!L$5,Bestellungen!$A$5:$X$5,0),0))=FALSE,SUMIF(Kalkulation!$A$6:$A$40,Kasse!L$5&amp;"*",Kalkulation!$C$6:$C$40)*VLOOKUP($A89,Bestellungen!$6:$1048576,MATCH(Kasse!L$5,Bestellungen!$A$5:$X$5,0),0),"")</f>
        <v/>
      </c>
      <c r="M89" s="26" t="str">
        <f>IF(ISERROR(VLOOKUP($A89,Bestellungen!$6:$1048576,MATCH(Kasse!M$5,Bestellungen!$A$5:$X$5,0),0))=FALSE,SUMIF(Kalkulation!$A$6:$A$40,Kasse!M$5&amp;"*",Kalkulation!$C$6:$C$40)*VLOOKUP($A89,Bestellungen!$6:$1048576,MATCH(Kasse!M$5,Bestellungen!$A$5:$X$5,0),0),"")</f>
        <v/>
      </c>
      <c r="N89" s="26" t="str">
        <f>IF(ISERROR(VLOOKUP($A89,Bestellungen!$6:$1048576,MATCH(Kasse!N$5,Bestellungen!$A$5:$X$5,0),0))=FALSE,SUMIF(Kalkulation!$A$6:$A$40,Kasse!N$5&amp;"*",Kalkulation!$C$6:$C$40)*VLOOKUP($A89,Bestellungen!$6:$1048576,MATCH(Kasse!N$5,Bestellungen!$A$5:$X$5,0),0),"")</f>
        <v/>
      </c>
      <c r="O89" s="26" t="str">
        <f>IF(ISERROR(VLOOKUP($A89,Bestellungen!$6:$1048576,MATCH(Kasse!O$5,Bestellungen!$A$5:$X$5,0),0))=FALSE,SUMIF(Kalkulation!$A$6:$A$40,Kasse!O$5&amp;"*",Kalkulation!$C$6:$C$40)*VLOOKUP($A89,Bestellungen!$6:$1048576,MATCH(Kasse!O$5,Bestellungen!$A$5:$X$5,0),0),"")</f>
        <v/>
      </c>
      <c r="P89" s="26" t="str">
        <f>IF(ISERROR(VLOOKUP($A89,Bestellungen!$6:$1048576,MATCH(Kasse!P$5,Bestellungen!$A$5:$X$5,0),0))=FALSE,SUMIF(Kalkulation!$A$6:$A$40,Kasse!P$5&amp;"*",Kalkulation!$C$6:$C$40)*VLOOKUP($A89,Bestellungen!$6:$1048576,MATCH(Kasse!P$5,Bestellungen!$A$5:$X$5,0),0),"")</f>
        <v/>
      </c>
      <c r="Q89" s="26" t="str">
        <f>IF(ISERROR(VLOOKUP($A89,Bestellungen!$6:$1048576,MATCH(Kasse!Q$5,Bestellungen!$A$5:$X$5,0),0))=FALSE,SUMIF(Kalkulation!$A$6:$A$40,Kasse!Q$5&amp;"*",Kalkulation!$C$6:$C$40)*VLOOKUP($A89,Bestellungen!$6:$1048576,MATCH(Kasse!Q$5,Bestellungen!$A$5:$X$5,0),0),"")</f>
        <v/>
      </c>
      <c r="R89" s="26" t="str">
        <f>IF(ISERROR(VLOOKUP($A89,Bestellungen!$6:$1048576,MATCH(Kasse!R$5,Bestellungen!$A$5:$X$5,0),0))=FALSE,SUMIF(Kalkulation!$A$6:$A$40,Kasse!R$5&amp;"*",Kalkulation!$C$6:$C$40)*VLOOKUP($A89,Bestellungen!$6:$1048576,MATCH(Kasse!R$5,Bestellungen!$A$5:$X$5,0),0),"")</f>
        <v/>
      </c>
      <c r="S89" s="26" t="str">
        <f>IF(ISERROR(VLOOKUP($A89,Bestellungen!$6:$1048576,MATCH(Kasse!S$5,Bestellungen!$A$5:$X$5,0),0))=FALSE,SUMIF(Kalkulation!$A$6:$A$40,Kasse!S$5&amp;"*",Kalkulation!$C$6:$C$40)*VLOOKUP($A89,Bestellungen!$6:$1048576,MATCH(Kasse!S$5,Bestellungen!$A$5:$X$5,0),0),"")</f>
        <v/>
      </c>
      <c r="T89" s="26" t="str">
        <f>IF(ISERROR(VLOOKUP($A89,Bestellungen!$6:$1048576,MATCH(Kasse!T$5,Bestellungen!$A$5:$X$5,0),0))=FALSE,SUMIF(Kalkulation!$A$6:$A$40,Kasse!T$5&amp;"*",Kalkulation!$C$6:$C$40)*VLOOKUP($A89,Bestellungen!$6:$1048576,MATCH(Kasse!T$5,Bestellungen!$A$5:$X$5,0),0),"")</f>
        <v/>
      </c>
      <c r="U89" s="26" t="str">
        <f t="shared" si="2"/>
        <v/>
      </c>
      <c r="W89" s="26" t="str">
        <f t="shared" si="3"/>
        <v/>
      </c>
      <c r="X89" s="26"/>
      <c r="Y89" s="26"/>
      <c r="Z89" s="26"/>
      <c r="AA89" s="26"/>
    </row>
    <row r="90" spans="1:27" x14ac:dyDescent="0.25">
      <c r="A90" t="str">
        <f>IF(LEN(Bestellungen!$A90)&gt;0,Bestellungen!$A90,"")</f>
        <v/>
      </c>
      <c r="B90" s="26" t="str">
        <f>IF(ISERROR(VLOOKUP($A90,Bestellungen!$6:$1048576,MATCH(Kasse!B$5,Bestellungen!$A$5:$X$5,0),0))=FALSE,SUMIF(Kalkulation!$A$6:$A$40,Kasse!B$5&amp;"*",Kalkulation!$C$6:$C$40)*VLOOKUP($A90,Bestellungen!$6:$1048576,MATCH(Kasse!B$5,Bestellungen!$A$5:$X$5,0),0),"")</f>
        <v/>
      </c>
      <c r="C90" s="26" t="str">
        <f>IF(ISERROR(VLOOKUP($A90,Bestellungen!$6:$1048576,MATCH(Kasse!C$5,Bestellungen!$A$5:$X$5,0),0))=FALSE,SUMIF(Kalkulation!$A$6:$A$40,Kasse!C$5&amp;"*",Kalkulation!$C$6:$C$40)*VLOOKUP($A90,Bestellungen!$6:$1048576,MATCH(Kasse!C$5,Bestellungen!$A$5:$X$5,0),0),"")</f>
        <v/>
      </c>
      <c r="D90" s="26" t="str">
        <f>IF(ISERROR(VLOOKUP($A90,Bestellungen!$6:$1048576,MATCH(Kasse!D$5,Bestellungen!$A$5:$X$5,0),0))=FALSE,SUMIF(Kalkulation!$A$6:$A$40,Kasse!D$5&amp;"*",Kalkulation!$C$6:$C$40)*VLOOKUP($A90,Bestellungen!$6:$1048576,MATCH(Kasse!D$5,Bestellungen!$A$5:$X$5,0),0),"")</f>
        <v/>
      </c>
      <c r="E90" s="26" t="str">
        <f>IF(ISERROR(VLOOKUP($A90,Bestellungen!$6:$1048576,MATCH(Kasse!E$5,Bestellungen!$A$5:$X$5,0),0))=FALSE,SUMIF(Kalkulation!$A$6:$A$40,Kasse!E$5&amp;"*",Kalkulation!$C$6:$C$40)*VLOOKUP($A90,Bestellungen!$6:$1048576,MATCH(Kasse!E$5,Bestellungen!$A$5:$X$5,0),0),"")</f>
        <v/>
      </c>
      <c r="F90" s="26" t="str">
        <f>IF(ISERROR(VLOOKUP($A90,Bestellungen!$6:$1048576,MATCH(Kasse!F$5,Bestellungen!$A$5:$X$5,0),0))=FALSE,SUMIF(Kalkulation!$A$6:$A$40,Kasse!F$5&amp;"*",Kalkulation!$C$6:$C$40)*VLOOKUP($A90,Bestellungen!$6:$1048576,MATCH(Kasse!F$5,Bestellungen!$A$5:$X$5,0),0),"")</f>
        <v/>
      </c>
      <c r="G90" s="26" t="str">
        <f>IF(ISERROR(VLOOKUP($A90,Bestellungen!$6:$1048576,MATCH(Kasse!G$5,Bestellungen!$A$5:$X$5,0),0))=FALSE,SUMIF(Kalkulation!$A$6:$A$40,Kasse!G$5&amp;"*",Kalkulation!$C$6:$C$40)*VLOOKUP($A90,Bestellungen!$6:$1048576,MATCH(Kasse!G$5,Bestellungen!$A$5:$X$5,0),0),"")</f>
        <v/>
      </c>
      <c r="H90" s="26" t="str">
        <f>IF(ISERROR(VLOOKUP($A90,Bestellungen!$6:$1048576,MATCH(Kasse!H$5,Bestellungen!$A$5:$X$5,0),0))=FALSE,SUMIF(Kalkulation!$A$6:$A$40,Kasse!H$5&amp;"*",Kalkulation!$C$6:$C$40)*VLOOKUP($A90,Bestellungen!$6:$1048576,MATCH(Kasse!H$5,Bestellungen!$A$5:$X$5,0),0),"")</f>
        <v/>
      </c>
      <c r="I90" s="26" t="str">
        <f>IF(ISERROR(VLOOKUP($A90,Bestellungen!$6:$1048576,MATCH(Kasse!I$5,Bestellungen!$A$5:$X$5,0),0))=FALSE,SUMIF(Kalkulation!$A$6:$A$40,Kasse!I$5&amp;"*",Kalkulation!$C$6:$C$40)*VLOOKUP($A90,Bestellungen!$6:$1048576,MATCH(Kasse!I$5,Bestellungen!$A$5:$X$5,0),0),"")</f>
        <v/>
      </c>
      <c r="J90" s="26" t="str">
        <f>IF(ISERROR(VLOOKUP($A90,Bestellungen!$6:$1048576,MATCH(Kasse!J$5,Bestellungen!$A$5:$X$5,0),0))=FALSE,SUMIF(Kalkulation!$A$6:$A$40,Kasse!J$5&amp;"*",Kalkulation!$C$6:$C$40)*VLOOKUP($A90,Bestellungen!$6:$1048576,MATCH(Kasse!J$5,Bestellungen!$A$5:$X$5,0),0),"")</f>
        <v/>
      </c>
      <c r="K90" s="26" t="str">
        <f>IF(ISERROR(VLOOKUP($A90,Bestellungen!$6:$1048576,MATCH(Kasse!K$5,Bestellungen!$A$5:$X$5,0),0))=FALSE,SUMIF(Kalkulation!$A$6:$A$40,Kasse!K$5&amp;"*",Kalkulation!$C$6:$C$40)*VLOOKUP($A90,Bestellungen!$6:$1048576,MATCH(Kasse!K$5,Bestellungen!$A$5:$X$5,0),0),"")</f>
        <v/>
      </c>
      <c r="L90" s="26" t="str">
        <f>IF(ISERROR(VLOOKUP($A90,Bestellungen!$6:$1048576,MATCH(Kasse!L$5,Bestellungen!$A$5:$X$5,0),0))=FALSE,SUMIF(Kalkulation!$A$6:$A$40,Kasse!L$5&amp;"*",Kalkulation!$C$6:$C$40)*VLOOKUP($A90,Bestellungen!$6:$1048576,MATCH(Kasse!L$5,Bestellungen!$A$5:$X$5,0),0),"")</f>
        <v/>
      </c>
      <c r="M90" s="26" t="str">
        <f>IF(ISERROR(VLOOKUP($A90,Bestellungen!$6:$1048576,MATCH(Kasse!M$5,Bestellungen!$A$5:$X$5,0),0))=FALSE,SUMIF(Kalkulation!$A$6:$A$40,Kasse!M$5&amp;"*",Kalkulation!$C$6:$C$40)*VLOOKUP($A90,Bestellungen!$6:$1048576,MATCH(Kasse!M$5,Bestellungen!$A$5:$X$5,0),0),"")</f>
        <v/>
      </c>
      <c r="N90" s="26" t="str">
        <f>IF(ISERROR(VLOOKUP($A90,Bestellungen!$6:$1048576,MATCH(Kasse!N$5,Bestellungen!$A$5:$X$5,0),0))=FALSE,SUMIF(Kalkulation!$A$6:$A$40,Kasse!N$5&amp;"*",Kalkulation!$C$6:$C$40)*VLOOKUP($A90,Bestellungen!$6:$1048576,MATCH(Kasse!N$5,Bestellungen!$A$5:$X$5,0),0),"")</f>
        <v/>
      </c>
      <c r="O90" s="26" t="str">
        <f>IF(ISERROR(VLOOKUP($A90,Bestellungen!$6:$1048576,MATCH(Kasse!O$5,Bestellungen!$A$5:$X$5,0),0))=FALSE,SUMIF(Kalkulation!$A$6:$A$40,Kasse!O$5&amp;"*",Kalkulation!$C$6:$C$40)*VLOOKUP($A90,Bestellungen!$6:$1048576,MATCH(Kasse!O$5,Bestellungen!$A$5:$X$5,0),0),"")</f>
        <v/>
      </c>
      <c r="P90" s="26" t="str">
        <f>IF(ISERROR(VLOOKUP($A90,Bestellungen!$6:$1048576,MATCH(Kasse!P$5,Bestellungen!$A$5:$X$5,0),0))=FALSE,SUMIF(Kalkulation!$A$6:$A$40,Kasse!P$5&amp;"*",Kalkulation!$C$6:$C$40)*VLOOKUP($A90,Bestellungen!$6:$1048576,MATCH(Kasse!P$5,Bestellungen!$A$5:$X$5,0),0),"")</f>
        <v/>
      </c>
      <c r="Q90" s="26" t="str">
        <f>IF(ISERROR(VLOOKUP($A90,Bestellungen!$6:$1048576,MATCH(Kasse!Q$5,Bestellungen!$A$5:$X$5,0),0))=FALSE,SUMIF(Kalkulation!$A$6:$A$40,Kasse!Q$5&amp;"*",Kalkulation!$C$6:$C$40)*VLOOKUP($A90,Bestellungen!$6:$1048576,MATCH(Kasse!Q$5,Bestellungen!$A$5:$X$5,0),0),"")</f>
        <v/>
      </c>
      <c r="R90" s="26" t="str">
        <f>IF(ISERROR(VLOOKUP($A90,Bestellungen!$6:$1048576,MATCH(Kasse!R$5,Bestellungen!$A$5:$X$5,0),0))=FALSE,SUMIF(Kalkulation!$A$6:$A$40,Kasse!R$5&amp;"*",Kalkulation!$C$6:$C$40)*VLOOKUP($A90,Bestellungen!$6:$1048576,MATCH(Kasse!R$5,Bestellungen!$A$5:$X$5,0),0),"")</f>
        <v/>
      </c>
      <c r="S90" s="26" t="str">
        <f>IF(ISERROR(VLOOKUP($A90,Bestellungen!$6:$1048576,MATCH(Kasse!S$5,Bestellungen!$A$5:$X$5,0),0))=FALSE,SUMIF(Kalkulation!$A$6:$A$40,Kasse!S$5&amp;"*",Kalkulation!$C$6:$C$40)*VLOOKUP($A90,Bestellungen!$6:$1048576,MATCH(Kasse!S$5,Bestellungen!$A$5:$X$5,0),0),"")</f>
        <v/>
      </c>
      <c r="T90" s="26" t="str">
        <f>IF(ISERROR(VLOOKUP($A90,Bestellungen!$6:$1048576,MATCH(Kasse!T$5,Bestellungen!$A$5:$X$5,0),0))=FALSE,SUMIF(Kalkulation!$A$6:$A$40,Kasse!T$5&amp;"*",Kalkulation!$C$6:$C$40)*VLOOKUP($A90,Bestellungen!$6:$1048576,MATCH(Kasse!T$5,Bestellungen!$A$5:$X$5,0),0),"")</f>
        <v/>
      </c>
      <c r="U90" s="26" t="str">
        <f t="shared" si="2"/>
        <v/>
      </c>
      <c r="W90" s="26" t="str">
        <f t="shared" si="3"/>
        <v/>
      </c>
      <c r="X90" s="26"/>
      <c r="Y90" s="26"/>
      <c r="Z90" s="26"/>
      <c r="AA90" s="26"/>
    </row>
    <row r="91" spans="1:27" x14ac:dyDescent="0.25">
      <c r="A91" t="str">
        <f>IF(LEN(Bestellungen!$A91)&gt;0,Bestellungen!$A91,"")</f>
        <v/>
      </c>
      <c r="B91" s="26" t="str">
        <f>IF(ISERROR(VLOOKUP($A91,Bestellungen!$6:$1048576,MATCH(Kasse!B$5,Bestellungen!$A$5:$X$5,0),0))=FALSE,SUMIF(Kalkulation!$A$6:$A$40,Kasse!B$5&amp;"*",Kalkulation!$C$6:$C$40)*VLOOKUP($A91,Bestellungen!$6:$1048576,MATCH(Kasse!B$5,Bestellungen!$A$5:$X$5,0),0),"")</f>
        <v/>
      </c>
      <c r="C91" s="26" t="str">
        <f>IF(ISERROR(VLOOKUP($A91,Bestellungen!$6:$1048576,MATCH(Kasse!C$5,Bestellungen!$A$5:$X$5,0),0))=FALSE,SUMIF(Kalkulation!$A$6:$A$40,Kasse!C$5&amp;"*",Kalkulation!$C$6:$C$40)*VLOOKUP($A91,Bestellungen!$6:$1048576,MATCH(Kasse!C$5,Bestellungen!$A$5:$X$5,0),0),"")</f>
        <v/>
      </c>
      <c r="D91" s="26" t="str">
        <f>IF(ISERROR(VLOOKUP($A91,Bestellungen!$6:$1048576,MATCH(Kasse!D$5,Bestellungen!$A$5:$X$5,0),0))=FALSE,SUMIF(Kalkulation!$A$6:$A$40,Kasse!D$5&amp;"*",Kalkulation!$C$6:$C$40)*VLOOKUP($A91,Bestellungen!$6:$1048576,MATCH(Kasse!D$5,Bestellungen!$A$5:$X$5,0),0),"")</f>
        <v/>
      </c>
      <c r="E91" s="26" t="str">
        <f>IF(ISERROR(VLOOKUP($A91,Bestellungen!$6:$1048576,MATCH(Kasse!E$5,Bestellungen!$A$5:$X$5,0),0))=FALSE,SUMIF(Kalkulation!$A$6:$A$40,Kasse!E$5&amp;"*",Kalkulation!$C$6:$C$40)*VLOOKUP($A91,Bestellungen!$6:$1048576,MATCH(Kasse!E$5,Bestellungen!$A$5:$X$5,0),0),"")</f>
        <v/>
      </c>
      <c r="F91" s="26" t="str">
        <f>IF(ISERROR(VLOOKUP($A91,Bestellungen!$6:$1048576,MATCH(Kasse!F$5,Bestellungen!$A$5:$X$5,0),0))=FALSE,SUMIF(Kalkulation!$A$6:$A$40,Kasse!F$5&amp;"*",Kalkulation!$C$6:$C$40)*VLOOKUP($A91,Bestellungen!$6:$1048576,MATCH(Kasse!F$5,Bestellungen!$A$5:$X$5,0),0),"")</f>
        <v/>
      </c>
      <c r="G91" s="26" t="str">
        <f>IF(ISERROR(VLOOKUP($A91,Bestellungen!$6:$1048576,MATCH(Kasse!G$5,Bestellungen!$A$5:$X$5,0),0))=FALSE,SUMIF(Kalkulation!$A$6:$A$40,Kasse!G$5&amp;"*",Kalkulation!$C$6:$C$40)*VLOOKUP($A91,Bestellungen!$6:$1048576,MATCH(Kasse!G$5,Bestellungen!$A$5:$X$5,0),0),"")</f>
        <v/>
      </c>
      <c r="H91" s="26" t="str">
        <f>IF(ISERROR(VLOOKUP($A91,Bestellungen!$6:$1048576,MATCH(Kasse!H$5,Bestellungen!$A$5:$X$5,0),0))=FALSE,SUMIF(Kalkulation!$A$6:$A$40,Kasse!H$5&amp;"*",Kalkulation!$C$6:$C$40)*VLOOKUP($A91,Bestellungen!$6:$1048576,MATCH(Kasse!H$5,Bestellungen!$A$5:$X$5,0),0),"")</f>
        <v/>
      </c>
      <c r="I91" s="26" t="str">
        <f>IF(ISERROR(VLOOKUP($A91,Bestellungen!$6:$1048576,MATCH(Kasse!I$5,Bestellungen!$A$5:$X$5,0),0))=FALSE,SUMIF(Kalkulation!$A$6:$A$40,Kasse!I$5&amp;"*",Kalkulation!$C$6:$C$40)*VLOOKUP($A91,Bestellungen!$6:$1048576,MATCH(Kasse!I$5,Bestellungen!$A$5:$X$5,0),0),"")</f>
        <v/>
      </c>
      <c r="J91" s="26" t="str">
        <f>IF(ISERROR(VLOOKUP($A91,Bestellungen!$6:$1048576,MATCH(Kasse!J$5,Bestellungen!$A$5:$X$5,0),0))=FALSE,SUMIF(Kalkulation!$A$6:$A$40,Kasse!J$5&amp;"*",Kalkulation!$C$6:$C$40)*VLOOKUP($A91,Bestellungen!$6:$1048576,MATCH(Kasse!J$5,Bestellungen!$A$5:$X$5,0),0),"")</f>
        <v/>
      </c>
      <c r="K91" s="26" t="str">
        <f>IF(ISERROR(VLOOKUP($A91,Bestellungen!$6:$1048576,MATCH(Kasse!K$5,Bestellungen!$A$5:$X$5,0),0))=FALSE,SUMIF(Kalkulation!$A$6:$A$40,Kasse!K$5&amp;"*",Kalkulation!$C$6:$C$40)*VLOOKUP($A91,Bestellungen!$6:$1048576,MATCH(Kasse!K$5,Bestellungen!$A$5:$X$5,0),0),"")</f>
        <v/>
      </c>
      <c r="L91" s="26" t="str">
        <f>IF(ISERROR(VLOOKUP($A91,Bestellungen!$6:$1048576,MATCH(Kasse!L$5,Bestellungen!$A$5:$X$5,0),0))=FALSE,SUMIF(Kalkulation!$A$6:$A$40,Kasse!L$5&amp;"*",Kalkulation!$C$6:$C$40)*VLOOKUP($A91,Bestellungen!$6:$1048576,MATCH(Kasse!L$5,Bestellungen!$A$5:$X$5,0),0),"")</f>
        <v/>
      </c>
      <c r="M91" s="26" t="str">
        <f>IF(ISERROR(VLOOKUP($A91,Bestellungen!$6:$1048576,MATCH(Kasse!M$5,Bestellungen!$A$5:$X$5,0),0))=FALSE,SUMIF(Kalkulation!$A$6:$A$40,Kasse!M$5&amp;"*",Kalkulation!$C$6:$C$40)*VLOOKUP($A91,Bestellungen!$6:$1048576,MATCH(Kasse!M$5,Bestellungen!$A$5:$X$5,0),0),"")</f>
        <v/>
      </c>
      <c r="N91" s="26" t="str">
        <f>IF(ISERROR(VLOOKUP($A91,Bestellungen!$6:$1048576,MATCH(Kasse!N$5,Bestellungen!$A$5:$X$5,0),0))=FALSE,SUMIF(Kalkulation!$A$6:$A$40,Kasse!N$5&amp;"*",Kalkulation!$C$6:$C$40)*VLOOKUP($A91,Bestellungen!$6:$1048576,MATCH(Kasse!N$5,Bestellungen!$A$5:$X$5,0),0),"")</f>
        <v/>
      </c>
      <c r="O91" s="26" t="str">
        <f>IF(ISERROR(VLOOKUP($A91,Bestellungen!$6:$1048576,MATCH(Kasse!O$5,Bestellungen!$A$5:$X$5,0),0))=FALSE,SUMIF(Kalkulation!$A$6:$A$40,Kasse!O$5&amp;"*",Kalkulation!$C$6:$C$40)*VLOOKUP($A91,Bestellungen!$6:$1048576,MATCH(Kasse!O$5,Bestellungen!$A$5:$X$5,0),0),"")</f>
        <v/>
      </c>
      <c r="P91" s="26" t="str">
        <f>IF(ISERROR(VLOOKUP($A91,Bestellungen!$6:$1048576,MATCH(Kasse!P$5,Bestellungen!$A$5:$X$5,0),0))=FALSE,SUMIF(Kalkulation!$A$6:$A$40,Kasse!P$5&amp;"*",Kalkulation!$C$6:$C$40)*VLOOKUP($A91,Bestellungen!$6:$1048576,MATCH(Kasse!P$5,Bestellungen!$A$5:$X$5,0),0),"")</f>
        <v/>
      </c>
      <c r="Q91" s="26" t="str">
        <f>IF(ISERROR(VLOOKUP($A91,Bestellungen!$6:$1048576,MATCH(Kasse!Q$5,Bestellungen!$A$5:$X$5,0),0))=FALSE,SUMIF(Kalkulation!$A$6:$A$40,Kasse!Q$5&amp;"*",Kalkulation!$C$6:$C$40)*VLOOKUP($A91,Bestellungen!$6:$1048576,MATCH(Kasse!Q$5,Bestellungen!$A$5:$X$5,0),0),"")</f>
        <v/>
      </c>
      <c r="R91" s="26" t="str">
        <f>IF(ISERROR(VLOOKUP($A91,Bestellungen!$6:$1048576,MATCH(Kasse!R$5,Bestellungen!$A$5:$X$5,0),0))=FALSE,SUMIF(Kalkulation!$A$6:$A$40,Kasse!R$5&amp;"*",Kalkulation!$C$6:$C$40)*VLOOKUP($A91,Bestellungen!$6:$1048576,MATCH(Kasse!R$5,Bestellungen!$A$5:$X$5,0),0),"")</f>
        <v/>
      </c>
      <c r="S91" s="26" t="str">
        <f>IF(ISERROR(VLOOKUP($A91,Bestellungen!$6:$1048576,MATCH(Kasse!S$5,Bestellungen!$A$5:$X$5,0),0))=FALSE,SUMIF(Kalkulation!$A$6:$A$40,Kasse!S$5&amp;"*",Kalkulation!$C$6:$C$40)*VLOOKUP($A91,Bestellungen!$6:$1048576,MATCH(Kasse!S$5,Bestellungen!$A$5:$X$5,0),0),"")</f>
        <v/>
      </c>
      <c r="T91" s="26" t="str">
        <f>IF(ISERROR(VLOOKUP($A91,Bestellungen!$6:$1048576,MATCH(Kasse!T$5,Bestellungen!$A$5:$X$5,0),0))=FALSE,SUMIF(Kalkulation!$A$6:$A$40,Kasse!T$5&amp;"*",Kalkulation!$C$6:$C$40)*VLOOKUP($A91,Bestellungen!$6:$1048576,MATCH(Kasse!T$5,Bestellungen!$A$5:$X$5,0),0),"")</f>
        <v/>
      </c>
      <c r="U91" s="26" t="str">
        <f t="shared" si="2"/>
        <v/>
      </c>
      <c r="W91" s="26" t="str">
        <f t="shared" si="3"/>
        <v/>
      </c>
      <c r="X91" s="26"/>
      <c r="Y91" s="26"/>
      <c r="Z91" s="26"/>
      <c r="AA91" s="26"/>
    </row>
    <row r="92" spans="1:27" x14ac:dyDescent="0.25">
      <c r="A92" t="str">
        <f>IF(LEN(Bestellungen!$A92)&gt;0,Bestellungen!$A92,"")</f>
        <v/>
      </c>
      <c r="B92" s="26" t="str">
        <f>IF(ISERROR(VLOOKUP($A92,Bestellungen!$6:$1048576,MATCH(Kasse!B$5,Bestellungen!$A$5:$X$5,0),0))=FALSE,SUMIF(Kalkulation!$A$6:$A$40,Kasse!B$5&amp;"*",Kalkulation!$C$6:$C$40)*VLOOKUP($A92,Bestellungen!$6:$1048576,MATCH(Kasse!B$5,Bestellungen!$A$5:$X$5,0),0),"")</f>
        <v/>
      </c>
      <c r="C92" s="26" t="str">
        <f>IF(ISERROR(VLOOKUP($A92,Bestellungen!$6:$1048576,MATCH(Kasse!C$5,Bestellungen!$A$5:$X$5,0),0))=FALSE,SUMIF(Kalkulation!$A$6:$A$40,Kasse!C$5&amp;"*",Kalkulation!$C$6:$C$40)*VLOOKUP($A92,Bestellungen!$6:$1048576,MATCH(Kasse!C$5,Bestellungen!$A$5:$X$5,0),0),"")</f>
        <v/>
      </c>
      <c r="D92" s="26" t="str">
        <f>IF(ISERROR(VLOOKUP($A92,Bestellungen!$6:$1048576,MATCH(Kasse!D$5,Bestellungen!$A$5:$X$5,0),0))=FALSE,SUMIF(Kalkulation!$A$6:$A$40,Kasse!D$5&amp;"*",Kalkulation!$C$6:$C$40)*VLOOKUP($A92,Bestellungen!$6:$1048576,MATCH(Kasse!D$5,Bestellungen!$A$5:$X$5,0),0),"")</f>
        <v/>
      </c>
      <c r="E92" s="26" t="str">
        <f>IF(ISERROR(VLOOKUP($A92,Bestellungen!$6:$1048576,MATCH(Kasse!E$5,Bestellungen!$A$5:$X$5,0),0))=FALSE,SUMIF(Kalkulation!$A$6:$A$40,Kasse!E$5&amp;"*",Kalkulation!$C$6:$C$40)*VLOOKUP($A92,Bestellungen!$6:$1048576,MATCH(Kasse!E$5,Bestellungen!$A$5:$X$5,0),0),"")</f>
        <v/>
      </c>
      <c r="F92" s="26" t="str">
        <f>IF(ISERROR(VLOOKUP($A92,Bestellungen!$6:$1048576,MATCH(Kasse!F$5,Bestellungen!$A$5:$X$5,0),0))=FALSE,SUMIF(Kalkulation!$A$6:$A$40,Kasse!F$5&amp;"*",Kalkulation!$C$6:$C$40)*VLOOKUP($A92,Bestellungen!$6:$1048576,MATCH(Kasse!F$5,Bestellungen!$A$5:$X$5,0),0),"")</f>
        <v/>
      </c>
      <c r="G92" s="26" t="str">
        <f>IF(ISERROR(VLOOKUP($A92,Bestellungen!$6:$1048576,MATCH(Kasse!G$5,Bestellungen!$A$5:$X$5,0),0))=FALSE,SUMIF(Kalkulation!$A$6:$A$40,Kasse!G$5&amp;"*",Kalkulation!$C$6:$C$40)*VLOOKUP($A92,Bestellungen!$6:$1048576,MATCH(Kasse!G$5,Bestellungen!$A$5:$X$5,0),0),"")</f>
        <v/>
      </c>
      <c r="H92" s="26" t="str">
        <f>IF(ISERROR(VLOOKUP($A92,Bestellungen!$6:$1048576,MATCH(Kasse!H$5,Bestellungen!$A$5:$X$5,0),0))=FALSE,SUMIF(Kalkulation!$A$6:$A$40,Kasse!H$5&amp;"*",Kalkulation!$C$6:$C$40)*VLOOKUP($A92,Bestellungen!$6:$1048576,MATCH(Kasse!H$5,Bestellungen!$A$5:$X$5,0),0),"")</f>
        <v/>
      </c>
      <c r="I92" s="26" t="str">
        <f>IF(ISERROR(VLOOKUP($A92,Bestellungen!$6:$1048576,MATCH(Kasse!I$5,Bestellungen!$A$5:$X$5,0),0))=FALSE,SUMIF(Kalkulation!$A$6:$A$40,Kasse!I$5&amp;"*",Kalkulation!$C$6:$C$40)*VLOOKUP($A92,Bestellungen!$6:$1048576,MATCH(Kasse!I$5,Bestellungen!$A$5:$X$5,0),0),"")</f>
        <v/>
      </c>
      <c r="J92" s="26" t="str">
        <f>IF(ISERROR(VLOOKUP($A92,Bestellungen!$6:$1048576,MATCH(Kasse!J$5,Bestellungen!$A$5:$X$5,0),0))=FALSE,SUMIF(Kalkulation!$A$6:$A$40,Kasse!J$5&amp;"*",Kalkulation!$C$6:$C$40)*VLOOKUP($A92,Bestellungen!$6:$1048576,MATCH(Kasse!J$5,Bestellungen!$A$5:$X$5,0),0),"")</f>
        <v/>
      </c>
      <c r="K92" s="26" t="str">
        <f>IF(ISERROR(VLOOKUP($A92,Bestellungen!$6:$1048576,MATCH(Kasse!K$5,Bestellungen!$A$5:$X$5,0),0))=FALSE,SUMIF(Kalkulation!$A$6:$A$40,Kasse!K$5&amp;"*",Kalkulation!$C$6:$C$40)*VLOOKUP($A92,Bestellungen!$6:$1048576,MATCH(Kasse!K$5,Bestellungen!$A$5:$X$5,0),0),"")</f>
        <v/>
      </c>
      <c r="L92" s="26" t="str">
        <f>IF(ISERROR(VLOOKUP($A92,Bestellungen!$6:$1048576,MATCH(Kasse!L$5,Bestellungen!$A$5:$X$5,0),0))=FALSE,SUMIF(Kalkulation!$A$6:$A$40,Kasse!L$5&amp;"*",Kalkulation!$C$6:$C$40)*VLOOKUP($A92,Bestellungen!$6:$1048576,MATCH(Kasse!L$5,Bestellungen!$A$5:$X$5,0),0),"")</f>
        <v/>
      </c>
      <c r="M92" s="26" t="str">
        <f>IF(ISERROR(VLOOKUP($A92,Bestellungen!$6:$1048576,MATCH(Kasse!M$5,Bestellungen!$A$5:$X$5,0),0))=FALSE,SUMIF(Kalkulation!$A$6:$A$40,Kasse!M$5&amp;"*",Kalkulation!$C$6:$C$40)*VLOOKUP($A92,Bestellungen!$6:$1048576,MATCH(Kasse!M$5,Bestellungen!$A$5:$X$5,0),0),"")</f>
        <v/>
      </c>
      <c r="N92" s="26" t="str">
        <f>IF(ISERROR(VLOOKUP($A92,Bestellungen!$6:$1048576,MATCH(Kasse!N$5,Bestellungen!$A$5:$X$5,0),0))=FALSE,SUMIF(Kalkulation!$A$6:$A$40,Kasse!N$5&amp;"*",Kalkulation!$C$6:$C$40)*VLOOKUP($A92,Bestellungen!$6:$1048576,MATCH(Kasse!N$5,Bestellungen!$A$5:$X$5,0),0),"")</f>
        <v/>
      </c>
      <c r="O92" s="26" t="str">
        <f>IF(ISERROR(VLOOKUP($A92,Bestellungen!$6:$1048576,MATCH(Kasse!O$5,Bestellungen!$A$5:$X$5,0),0))=FALSE,SUMIF(Kalkulation!$A$6:$A$40,Kasse!O$5&amp;"*",Kalkulation!$C$6:$C$40)*VLOOKUP($A92,Bestellungen!$6:$1048576,MATCH(Kasse!O$5,Bestellungen!$A$5:$X$5,0),0),"")</f>
        <v/>
      </c>
      <c r="P92" s="26" t="str">
        <f>IF(ISERROR(VLOOKUP($A92,Bestellungen!$6:$1048576,MATCH(Kasse!P$5,Bestellungen!$A$5:$X$5,0),0))=FALSE,SUMIF(Kalkulation!$A$6:$A$40,Kasse!P$5&amp;"*",Kalkulation!$C$6:$C$40)*VLOOKUP($A92,Bestellungen!$6:$1048576,MATCH(Kasse!P$5,Bestellungen!$A$5:$X$5,0),0),"")</f>
        <v/>
      </c>
      <c r="Q92" s="26" t="str">
        <f>IF(ISERROR(VLOOKUP($A92,Bestellungen!$6:$1048576,MATCH(Kasse!Q$5,Bestellungen!$A$5:$X$5,0),0))=FALSE,SUMIF(Kalkulation!$A$6:$A$40,Kasse!Q$5&amp;"*",Kalkulation!$C$6:$C$40)*VLOOKUP($A92,Bestellungen!$6:$1048576,MATCH(Kasse!Q$5,Bestellungen!$A$5:$X$5,0),0),"")</f>
        <v/>
      </c>
      <c r="R92" s="26" t="str">
        <f>IF(ISERROR(VLOOKUP($A92,Bestellungen!$6:$1048576,MATCH(Kasse!R$5,Bestellungen!$A$5:$X$5,0),0))=FALSE,SUMIF(Kalkulation!$A$6:$A$40,Kasse!R$5&amp;"*",Kalkulation!$C$6:$C$40)*VLOOKUP($A92,Bestellungen!$6:$1048576,MATCH(Kasse!R$5,Bestellungen!$A$5:$X$5,0),0),"")</f>
        <v/>
      </c>
      <c r="S92" s="26" t="str">
        <f>IF(ISERROR(VLOOKUP($A92,Bestellungen!$6:$1048576,MATCH(Kasse!S$5,Bestellungen!$A$5:$X$5,0),0))=FALSE,SUMIF(Kalkulation!$A$6:$A$40,Kasse!S$5&amp;"*",Kalkulation!$C$6:$C$40)*VLOOKUP($A92,Bestellungen!$6:$1048576,MATCH(Kasse!S$5,Bestellungen!$A$5:$X$5,0),0),"")</f>
        <v/>
      </c>
      <c r="T92" s="26" t="str">
        <f>IF(ISERROR(VLOOKUP($A92,Bestellungen!$6:$1048576,MATCH(Kasse!T$5,Bestellungen!$A$5:$X$5,0),0))=FALSE,SUMIF(Kalkulation!$A$6:$A$40,Kasse!T$5&amp;"*",Kalkulation!$C$6:$C$40)*VLOOKUP($A92,Bestellungen!$6:$1048576,MATCH(Kasse!T$5,Bestellungen!$A$5:$X$5,0),0),"")</f>
        <v/>
      </c>
      <c r="U92" s="26" t="str">
        <f t="shared" si="2"/>
        <v/>
      </c>
      <c r="W92" s="26" t="str">
        <f t="shared" si="3"/>
        <v/>
      </c>
      <c r="X92" s="26"/>
      <c r="Y92" s="26"/>
      <c r="Z92" s="26"/>
      <c r="AA92" s="26"/>
    </row>
    <row r="93" spans="1:27" x14ac:dyDescent="0.25">
      <c r="A93" t="str">
        <f>IF(LEN(Bestellungen!$A93)&gt;0,Bestellungen!$A93,"")</f>
        <v/>
      </c>
      <c r="B93" s="26" t="str">
        <f>IF(ISERROR(VLOOKUP($A93,Bestellungen!$6:$1048576,MATCH(Kasse!B$5,Bestellungen!$A$5:$X$5,0),0))=FALSE,SUMIF(Kalkulation!$A$6:$A$40,Kasse!B$5&amp;"*",Kalkulation!$C$6:$C$40)*VLOOKUP($A93,Bestellungen!$6:$1048576,MATCH(Kasse!B$5,Bestellungen!$A$5:$X$5,0),0),"")</f>
        <v/>
      </c>
      <c r="C93" s="26" t="str">
        <f>IF(ISERROR(VLOOKUP($A93,Bestellungen!$6:$1048576,MATCH(Kasse!C$5,Bestellungen!$A$5:$X$5,0),0))=FALSE,SUMIF(Kalkulation!$A$6:$A$40,Kasse!C$5&amp;"*",Kalkulation!$C$6:$C$40)*VLOOKUP($A93,Bestellungen!$6:$1048576,MATCH(Kasse!C$5,Bestellungen!$A$5:$X$5,0),0),"")</f>
        <v/>
      </c>
      <c r="D93" s="26" t="str">
        <f>IF(ISERROR(VLOOKUP($A93,Bestellungen!$6:$1048576,MATCH(Kasse!D$5,Bestellungen!$A$5:$X$5,0),0))=FALSE,SUMIF(Kalkulation!$A$6:$A$40,Kasse!D$5&amp;"*",Kalkulation!$C$6:$C$40)*VLOOKUP($A93,Bestellungen!$6:$1048576,MATCH(Kasse!D$5,Bestellungen!$A$5:$X$5,0),0),"")</f>
        <v/>
      </c>
      <c r="E93" s="26" t="str">
        <f>IF(ISERROR(VLOOKUP($A93,Bestellungen!$6:$1048576,MATCH(Kasse!E$5,Bestellungen!$A$5:$X$5,0),0))=FALSE,SUMIF(Kalkulation!$A$6:$A$40,Kasse!E$5&amp;"*",Kalkulation!$C$6:$C$40)*VLOOKUP($A93,Bestellungen!$6:$1048576,MATCH(Kasse!E$5,Bestellungen!$A$5:$X$5,0),0),"")</f>
        <v/>
      </c>
      <c r="F93" s="26" t="str">
        <f>IF(ISERROR(VLOOKUP($A93,Bestellungen!$6:$1048576,MATCH(Kasse!F$5,Bestellungen!$A$5:$X$5,0),0))=FALSE,SUMIF(Kalkulation!$A$6:$A$40,Kasse!F$5&amp;"*",Kalkulation!$C$6:$C$40)*VLOOKUP($A93,Bestellungen!$6:$1048576,MATCH(Kasse!F$5,Bestellungen!$A$5:$X$5,0),0),"")</f>
        <v/>
      </c>
      <c r="G93" s="26" t="str">
        <f>IF(ISERROR(VLOOKUP($A93,Bestellungen!$6:$1048576,MATCH(Kasse!G$5,Bestellungen!$A$5:$X$5,0),0))=FALSE,SUMIF(Kalkulation!$A$6:$A$40,Kasse!G$5&amp;"*",Kalkulation!$C$6:$C$40)*VLOOKUP($A93,Bestellungen!$6:$1048576,MATCH(Kasse!G$5,Bestellungen!$A$5:$X$5,0),0),"")</f>
        <v/>
      </c>
      <c r="H93" s="26" t="str">
        <f>IF(ISERROR(VLOOKUP($A93,Bestellungen!$6:$1048576,MATCH(Kasse!H$5,Bestellungen!$A$5:$X$5,0),0))=FALSE,SUMIF(Kalkulation!$A$6:$A$40,Kasse!H$5&amp;"*",Kalkulation!$C$6:$C$40)*VLOOKUP($A93,Bestellungen!$6:$1048576,MATCH(Kasse!H$5,Bestellungen!$A$5:$X$5,0),0),"")</f>
        <v/>
      </c>
      <c r="I93" s="26" t="str">
        <f>IF(ISERROR(VLOOKUP($A93,Bestellungen!$6:$1048576,MATCH(Kasse!I$5,Bestellungen!$A$5:$X$5,0),0))=FALSE,SUMIF(Kalkulation!$A$6:$A$40,Kasse!I$5&amp;"*",Kalkulation!$C$6:$C$40)*VLOOKUP($A93,Bestellungen!$6:$1048576,MATCH(Kasse!I$5,Bestellungen!$A$5:$X$5,0),0),"")</f>
        <v/>
      </c>
      <c r="J93" s="26" t="str">
        <f>IF(ISERROR(VLOOKUP($A93,Bestellungen!$6:$1048576,MATCH(Kasse!J$5,Bestellungen!$A$5:$X$5,0),0))=FALSE,SUMIF(Kalkulation!$A$6:$A$40,Kasse!J$5&amp;"*",Kalkulation!$C$6:$C$40)*VLOOKUP($A93,Bestellungen!$6:$1048576,MATCH(Kasse!J$5,Bestellungen!$A$5:$X$5,0),0),"")</f>
        <v/>
      </c>
      <c r="K93" s="26" t="str">
        <f>IF(ISERROR(VLOOKUP($A93,Bestellungen!$6:$1048576,MATCH(Kasse!K$5,Bestellungen!$A$5:$X$5,0),0))=FALSE,SUMIF(Kalkulation!$A$6:$A$40,Kasse!K$5&amp;"*",Kalkulation!$C$6:$C$40)*VLOOKUP($A93,Bestellungen!$6:$1048576,MATCH(Kasse!K$5,Bestellungen!$A$5:$X$5,0),0),"")</f>
        <v/>
      </c>
      <c r="L93" s="26" t="str">
        <f>IF(ISERROR(VLOOKUP($A93,Bestellungen!$6:$1048576,MATCH(Kasse!L$5,Bestellungen!$A$5:$X$5,0),0))=FALSE,SUMIF(Kalkulation!$A$6:$A$40,Kasse!L$5&amp;"*",Kalkulation!$C$6:$C$40)*VLOOKUP($A93,Bestellungen!$6:$1048576,MATCH(Kasse!L$5,Bestellungen!$A$5:$X$5,0),0),"")</f>
        <v/>
      </c>
      <c r="M93" s="26" t="str">
        <f>IF(ISERROR(VLOOKUP($A93,Bestellungen!$6:$1048576,MATCH(Kasse!M$5,Bestellungen!$A$5:$X$5,0),0))=FALSE,SUMIF(Kalkulation!$A$6:$A$40,Kasse!M$5&amp;"*",Kalkulation!$C$6:$C$40)*VLOOKUP($A93,Bestellungen!$6:$1048576,MATCH(Kasse!M$5,Bestellungen!$A$5:$X$5,0),0),"")</f>
        <v/>
      </c>
      <c r="N93" s="26" t="str">
        <f>IF(ISERROR(VLOOKUP($A93,Bestellungen!$6:$1048576,MATCH(Kasse!N$5,Bestellungen!$A$5:$X$5,0),0))=FALSE,SUMIF(Kalkulation!$A$6:$A$40,Kasse!N$5&amp;"*",Kalkulation!$C$6:$C$40)*VLOOKUP($A93,Bestellungen!$6:$1048576,MATCH(Kasse!N$5,Bestellungen!$A$5:$X$5,0),0),"")</f>
        <v/>
      </c>
      <c r="O93" s="26" t="str">
        <f>IF(ISERROR(VLOOKUP($A93,Bestellungen!$6:$1048576,MATCH(Kasse!O$5,Bestellungen!$A$5:$X$5,0),0))=FALSE,SUMIF(Kalkulation!$A$6:$A$40,Kasse!O$5&amp;"*",Kalkulation!$C$6:$C$40)*VLOOKUP($A93,Bestellungen!$6:$1048576,MATCH(Kasse!O$5,Bestellungen!$A$5:$X$5,0),0),"")</f>
        <v/>
      </c>
      <c r="P93" s="26" t="str">
        <f>IF(ISERROR(VLOOKUP($A93,Bestellungen!$6:$1048576,MATCH(Kasse!P$5,Bestellungen!$A$5:$X$5,0),0))=FALSE,SUMIF(Kalkulation!$A$6:$A$40,Kasse!P$5&amp;"*",Kalkulation!$C$6:$C$40)*VLOOKUP($A93,Bestellungen!$6:$1048576,MATCH(Kasse!P$5,Bestellungen!$A$5:$X$5,0),0),"")</f>
        <v/>
      </c>
      <c r="Q93" s="26" t="str">
        <f>IF(ISERROR(VLOOKUP($A93,Bestellungen!$6:$1048576,MATCH(Kasse!Q$5,Bestellungen!$A$5:$X$5,0),0))=FALSE,SUMIF(Kalkulation!$A$6:$A$40,Kasse!Q$5&amp;"*",Kalkulation!$C$6:$C$40)*VLOOKUP($A93,Bestellungen!$6:$1048576,MATCH(Kasse!Q$5,Bestellungen!$A$5:$X$5,0),0),"")</f>
        <v/>
      </c>
      <c r="R93" s="26" t="str">
        <f>IF(ISERROR(VLOOKUP($A93,Bestellungen!$6:$1048576,MATCH(Kasse!R$5,Bestellungen!$A$5:$X$5,0),0))=FALSE,SUMIF(Kalkulation!$A$6:$A$40,Kasse!R$5&amp;"*",Kalkulation!$C$6:$C$40)*VLOOKUP($A93,Bestellungen!$6:$1048576,MATCH(Kasse!R$5,Bestellungen!$A$5:$X$5,0),0),"")</f>
        <v/>
      </c>
      <c r="S93" s="26" t="str">
        <f>IF(ISERROR(VLOOKUP($A93,Bestellungen!$6:$1048576,MATCH(Kasse!S$5,Bestellungen!$A$5:$X$5,0),0))=FALSE,SUMIF(Kalkulation!$A$6:$A$40,Kasse!S$5&amp;"*",Kalkulation!$C$6:$C$40)*VLOOKUP($A93,Bestellungen!$6:$1048576,MATCH(Kasse!S$5,Bestellungen!$A$5:$X$5,0),0),"")</f>
        <v/>
      </c>
      <c r="T93" s="26" t="str">
        <f>IF(ISERROR(VLOOKUP($A93,Bestellungen!$6:$1048576,MATCH(Kasse!T$5,Bestellungen!$A$5:$X$5,0),0))=FALSE,SUMIF(Kalkulation!$A$6:$A$40,Kasse!T$5&amp;"*",Kalkulation!$C$6:$C$40)*VLOOKUP($A93,Bestellungen!$6:$1048576,MATCH(Kasse!T$5,Bestellungen!$A$5:$X$5,0),0),"")</f>
        <v/>
      </c>
      <c r="U93" s="26" t="str">
        <f t="shared" si="2"/>
        <v/>
      </c>
      <c r="W93" s="26" t="str">
        <f t="shared" si="3"/>
        <v/>
      </c>
      <c r="X93" s="26"/>
      <c r="Y93" s="26"/>
      <c r="Z93" s="26"/>
      <c r="AA93" s="26"/>
    </row>
    <row r="94" spans="1:27" x14ac:dyDescent="0.25">
      <c r="A94" t="str">
        <f>IF(LEN(Bestellungen!$A94)&gt;0,Bestellungen!$A94,"")</f>
        <v/>
      </c>
      <c r="B94" s="26" t="str">
        <f>IF(ISERROR(VLOOKUP($A94,Bestellungen!$6:$1048576,MATCH(Kasse!B$5,Bestellungen!$A$5:$X$5,0),0))=FALSE,SUMIF(Kalkulation!$A$6:$A$40,Kasse!B$5&amp;"*",Kalkulation!$C$6:$C$40)*VLOOKUP($A94,Bestellungen!$6:$1048576,MATCH(Kasse!B$5,Bestellungen!$A$5:$X$5,0),0),"")</f>
        <v/>
      </c>
      <c r="C94" s="26" t="str">
        <f>IF(ISERROR(VLOOKUP($A94,Bestellungen!$6:$1048576,MATCH(Kasse!C$5,Bestellungen!$A$5:$X$5,0),0))=FALSE,SUMIF(Kalkulation!$A$6:$A$40,Kasse!C$5&amp;"*",Kalkulation!$C$6:$C$40)*VLOOKUP($A94,Bestellungen!$6:$1048576,MATCH(Kasse!C$5,Bestellungen!$A$5:$X$5,0),0),"")</f>
        <v/>
      </c>
      <c r="D94" s="26" t="str">
        <f>IF(ISERROR(VLOOKUP($A94,Bestellungen!$6:$1048576,MATCH(Kasse!D$5,Bestellungen!$A$5:$X$5,0),0))=FALSE,SUMIF(Kalkulation!$A$6:$A$40,Kasse!D$5&amp;"*",Kalkulation!$C$6:$C$40)*VLOOKUP($A94,Bestellungen!$6:$1048576,MATCH(Kasse!D$5,Bestellungen!$A$5:$X$5,0),0),"")</f>
        <v/>
      </c>
      <c r="E94" s="26" t="str">
        <f>IF(ISERROR(VLOOKUP($A94,Bestellungen!$6:$1048576,MATCH(Kasse!E$5,Bestellungen!$A$5:$X$5,0),0))=FALSE,SUMIF(Kalkulation!$A$6:$A$40,Kasse!E$5&amp;"*",Kalkulation!$C$6:$C$40)*VLOOKUP($A94,Bestellungen!$6:$1048576,MATCH(Kasse!E$5,Bestellungen!$A$5:$X$5,0),0),"")</f>
        <v/>
      </c>
      <c r="F94" s="26" t="str">
        <f>IF(ISERROR(VLOOKUP($A94,Bestellungen!$6:$1048576,MATCH(Kasse!F$5,Bestellungen!$A$5:$X$5,0),0))=FALSE,SUMIF(Kalkulation!$A$6:$A$40,Kasse!F$5&amp;"*",Kalkulation!$C$6:$C$40)*VLOOKUP($A94,Bestellungen!$6:$1048576,MATCH(Kasse!F$5,Bestellungen!$A$5:$X$5,0),0),"")</f>
        <v/>
      </c>
      <c r="G94" s="26" t="str">
        <f>IF(ISERROR(VLOOKUP($A94,Bestellungen!$6:$1048576,MATCH(Kasse!G$5,Bestellungen!$A$5:$X$5,0),0))=FALSE,SUMIF(Kalkulation!$A$6:$A$40,Kasse!G$5&amp;"*",Kalkulation!$C$6:$C$40)*VLOOKUP($A94,Bestellungen!$6:$1048576,MATCH(Kasse!G$5,Bestellungen!$A$5:$X$5,0),0),"")</f>
        <v/>
      </c>
      <c r="H94" s="26" t="str">
        <f>IF(ISERROR(VLOOKUP($A94,Bestellungen!$6:$1048576,MATCH(Kasse!H$5,Bestellungen!$A$5:$X$5,0),0))=FALSE,SUMIF(Kalkulation!$A$6:$A$40,Kasse!H$5&amp;"*",Kalkulation!$C$6:$C$40)*VLOOKUP($A94,Bestellungen!$6:$1048576,MATCH(Kasse!H$5,Bestellungen!$A$5:$X$5,0),0),"")</f>
        <v/>
      </c>
      <c r="I94" s="26" t="str">
        <f>IF(ISERROR(VLOOKUP($A94,Bestellungen!$6:$1048576,MATCH(Kasse!I$5,Bestellungen!$A$5:$X$5,0),0))=FALSE,SUMIF(Kalkulation!$A$6:$A$40,Kasse!I$5&amp;"*",Kalkulation!$C$6:$C$40)*VLOOKUP($A94,Bestellungen!$6:$1048576,MATCH(Kasse!I$5,Bestellungen!$A$5:$X$5,0),0),"")</f>
        <v/>
      </c>
      <c r="J94" s="26" t="str">
        <f>IF(ISERROR(VLOOKUP($A94,Bestellungen!$6:$1048576,MATCH(Kasse!J$5,Bestellungen!$A$5:$X$5,0),0))=FALSE,SUMIF(Kalkulation!$A$6:$A$40,Kasse!J$5&amp;"*",Kalkulation!$C$6:$C$40)*VLOOKUP($A94,Bestellungen!$6:$1048576,MATCH(Kasse!J$5,Bestellungen!$A$5:$X$5,0),0),"")</f>
        <v/>
      </c>
      <c r="K94" s="26" t="str">
        <f>IF(ISERROR(VLOOKUP($A94,Bestellungen!$6:$1048576,MATCH(Kasse!K$5,Bestellungen!$A$5:$X$5,0),0))=FALSE,SUMIF(Kalkulation!$A$6:$A$40,Kasse!K$5&amp;"*",Kalkulation!$C$6:$C$40)*VLOOKUP($A94,Bestellungen!$6:$1048576,MATCH(Kasse!K$5,Bestellungen!$A$5:$X$5,0),0),"")</f>
        <v/>
      </c>
      <c r="L94" s="26" t="str">
        <f>IF(ISERROR(VLOOKUP($A94,Bestellungen!$6:$1048576,MATCH(Kasse!L$5,Bestellungen!$A$5:$X$5,0),0))=FALSE,SUMIF(Kalkulation!$A$6:$A$40,Kasse!L$5&amp;"*",Kalkulation!$C$6:$C$40)*VLOOKUP($A94,Bestellungen!$6:$1048576,MATCH(Kasse!L$5,Bestellungen!$A$5:$X$5,0),0),"")</f>
        <v/>
      </c>
      <c r="M94" s="26" t="str">
        <f>IF(ISERROR(VLOOKUP($A94,Bestellungen!$6:$1048576,MATCH(Kasse!M$5,Bestellungen!$A$5:$X$5,0),0))=FALSE,SUMIF(Kalkulation!$A$6:$A$40,Kasse!M$5&amp;"*",Kalkulation!$C$6:$C$40)*VLOOKUP($A94,Bestellungen!$6:$1048576,MATCH(Kasse!M$5,Bestellungen!$A$5:$X$5,0),0),"")</f>
        <v/>
      </c>
      <c r="N94" s="26" t="str">
        <f>IF(ISERROR(VLOOKUP($A94,Bestellungen!$6:$1048576,MATCH(Kasse!N$5,Bestellungen!$A$5:$X$5,0),0))=FALSE,SUMIF(Kalkulation!$A$6:$A$40,Kasse!N$5&amp;"*",Kalkulation!$C$6:$C$40)*VLOOKUP($A94,Bestellungen!$6:$1048576,MATCH(Kasse!N$5,Bestellungen!$A$5:$X$5,0),0),"")</f>
        <v/>
      </c>
      <c r="O94" s="26" t="str">
        <f>IF(ISERROR(VLOOKUP($A94,Bestellungen!$6:$1048576,MATCH(Kasse!O$5,Bestellungen!$A$5:$X$5,0),0))=FALSE,SUMIF(Kalkulation!$A$6:$A$40,Kasse!O$5&amp;"*",Kalkulation!$C$6:$C$40)*VLOOKUP($A94,Bestellungen!$6:$1048576,MATCH(Kasse!O$5,Bestellungen!$A$5:$X$5,0),0),"")</f>
        <v/>
      </c>
      <c r="P94" s="26" t="str">
        <f>IF(ISERROR(VLOOKUP($A94,Bestellungen!$6:$1048576,MATCH(Kasse!P$5,Bestellungen!$A$5:$X$5,0),0))=FALSE,SUMIF(Kalkulation!$A$6:$A$40,Kasse!P$5&amp;"*",Kalkulation!$C$6:$C$40)*VLOOKUP($A94,Bestellungen!$6:$1048576,MATCH(Kasse!P$5,Bestellungen!$A$5:$X$5,0),0),"")</f>
        <v/>
      </c>
      <c r="Q94" s="26" t="str">
        <f>IF(ISERROR(VLOOKUP($A94,Bestellungen!$6:$1048576,MATCH(Kasse!Q$5,Bestellungen!$A$5:$X$5,0),0))=FALSE,SUMIF(Kalkulation!$A$6:$A$40,Kasse!Q$5&amp;"*",Kalkulation!$C$6:$C$40)*VLOOKUP($A94,Bestellungen!$6:$1048576,MATCH(Kasse!Q$5,Bestellungen!$A$5:$X$5,0),0),"")</f>
        <v/>
      </c>
      <c r="R94" s="26" t="str">
        <f>IF(ISERROR(VLOOKUP($A94,Bestellungen!$6:$1048576,MATCH(Kasse!R$5,Bestellungen!$A$5:$X$5,0),0))=FALSE,SUMIF(Kalkulation!$A$6:$A$40,Kasse!R$5&amp;"*",Kalkulation!$C$6:$C$40)*VLOOKUP($A94,Bestellungen!$6:$1048576,MATCH(Kasse!R$5,Bestellungen!$A$5:$X$5,0),0),"")</f>
        <v/>
      </c>
      <c r="S94" s="26" t="str">
        <f>IF(ISERROR(VLOOKUP($A94,Bestellungen!$6:$1048576,MATCH(Kasse!S$5,Bestellungen!$A$5:$X$5,0),0))=FALSE,SUMIF(Kalkulation!$A$6:$A$40,Kasse!S$5&amp;"*",Kalkulation!$C$6:$C$40)*VLOOKUP($A94,Bestellungen!$6:$1048576,MATCH(Kasse!S$5,Bestellungen!$A$5:$X$5,0),0),"")</f>
        <v/>
      </c>
      <c r="T94" s="26" t="str">
        <f>IF(ISERROR(VLOOKUP($A94,Bestellungen!$6:$1048576,MATCH(Kasse!T$5,Bestellungen!$A$5:$X$5,0),0))=FALSE,SUMIF(Kalkulation!$A$6:$A$40,Kasse!T$5&amp;"*",Kalkulation!$C$6:$C$40)*VLOOKUP($A94,Bestellungen!$6:$1048576,MATCH(Kasse!T$5,Bestellungen!$A$5:$X$5,0),0),"")</f>
        <v/>
      </c>
      <c r="U94" s="26" t="str">
        <f t="shared" si="2"/>
        <v/>
      </c>
      <c r="W94" s="26" t="str">
        <f t="shared" si="3"/>
        <v/>
      </c>
      <c r="X94" s="26"/>
      <c r="Y94" s="26"/>
      <c r="Z94" s="26"/>
      <c r="AA94" s="26"/>
    </row>
    <row r="95" spans="1:27" x14ac:dyDescent="0.25">
      <c r="A95" t="str">
        <f>IF(LEN(Bestellungen!$A95)&gt;0,Bestellungen!$A95,"")</f>
        <v/>
      </c>
      <c r="B95" s="26" t="str">
        <f>IF(ISERROR(VLOOKUP($A95,Bestellungen!$6:$1048576,MATCH(Kasse!B$5,Bestellungen!$A$5:$X$5,0),0))=FALSE,SUMIF(Kalkulation!$A$6:$A$40,Kasse!B$5&amp;"*",Kalkulation!$C$6:$C$40)*VLOOKUP($A95,Bestellungen!$6:$1048576,MATCH(Kasse!B$5,Bestellungen!$A$5:$X$5,0),0),"")</f>
        <v/>
      </c>
      <c r="C95" s="26" t="str">
        <f>IF(ISERROR(VLOOKUP($A95,Bestellungen!$6:$1048576,MATCH(Kasse!C$5,Bestellungen!$A$5:$X$5,0),0))=FALSE,SUMIF(Kalkulation!$A$6:$A$40,Kasse!C$5&amp;"*",Kalkulation!$C$6:$C$40)*VLOOKUP($A95,Bestellungen!$6:$1048576,MATCH(Kasse!C$5,Bestellungen!$A$5:$X$5,0),0),"")</f>
        <v/>
      </c>
      <c r="D95" s="26" t="str">
        <f>IF(ISERROR(VLOOKUP($A95,Bestellungen!$6:$1048576,MATCH(Kasse!D$5,Bestellungen!$A$5:$X$5,0),0))=FALSE,SUMIF(Kalkulation!$A$6:$A$40,Kasse!D$5&amp;"*",Kalkulation!$C$6:$C$40)*VLOOKUP($A95,Bestellungen!$6:$1048576,MATCH(Kasse!D$5,Bestellungen!$A$5:$X$5,0),0),"")</f>
        <v/>
      </c>
      <c r="E95" s="26" t="str">
        <f>IF(ISERROR(VLOOKUP($A95,Bestellungen!$6:$1048576,MATCH(Kasse!E$5,Bestellungen!$A$5:$X$5,0),0))=FALSE,SUMIF(Kalkulation!$A$6:$A$40,Kasse!E$5&amp;"*",Kalkulation!$C$6:$C$40)*VLOOKUP($A95,Bestellungen!$6:$1048576,MATCH(Kasse!E$5,Bestellungen!$A$5:$X$5,0),0),"")</f>
        <v/>
      </c>
      <c r="F95" s="26" t="str">
        <f>IF(ISERROR(VLOOKUP($A95,Bestellungen!$6:$1048576,MATCH(Kasse!F$5,Bestellungen!$A$5:$X$5,0),0))=FALSE,SUMIF(Kalkulation!$A$6:$A$40,Kasse!F$5&amp;"*",Kalkulation!$C$6:$C$40)*VLOOKUP($A95,Bestellungen!$6:$1048576,MATCH(Kasse!F$5,Bestellungen!$A$5:$X$5,0),0),"")</f>
        <v/>
      </c>
      <c r="G95" s="26" t="str">
        <f>IF(ISERROR(VLOOKUP($A95,Bestellungen!$6:$1048576,MATCH(Kasse!G$5,Bestellungen!$A$5:$X$5,0),0))=FALSE,SUMIF(Kalkulation!$A$6:$A$40,Kasse!G$5&amp;"*",Kalkulation!$C$6:$C$40)*VLOOKUP($A95,Bestellungen!$6:$1048576,MATCH(Kasse!G$5,Bestellungen!$A$5:$X$5,0),0),"")</f>
        <v/>
      </c>
      <c r="H95" s="26" t="str">
        <f>IF(ISERROR(VLOOKUP($A95,Bestellungen!$6:$1048576,MATCH(Kasse!H$5,Bestellungen!$A$5:$X$5,0),0))=FALSE,SUMIF(Kalkulation!$A$6:$A$40,Kasse!H$5&amp;"*",Kalkulation!$C$6:$C$40)*VLOOKUP($A95,Bestellungen!$6:$1048576,MATCH(Kasse!H$5,Bestellungen!$A$5:$X$5,0),0),"")</f>
        <v/>
      </c>
      <c r="I95" s="26" t="str">
        <f>IF(ISERROR(VLOOKUP($A95,Bestellungen!$6:$1048576,MATCH(Kasse!I$5,Bestellungen!$A$5:$X$5,0),0))=FALSE,SUMIF(Kalkulation!$A$6:$A$40,Kasse!I$5&amp;"*",Kalkulation!$C$6:$C$40)*VLOOKUP($A95,Bestellungen!$6:$1048576,MATCH(Kasse!I$5,Bestellungen!$A$5:$X$5,0),0),"")</f>
        <v/>
      </c>
      <c r="J95" s="26" t="str">
        <f>IF(ISERROR(VLOOKUP($A95,Bestellungen!$6:$1048576,MATCH(Kasse!J$5,Bestellungen!$A$5:$X$5,0),0))=FALSE,SUMIF(Kalkulation!$A$6:$A$40,Kasse!J$5&amp;"*",Kalkulation!$C$6:$C$40)*VLOOKUP($A95,Bestellungen!$6:$1048576,MATCH(Kasse!J$5,Bestellungen!$A$5:$X$5,0),0),"")</f>
        <v/>
      </c>
      <c r="K95" s="26" t="str">
        <f>IF(ISERROR(VLOOKUP($A95,Bestellungen!$6:$1048576,MATCH(Kasse!K$5,Bestellungen!$A$5:$X$5,0),0))=FALSE,SUMIF(Kalkulation!$A$6:$A$40,Kasse!K$5&amp;"*",Kalkulation!$C$6:$C$40)*VLOOKUP($A95,Bestellungen!$6:$1048576,MATCH(Kasse!K$5,Bestellungen!$A$5:$X$5,0),0),"")</f>
        <v/>
      </c>
      <c r="L95" s="26" t="str">
        <f>IF(ISERROR(VLOOKUP($A95,Bestellungen!$6:$1048576,MATCH(Kasse!L$5,Bestellungen!$A$5:$X$5,0),0))=FALSE,SUMIF(Kalkulation!$A$6:$A$40,Kasse!L$5&amp;"*",Kalkulation!$C$6:$C$40)*VLOOKUP($A95,Bestellungen!$6:$1048576,MATCH(Kasse!L$5,Bestellungen!$A$5:$X$5,0),0),"")</f>
        <v/>
      </c>
      <c r="M95" s="26" t="str">
        <f>IF(ISERROR(VLOOKUP($A95,Bestellungen!$6:$1048576,MATCH(Kasse!M$5,Bestellungen!$A$5:$X$5,0),0))=FALSE,SUMIF(Kalkulation!$A$6:$A$40,Kasse!M$5&amp;"*",Kalkulation!$C$6:$C$40)*VLOOKUP($A95,Bestellungen!$6:$1048576,MATCH(Kasse!M$5,Bestellungen!$A$5:$X$5,0),0),"")</f>
        <v/>
      </c>
      <c r="N95" s="26" t="str">
        <f>IF(ISERROR(VLOOKUP($A95,Bestellungen!$6:$1048576,MATCH(Kasse!N$5,Bestellungen!$A$5:$X$5,0),0))=FALSE,SUMIF(Kalkulation!$A$6:$A$40,Kasse!N$5&amp;"*",Kalkulation!$C$6:$C$40)*VLOOKUP($A95,Bestellungen!$6:$1048576,MATCH(Kasse!N$5,Bestellungen!$A$5:$X$5,0),0),"")</f>
        <v/>
      </c>
      <c r="O95" s="26" t="str">
        <f>IF(ISERROR(VLOOKUP($A95,Bestellungen!$6:$1048576,MATCH(Kasse!O$5,Bestellungen!$A$5:$X$5,0),0))=FALSE,SUMIF(Kalkulation!$A$6:$A$40,Kasse!O$5&amp;"*",Kalkulation!$C$6:$C$40)*VLOOKUP($A95,Bestellungen!$6:$1048576,MATCH(Kasse!O$5,Bestellungen!$A$5:$X$5,0),0),"")</f>
        <v/>
      </c>
      <c r="P95" s="26" t="str">
        <f>IF(ISERROR(VLOOKUP($A95,Bestellungen!$6:$1048576,MATCH(Kasse!P$5,Bestellungen!$A$5:$X$5,0),0))=FALSE,SUMIF(Kalkulation!$A$6:$A$40,Kasse!P$5&amp;"*",Kalkulation!$C$6:$C$40)*VLOOKUP($A95,Bestellungen!$6:$1048576,MATCH(Kasse!P$5,Bestellungen!$A$5:$X$5,0),0),"")</f>
        <v/>
      </c>
      <c r="Q95" s="26" t="str">
        <f>IF(ISERROR(VLOOKUP($A95,Bestellungen!$6:$1048576,MATCH(Kasse!Q$5,Bestellungen!$A$5:$X$5,0),0))=FALSE,SUMIF(Kalkulation!$A$6:$A$40,Kasse!Q$5&amp;"*",Kalkulation!$C$6:$C$40)*VLOOKUP($A95,Bestellungen!$6:$1048576,MATCH(Kasse!Q$5,Bestellungen!$A$5:$X$5,0),0),"")</f>
        <v/>
      </c>
      <c r="R95" s="26" t="str">
        <f>IF(ISERROR(VLOOKUP($A95,Bestellungen!$6:$1048576,MATCH(Kasse!R$5,Bestellungen!$A$5:$X$5,0),0))=FALSE,SUMIF(Kalkulation!$A$6:$A$40,Kasse!R$5&amp;"*",Kalkulation!$C$6:$C$40)*VLOOKUP($A95,Bestellungen!$6:$1048576,MATCH(Kasse!R$5,Bestellungen!$A$5:$X$5,0),0),"")</f>
        <v/>
      </c>
      <c r="S95" s="26" t="str">
        <f>IF(ISERROR(VLOOKUP($A95,Bestellungen!$6:$1048576,MATCH(Kasse!S$5,Bestellungen!$A$5:$X$5,0),0))=FALSE,SUMIF(Kalkulation!$A$6:$A$40,Kasse!S$5&amp;"*",Kalkulation!$C$6:$C$40)*VLOOKUP($A95,Bestellungen!$6:$1048576,MATCH(Kasse!S$5,Bestellungen!$A$5:$X$5,0),0),"")</f>
        <v/>
      </c>
      <c r="T95" s="26" t="str">
        <f>IF(ISERROR(VLOOKUP($A95,Bestellungen!$6:$1048576,MATCH(Kasse!T$5,Bestellungen!$A$5:$X$5,0),0))=FALSE,SUMIF(Kalkulation!$A$6:$A$40,Kasse!T$5&amp;"*",Kalkulation!$C$6:$C$40)*VLOOKUP($A95,Bestellungen!$6:$1048576,MATCH(Kasse!T$5,Bestellungen!$A$5:$X$5,0),0),"")</f>
        <v/>
      </c>
      <c r="U95" s="26" t="str">
        <f t="shared" si="2"/>
        <v/>
      </c>
      <c r="W95" s="26" t="str">
        <f t="shared" si="3"/>
        <v/>
      </c>
      <c r="X95" s="26"/>
      <c r="Y95" s="26"/>
      <c r="Z95" s="26"/>
      <c r="AA95" s="26"/>
    </row>
    <row r="96" spans="1:27" x14ac:dyDescent="0.25">
      <c r="A96" t="str">
        <f>IF(LEN(Bestellungen!$A96)&gt;0,Bestellungen!$A96,"")</f>
        <v/>
      </c>
      <c r="B96" s="26" t="str">
        <f>IF(ISERROR(VLOOKUP($A96,Bestellungen!$6:$1048576,MATCH(Kasse!B$5,Bestellungen!$A$5:$X$5,0),0))=FALSE,SUMIF(Kalkulation!$A$6:$A$40,Kasse!B$5&amp;"*",Kalkulation!$C$6:$C$40)*VLOOKUP($A96,Bestellungen!$6:$1048576,MATCH(Kasse!B$5,Bestellungen!$A$5:$X$5,0),0),"")</f>
        <v/>
      </c>
      <c r="C96" s="26" t="str">
        <f>IF(ISERROR(VLOOKUP($A96,Bestellungen!$6:$1048576,MATCH(Kasse!C$5,Bestellungen!$A$5:$X$5,0),0))=FALSE,SUMIF(Kalkulation!$A$6:$A$40,Kasse!C$5&amp;"*",Kalkulation!$C$6:$C$40)*VLOOKUP($A96,Bestellungen!$6:$1048576,MATCH(Kasse!C$5,Bestellungen!$A$5:$X$5,0),0),"")</f>
        <v/>
      </c>
      <c r="D96" s="26" t="str">
        <f>IF(ISERROR(VLOOKUP($A96,Bestellungen!$6:$1048576,MATCH(Kasse!D$5,Bestellungen!$A$5:$X$5,0),0))=FALSE,SUMIF(Kalkulation!$A$6:$A$40,Kasse!D$5&amp;"*",Kalkulation!$C$6:$C$40)*VLOOKUP($A96,Bestellungen!$6:$1048576,MATCH(Kasse!D$5,Bestellungen!$A$5:$X$5,0),0),"")</f>
        <v/>
      </c>
      <c r="E96" s="26" t="str">
        <f>IF(ISERROR(VLOOKUP($A96,Bestellungen!$6:$1048576,MATCH(Kasse!E$5,Bestellungen!$A$5:$X$5,0),0))=FALSE,SUMIF(Kalkulation!$A$6:$A$40,Kasse!E$5&amp;"*",Kalkulation!$C$6:$C$40)*VLOOKUP($A96,Bestellungen!$6:$1048576,MATCH(Kasse!E$5,Bestellungen!$A$5:$X$5,0),0),"")</f>
        <v/>
      </c>
      <c r="F96" s="26" t="str">
        <f>IF(ISERROR(VLOOKUP($A96,Bestellungen!$6:$1048576,MATCH(Kasse!F$5,Bestellungen!$A$5:$X$5,0),0))=FALSE,SUMIF(Kalkulation!$A$6:$A$40,Kasse!F$5&amp;"*",Kalkulation!$C$6:$C$40)*VLOOKUP($A96,Bestellungen!$6:$1048576,MATCH(Kasse!F$5,Bestellungen!$A$5:$X$5,0),0),"")</f>
        <v/>
      </c>
      <c r="G96" s="26" t="str">
        <f>IF(ISERROR(VLOOKUP($A96,Bestellungen!$6:$1048576,MATCH(Kasse!G$5,Bestellungen!$A$5:$X$5,0),0))=FALSE,SUMIF(Kalkulation!$A$6:$A$40,Kasse!G$5&amp;"*",Kalkulation!$C$6:$C$40)*VLOOKUP($A96,Bestellungen!$6:$1048576,MATCH(Kasse!G$5,Bestellungen!$A$5:$X$5,0),0),"")</f>
        <v/>
      </c>
      <c r="H96" s="26" t="str">
        <f>IF(ISERROR(VLOOKUP($A96,Bestellungen!$6:$1048576,MATCH(Kasse!H$5,Bestellungen!$A$5:$X$5,0),0))=FALSE,SUMIF(Kalkulation!$A$6:$A$40,Kasse!H$5&amp;"*",Kalkulation!$C$6:$C$40)*VLOOKUP($A96,Bestellungen!$6:$1048576,MATCH(Kasse!H$5,Bestellungen!$A$5:$X$5,0),0),"")</f>
        <v/>
      </c>
      <c r="I96" s="26" t="str">
        <f>IF(ISERROR(VLOOKUP($A96,Bestellungen!$6:$1048576,MATCH(Kasse!I$5,Bestellungen!$A$5:$X$5,0),0))=FALSE,SUMIF(Kalkulation!$A$6:$A$40,Kasse!I$5&amp;"*",Kalkulation!$C$6:$C$40)*VLOOKUP($A96,Bestellungen!$6:$1048576,MATCH(Kasse!I$5,Bestellungen!$A$5:$X$5,0),0),"")</f>
        <v/>
      </c>
      <c r="J96" s="26" t="str">
        <f>IF(ISERROR(VLOOKUP($A96,Bestellungen!$6:$1048576,MATCH(Kasse!J$5,Bestellungen!$A$5:$X$5,0),0))=FALSE,SUMIF(Kalkulation!$A$6:$A$40,Kasse!J$5&amp;"*",Kalkulation!$C$6:$C$40)*VLOOKUP($A96,Bestellungen!$6:$1048576,MATCH(Kasse!J$5,Bestellungen!$A$5:$X$5,0),0),"")</f>
        <v/>
      </c>
      <c r="K96" s="26" t="str">
        <f>IF(ISERROR(VLOOKUP($A96,Bestellungen!$6:$1048576,MATCH(Kasse!K$5,Bestellungen!$A$5:$X$5,0),0))=FALSE,SUMIF(Kalkulation!$A$6:$A$40,Kasse!K$5&amp;"*",Kalkulation!$C$6:$C$40)*VLOOKUP($A96,Bestellungen!$6:$1048576,MATCH(Kasse!K$5,Bestellungen!$A$5:$X$5,0),0),"")</f>
        <v/>
      </c>
      <c r="L96" s="26" t="str">
        <f>IF(ISERROR(VLOOKUP($A96,Bestellungen!$6:$1048576,MATCH(Kasse!L$5,Bestellungen!$A$5:$X$5,0),0))=FALSE,SUMIF(Kalkulation!$A$6:$A$40,Kasse!L$5&amp;"*",Kalkulation!$C$6:$C$40)*VLOOKUP($A96,Bestellungen!$6:$1048576,MATCH(Kasse!L$5,Bestellungen!$A$5:$X$5,0),0),"")</f>
        <v/>
      </c>
      <c r="M96" s="26" t="str">
        <f>IF(ISERROR(VLOOKUP($A96,Bestellungen!$6:$1048576,MATCH(Kasse!M$5,Bestellungen!$A$5:$X$5,0),0))=FALSE,SUMIF(Kalkulation!$A$6:$A$40,Kasse!M$5&amp;"*",Kalkulation!$C$6:$C$40)*VLOOKUP($A96,Bestellungen!$6:$1048576,MATCH(Kasse!M$5,Bestellungen!$A$5:$X$5,0),0),"")</f>
        <v/>
      </c>
      <c r="N96" s="26" t="str">
        <f>IF(ISERROR(VLOOKUP($A96,Bestellungen!$6:$1048576,MATCH(Kasse!N$5,Bestellungen!$A$5:$X$5,0),0))=FALSE,SUMIF(Kalkulation!$A$6:$A$40,Kasse!N$5&amp;"*",Kalkulation!$C$6:$C$40)*VLOOKUP($A96,Bestellungen!$6:$1048576,MATCH(Kasse!N$5,Bestellungen!$A$5:$X$5,0),0),"")</f>
        <v/>
      </c>
      <c r="O96" s="26" t="str">
        <f>IF(ISERROR(VLOOKUP($A96,Bestellungen!$6:$1048576,MATCH(Kasse!O$5,Bestellungen!$A$5:$X$5,0),0))=FALSE,SUMIF(Kalkulation!$A$6:$A$40,Kasse!O$5&amp;"*",Kalkulation!$C$6:$C$40)*VLOOKUP($A96,Bestellungen!$6:$1048576,MATCH(Kasse!O$5,Bestellungen!$A$5:$X$5,0),0),"")</f>
        <v/>
      </c>
      <c r="P96" s="26" t="str">
        <f>IF(ISERROR(VLOOKUP($A96,Bestellungen!$6:$1048576,MATCH(Kasse!P$5,Bestellungen!$A$5:$X$5,0),0))=FALSE,SUMIF(Kalkulation!$A$6:$A$40,Kasse!P$5&amp;"*",Kalkulation!$C$6:$C$40)*VLOOKUP($A96,Bestellungen!$6:$1048576,MATCH(Kasse!P$5,Bestellungen!$A$5:$X$5,0),0),"")</f>
        <v/>
      </c>
      <c r="Q96" s="26" t="str">
        <f>IF(ISERROR(VLOOKUP($A96,Bestellungen!$6:$1048576,MATCH(Kasse!Q$5,Bestellungen!$A$5:$X$5,0),0))=FALSE,SUMIF(Kalkulation!$A$6:$A$40,Kasse!Q$5&amp;"*",Kalkulation!$C$6:$C$40)*VLOOKUP($A96,Bestellungen!$6:$1048576,MATCH(Kasse!Q$5,Bestellungen!$A$5:$X$5,0),0),"")</f>
        <v/>
      </c>
      <c r="R96" s="26" t="str">
        <f>IF(ISERROR(VLOOKUP($A96,Bestellungen!$6:$1048576,MATCH(Kasse!R$5,Bestellungen!$A$5:$X$5,0),0))=FALSE,SUMIF(Kalkulation!$A$6:$A$40,Kasse!R$5&amp;"*",Kalkulation!$C$6:$C$40)*VLOOKUP($A96,Bestellungen!$6:$1048576,MATCH(Kasse!R$5,Bestellungen!$A$5:$X$5,0),0),"")</f>
        <v/>
      </c>
      <c r="S96" s="26" t="str">
        <f>IF(ISERROR(VLOOKUP($A96,Bestellungen!$6:$1048576,MATCH(Kasse!S$5,Bestellungen!$A$5:$X$5,0),0))=FALSE,SUMIF(Kalkulation!$A$6:$A$40,Kasse!S$5&amp;"*",Kalkulation!$C$6:$C$40)*VLOOKUP($A96,Bestellungen!$6:$1048576,MATCH(Kasse!S$5,Bestellungen!$A$5:$X$5,0),0),"")</f>
        <v/>
      </c>
      <c r="T96" s="26" t="str">
        <f>IF(ISERROR(VLOOKUP($A96,Bestellungen!$6:$1048576,MATCH(Kasse!T$5,Bestellungen!$A$5:$X$5,0),0))=FALSE,SUMIF(Kalkulation!$A$6:$A$40,Kasse!T$5&amp;"*",Kalkulation!$C$6:$C$40)*VLOOKUP($A96,Bestellungen!$6:$1048576,MATCH(Kasse!T$5,Bestellungen!$A$5:$X$5,0),0),"")</f>
        <v/>
      </c>
      <c r="U96" s="26" t="str">
        <f t="shared" si="2"/>
        <v/>
      </c>
      <c r="W96" s="26" t="str">
        <f t="shared" si="3"/>
        <v/>
      </c>
      <c r="X96" s="26"/>
      <c r="Y96" s="26"/>
      <c r="Z96" s="26"/>
      <c r="AA96" s="26"/>
    </row>
    <row r="97" spans="1:27" x14ac:dyDescent="0.25">
      <c r="A97" t="str">
        <f>IF(LEN(Bestellungen!$A97)&gt;0,Bestellungen!$A97,"")</f>
        <v/>
      </c>
      <c r="B97" s="26" t="str">
        <f>IF(ISERROR(VLOOKUP($A97,Bestellungen!$6:$1048576,MATCH(Kasse!B$5,Bestellungen!$A$5:$X$5,0),0))=FALSE,SUMIF(Kalkulation!$A$6:$A$40,Kasse!B$5&amp;"*",Kalkulation!$C$6:$C$40)*VLOOKUP($A97,Bestellungen!$6:$1048576,MATCH(Kasse!B$5,Bestellungen!$A$5:$X$5,0),0),"")</f>
        <v/>
      </c>
      <c r="C97" s="26" t="str">
        <f>IF(ISERROR(VLOOKUP($A97,Bestellungen!$6:$1048576,MATCH(Kasse!C$5,Bestellungen!$A$5:$X$5,0),0))=FALSE,SUMIF(Kalkulation!$A$6:$A$40,Kasse!C$5&amp;"*",Kalkulation!$C$6:$C$40)*VLOOKUP($A97,Bestellungen!$6:$1048576,MATCH(Kasse!C$5,Bestellungen!$A$5:$X$5,0),0),"")</f>
        <v/>
      </c>
      <c r="D97" s="26" t="str">
        <f>IF(ISERROR(VLOOKUP($A97,Bestellungen!$6:$1048576,MATCH(Kasse!D$5,Bestellungen!$A$5:$X$5,0),0))=FALSE,SUMIF(Kalkulation!$A$6:$A$40,Kasse!D$5&amp;"*",Kalkulation!$C$6:$C$40)*VLOOKUP($A97,Bestellungen!$6:$1048576,MATCH(Kasse!D$5,Bestellungen!$A$5:$X$5,0),0),"")</f>
        <v/>
      </c>
      <c r="E97" s="26" t="str">
        <f>IF(ISERROR(VLOOKUP($A97,Bestellungen!$6:$1048576,MATCH(Kasse!E$5,Bestellungen!$A$5:$X$5,0),0))=FALSE,SUMIF(Kalkulation!$A$6:$A$40,Kasse!E$5&amp;"*",Kalkulation!$C$6:$C$40)*VLOOKUP($A97,Bestellungen!$6:$1048576,MATCH(Kasse!E$5,Bestellungen!$A$5:$X$5,0),0),"")</f>
        <v/>
      </c>
      <c r="F97" s="26" t="str">
        <f>IF(ISERROR(VLOOKUP($A97,Bestellungen!$6:$1048576,MATCH(Kasse!F$5,Bestellungen!$A$5:$X$5,0),0))=FALSE,SUMIF(Kalkulation!$A$6:$A$40,Kasse!F$5&amp;"*",Kalkulation!$C$6:$C$40)*VLOOKUP($A97,Bestellungen!$6:$1048576,MATCH(Kasse!F$5,Bestellungen!$A$5:$X$5,0),0),"")</f>
        <v/>
      </c>
      <c r="G97" s="26" t="str">
        <f>IF(ISERROR(VLOOKUP($A97,Bestellungen!$6:$1048576,MATCH(Kasse!G$5,Bestellungen!$A$5:$X$5,0),0))=FALSE,SUMIF(Kalkulation!$A$6:$A$40,Kasse!G$5&amp;"*",Kalkulation!$C$6:$C$40)*VLOOKUP($A97,Bestellungen!$6:$1048576,MATCH(Kasse!G$5,Bestellungen!$A$5:$X$5,0),0),"")</f>
        <v/>
      </c>
      <c r="H97" s="26" t="str">
        <f>IF(ISERROR(VLOOKUP($A97,Bestellungen!$6:$1048576,MATCH(Kasse!H$5,Bestellungen!$A$5:$X$5,0),0))=FALSE,SUMIF(Kalkulation!$A$6:$A$40,Kasse!H$5&amp;"*",Kalkulation!$C$6:$C$40)*VLOOKUP($A97,Bestellungen!$6:$1048576,MATCH(Kasse!H$5,Bestellungen!$A$5:$X$5,0),0),"")</f>
        <v/>
      </c>
      <c r="I97" s="26" t="str">
        <f>IF(ISERROR(VLOOKUP($A97,Bestellungen!$6:$1048576,MATCH(Kasse!I$5,Bestellungen!$A$5:$X$5,0),0))=FALSE,SUMIF(Kalkulation!$A$6:$A$40,Kasse!I$5&amp;"*",Kalkulation!$C$6:$C$40)*VLOOKUP($A97,Bestellungen!$6:$1048576,MATCH(Kasse!I$5,Bestellungen!$A$5:$X$5,0),0),"")</f>
        <v/>
      </c>
      <c r="J97" s="26" t="str">
        <f>IF(ISERROR(VLOOKUP($A97,Bestellungen!$6:$1048576,MATCH(Kasse!J$5,Bestellungen!$A$5:$X$5,0),0))=FALSE,SUMIF(Kalkulation!$A$6:$A$40,Kasse!J$5&amp;"*",Kalkulation!$C$6:$C$40)*VLOOKUP($A97,Bestellungen!$6:$1048576,MATCH(Kasse!J$5,Bestellungen!$A$5:$X$5,0),0),"")</f>
        <v/>
      </c>
      <c r="K97" s="26" t="str">
        <f>IF(ISERROR(VLOOKUP($A97,Bestellungen!$6:$1048576,MATCH(Kasse!K$5,Bestellungen!$A$5:$X$5,0),0))=FALSE,SUMIF(Kalkulation!$A$6:$A$40,Kasse!K$5&amp;"*",Kalkulation!$C$6:$C$40)*VLOOKUP($A97,Bestellungen!$6:$1048576,MATCH(Kasse!K$5,Bestellungen!$A$5:$X$5,0),0),"")</f>
        <v/>
      </c>
      <c r="L97" s="26" t="str">
        <f>IF(ISERROR(VLOOKUP($A97,Bestellungen!$6:$1048576,MATCH(Kasse!L$5,Bestellungen!$A$5:$X$5,0),0))=FALSE,SUMIF(Kalkulation!$A$6:$A$40,Kasse!L$5&amp;"*",Kalkulation!$C$6:$C$40)*VLOOKUP($A97,Bestellungen!$6:$1048576,MATCH(Kasse!L$5,Bestellungen!$A$5:$X$5,0),0),"")</f>
        <v/>
      </c>
      <c r="M97" s="26" t="str">
        <f>IF(ISERROR(VLOOKUP($A97,Bestellungen!$6:$1048576,MATCH(Kasse!M$5,Bestellungen!$A$5:$X$5,0),0))=FALSE,SUMIF(Kalkulation!$A$6:$A$40,Kasse!M$5&amp;"*",Kalkulation!$C$6:$C$40)*VLOOKUP($A97,Bestellungen!$6:$1048576,MATCH(Kasse!M$5,Bestellungen!$A$5:$X$5,0),0),"")</f>
        <v/>
      </c>
      <c r="N97" s="26" t="str">
        <f>IF(ISERROR(VLOOKUP($A97,Bestellungen!$6:$1048576,MATCH(Kasse!N$5,Bestellungen!$A$5:$X$5,0),0))=FALSE,SUMIF(Kalkulation!$A$6:$A$40,Kasse!N$5&amp;"*",Kalkulation!$C$6:$C$40)*VLOOKUP($A97,Bestellungen!$6:$1048576,MATCH(Kasse!N$5,Bestellungen!$A$5:$X$5,0),0),"")</f>
        <v/>
      </c>
      <c r="O97" s="26" t="str">
        <f>IF(ISERROR(VLOOKUP($A97,Bestellungen!$6:$1048576,MATCH(Kasse!O$5,Bestellungen!$A$5:$X$5,0),0))=FALSE,SUMIF(Kalkulation!$A$6:$A$40,Kasse!O$5&amp;"*",Kalkulation!$C$6:$C$40)*VLOOKUP($A97,Bestellungen!$6:$1048576,MATCH(Kasse!O$5,Bestellungen!$A$5:$X$5,0),0),"")</f>
        <v/>
      </c>
      <c r="P97" s="26" t="str">
        <f>IF(ISERROR(VLOOKUP($A97,Bestellungen!$6:$1048576,MATCH(Kasse!P$5,Bestellungen!$A$5:$X$5,0),0))=FALSE,SUMIF(Kalkulation!$A$6:$A$40,Kasse!P$5&amp;"*",Kalkulation!$C$6:$C$40)*VLOOKUP($A97,Bestellungen!$6:$1048576,MATCH(Kasse!P$5,Bestellungen!$A$5:$X$5,0),0),"")</f>
        <v/>
      </c>
      <c r="Q97" s="26" t="str">
        <f>IF(ISERROR(VLOOKUP($A97,Bestellungen!$6:$1048576,MATCH(Kasse!Q$5,Bestellungen!$A$5:$X$5,0),0))=FALSE,SUMIF(Kalkulation!$A$6:$A$40,Kasse!Q$5&amp;"*",Kalkulation!$C$6:$C$40)*VLOOKUP($A97,Bestellungen!$6:$1048576,MATCH(Kasse!Q$5,Bestellungen!$A$5:$X$5,0),0),"")</f>
        <v/>
      </c>
      <c r="R97" s="26" t="str">
        <f>IF(ISERROR(VLOOKUP($A97,Bestellungen!$6:$1048576,MATCH(Kasse!R$5,Bestellungen!$A$5:$X$5,0),0))=FALSE,SUMIF(Kalkulation!$A$6:$A$40,Kasse!R$5&amp;"*",Kalkulation!$C$6:$C$40)*VLOOKUP($A97,Bestellungen!$6:$1048576,MATCH(Kasse!R$5,Bestellungen!$A$5:$X$5,0),0),"")</f>
        <v/>
      </c>
      <c r="S97" s="26" t="str">
        <f>IF(ISERROR(VLOOKUP($A97,Bestellungen!$6:$1048576,MATCH(Kasse!S$5,Bestellungen!$A$5:$X$5,0),0))=FALSE,SUMIF(Kalkulation!$A$6:$A$40,Kasse!S$5&amp;"*",Kalkulation!$C$6:$C$40)*VLOOKUP($A97,Bestellungen!$6:$1048576,MATCH(Kasse!S$5,Bestellungen!$A$5:$X$5,0),0),"")</f>
        <v/>
      </c>
      <c r="T97" s="26" t="str">
        <f>IF(ISERROR(VLOOKUP($A97,Bestellungen!$6:$1048576,MATCH(Kasse!T$5,Bestellungen!$A$5:$X$5,0),0))=FALSE,SUMIF(Kalkulation!$A$6:$A$40,Kasse!T$5&amp;"*",Kalkulation!$C$6:$C$40)*VLOOKUP($A97,Bestellungen!$6:$1048576,MATCH(Kasse!T$5,Bestellungen!$A$5:$X$5,0),0),"")</f>
        <v/>
      </c>
      <c r="U97" s="26" t="str">
        <f t="shared" si="2"/>
        <v/>
      </c>
      <c r="W97" s="26" t="str">
        <f t="shared" si="3"/>
        <v/>
      </c>
      <c r="X97" s="26"/>
      <c r="Y97" s="26"/>
      <c r="Z97" s="26"/>
      <c r="AA97" s="26"/>
    </row>
    <row r="98" spans="1:27" x14ac:dyDescent="0.25">
      <c r="A98" t="str">
        <f>IF(LEN(Bestellungen!$A98)&gt;0,Bestellungen!$A98,"")</f>
        <v/>
      </c>
      <c r="B98" s="26" t="str">
        <f>IF(ISERROR(VLOOKUP($A98,Bestellungen!$6:$1048576,MATCH(Kasse!B$5,Bestellungen!$A$5:$X$5,0),0))=FALSE,SUMIF(Kalkulation!$A$6:$A$40,Kasse!B$5&amp;"*",Kalkulation!$C$6:$C$40)*VLOOKUP($A98,Bestellungen!$6:$1048576,MATCH(Kasse!B$5,Bestellungen!$A$5:$X$5,0),0),"")</f>
        <v/>
      </c>
      <c r="C98" s="26" t="str">
        <f>IF(ISERROR(VLOOKUP($A98,Bestellungen!$6:$1048576,MATCH(Kasse!C$5,Bestellungen!$A$5:$X$5,0),0))=FALSE,SUMIF(Kalkulation!$A$6:$A$40,Kasse!C$5&amp;"*",Kalkulation!$C$6:$C$40)*VLOOKUP($A98,Bestellungen!$6:$1048576,MATCH(Kasse!C$5,Bestellungen!$A$5:$X$5,0),0),"")</f>
        <v/>
      </c>
      <c r="D98" s="26" t="str">
        <f>IF(ISERROR(VLOOKUP($A98,Bestellungen!$6:$1048576,MATCH(Kasse!D$5,Bestellungen!$A$5:$X$5,0),0))=FALSE,SUMIF(Kalkulation!$A$6:$A$40,Kasse!D$5&amp;"*",Kalkulation!$C$6:$C$40)*VLOOKUP($A98,Bestellungen!$6:$1048576,MATCH(Kasse!D$5,Bestellungen!$A$5:$X$5,0),0),"")</f>
        <v/>
      </c>
      <c r="E98" s="26" t="str">
        <f>IF(ISERROR(VLOOKUP($A98,Bestellungen!$6:$1048576,MATCH(Kasse!E$5,Bestellungen!$A$5:$X$5,0),0))=FALSE,SUMIF(Kalkulation!$A$6:$A$40,Kasse!E$5&amp;"*",Kalkulation!$C$6:$C$40)*VLOOKUP($A98,Bestellungen!$6:$1048576,MATCH(Kasse!E$5,Bestellungen!$A$5:$X$5,0),0),"")</f>
        <v/>
      </c>
      <c r="F98" s="26" t="str">
        <f>IF(ISERROR(VLOOKUP($A98,Bestellungen!$6:$1048576,MATCH(Kasse!F$5,Bestellungen!$A$5:$X$5,0),0))=FALSE,SUMIF(Kalkulation!$A$6:$A$40,Kasse!F$5&amp;"*",Kalkulation!$C$6:$C$40)*VLOOKUP($A98,Bestellungen!$6:$1048576,MATCH(Kasse!F$5,Bestellungen!$A$5:$X$5,0),0),"")</f>
        <v/>
      </c>
      <c r="G98" s="26" t="str">
        <f>IF(ISERROR(VLOOKUP($A98,Bestellungen!$6:$1048576,MATCH(Kasse!G$5,Bestellungen!$A$5:$X$5,0),0))=FALSE,SUMIF(Kalkulation!$A$6:$A$40,Kasse!G$5&amp;"*",Kalkulation!$C$6:$C$40)*VLOOKUP($A98,Bestellungen!$6:$1048576,MATCH(Kasse!G$5,Bestellungen!$A$5:$X$5,0),0),"")</f>
        <v/>
      </c>
      <c r="H98" s="26" t="str">
        <f>IF(ISERROR(VLOOKUP($A98,Bestellungen!$6:$1048576,MATCH(Kasse!H$5,Bestellungen!$A$5:$X$5,0),0))=FALSE,SUMIF(Kalkulation!$A$6:$A$40,Kasse!H$5&amp;"*",Kalkulation!$C$6:$C$40)*VLOOKUP($A98,Bestellungen!$6:$1048576,MATCH(Kasse!H$5,Bestellungen!$A$5:$X$5,0),0),"")</f>
        <v/>
      </c>
      <c r="I98" s="26" t="str">
        <f>IF(ISERROR(VLOOKUP($A98,Bestellungen!$6:$1048576,MATCH(Kasse!I$5,Bestellungen!$A$5:$X$5,0),0))=FALSE,SUMIF(Kalkulation!$A$6:$A$40,Kasse!I$5&amp;"*",Kalkulation!$C$6:$C$40)*VLOOKUP($A98,Bestellungen!$6:$1048576,MATCH(Kasse!I$5,Bestellungen!$A$5:$X$5,0),0),"")</f>
        <v/>
      </c>
      <c r="J98" s="26" t="str">
        <f>IF(ISERROR(VLOOKUP($A98,Bestellungen!$6:$1048576,MATCH(Kasse!J$5,Bestellungen!$A$5:$X$5,0),0))=FALSE,SUMIF(Kalkulation!$A$6:$A$40,Kasse!J$5&amp;"*",Kalkulation!$C$6:$C$40)*VLOOKUP($A98,Bestellungen!$6:$1048576,MATCH(Kasse!J$5,Bestellungen!$A$5:$X$5,0),0),"")</f>
        <v/>
      </c>
      <c r="K98" s="26" t="str">
        <f>IF(ISERROR(VLOOKUP($A98,Bestellungen!$6:$1048576,MATCH(Kasse!K$5,Bestellungen!$A$5:$X$5,0),0))=FALSE,SUMIF(Kalkulation!$A$6:$A$40,Kasse!K$5&amp;"*",Kalkulation!$C$6:$C$40)*VLOOKUP($A98,Bestellungen!$6:$1048576,MATCH(Kasse!K$5,Bestellungen!$A$5:$X$5,0),0),"")</f>
        <v/>
      </c>
      <c r="L98" s="26" t="str">
        <f>IF(ISERROR(VLOOKUP($A98,Bestellungen!$6:$1048576,MATCH(Kasse!L$5,Bestellungen!$A$5:$X$5,0),0))=FALSE,SUMIF(Kalkulation!$A$6:$A$40,Kasse!L$5&amp;"*",Kalkulation!$C$6:$C$40)*VLOOKUP($A98,Bestellungen!$6:$1048576,MATCH(Kasse!L$5,Bestellungen!$A$5:$X$5,0),0),"")</f>
        <v/>
      </c>
      <c r="M98" s="26" t="str">
        <f>IF(ISERROR(VLOOKUP($A98,Bestellungen!$6:$1048576,MATCH(Kasse!M$5,Bestellungen!$A$5:$X$5,0),0))=FALSE,SUMIF(Kalkulation!$A$6:$A$40,Kasse!M$5&amp;"*",Kalkulation!$C$6:$C$40)*VLOOKUP($A98,Bestellungen!$6:$1048576,MATCH(Kasse!M$5,Bestellungen!$A$5:$X$5,0),0),"")</f>
        <v/>
      </c>
      <c r="N98" s="26" t="str">
        <f>IF(ISERROR(VLOOKUP($A98,Bestellungen!$6:$1048576,MATCH(Kasse!N$5,Bestellungen!$A$5:$X$5,0),0))=FALSE,SUMIF(Kalkulation!$A$6:$A$40,Kasse!N$5&amp;"*",Kalkulation!$C$6:$C$40)*VLOOKUP($A98,Bestellungen!$6:$1048576,MATCH(Kasse!N$5,Bestellungen!$A$5:$X$5,0),0),"")</f>
        <v/>
      </c>
      <c r="O98" s="26" t="str">
        <f>IF(ISERROR(VLOOKUP($A98,Bestellungen!$6:$1048576,MATCH(Kasse!O$5,Bestellungen!$A$5:$X$5,0),0))=FALSE,SUMIF(Kalkulation!$A$6:$A$40,Kasse!O$5&amp;"*",Kalkulation!$C$6:$C$40)*VLOOKUP($A98,Bestellungen!$6:$1048576,MATCH(Kasse!O$5,Bestellungen!$A$5:$X$5,0),0),"")</f>
        <v/>
      </c>
      <c r="P98" s="26" t="str">
        <f>IF(ISERROR(VLOOKUP($A98,Bestellungen!$6:$1048576,MATCH(Kasse!P$5,Bestellungen!$A$5:$X$5,0),0))=FALSE,SUMIF(Kalkulation!$A$6:$A$40,Kasse!P$5&amp;"*",Kalkulation!$C$6:$C$40)*VLOOKUP($A98,Bestellungen!$6:$1048576,MATCH(Kasse!P$5,Bestellungen!$A$5:$X$5,0),0),"")</f>
        <v/>
      </c>
      <c r="Q98" s="26" t="str">
        <f>IF(ISERROR(VLOOKUP($A98,Bestellungen!$6:$1048576,MATCH(Kasse!Q$5,Bestellungen!$A$5:$X$5,0),0))=FALSE,SUMIF(Kalkulation!$A$6:$A$40,Kasse!Q$5&amp;"*",Kalkulation!$C$6:$C$40)*VLOOKUP($A98,Bestellungen!$6:$1048576,MATCH(Kasse!Q$5,Bestellungen!$A$5:$X$5,0),0),"")</f>
        <v/>
      </c>
      <c r="R98" s="26" t="str">
        <f>IF(ISERROR(VLOOKUP($A98,Bestellungen!$6:$1048576,MATCH(Kasse!R$5,Bestellungen!$A$5:$X$5,0),0))=FALSE,SUMIF(Kalkulation!$A$6:$A$40,Kasse!R$5&amp;"*",Kalkulation!$C$6:$C$40)*VLOOKUP($A98,Bestellungen!$6:$1048576,MATCH(Kasse!R$5,Bestellungen!$A$5:$X$5,0),0),"")</f>
        <v/>
      </c>
      <c r="S98" s="26" t="str">
        <f>IF(ISERROR(VLOOKUP($A98,Bestellungen!$6:$1048576,MATCH(Kasse!S$5,Bestellungen!$A$5:$X$5,0),0))=FALSE,SUMIF(Kalkulation!$A$6:$A$40,Kasse!S$5&amp;"*",Kalkulation!$C$6:$C$40)*VLOOKUP($A98,Bestellungen!$6:$1048576,MATCH(Kasse!S$5,Bestellungen!$A$5:$X$5,0),0),"")</f>
        <v/>
      </c>
      <c r="T98" s="26" t="str">
        <f>IF(ISERROR(VLOOKUP($A98,Bestellungen!$6:$1048576,MATCH(Kasse!T$5,Bestellungen!$A$5:$X$5,0),0))=FALSE,SUMIF(Kalkulation!$A$6:$A$40,Kasse!T$5&amp;"*",Kalkulation!$C$6:$C$40)*VLOOKUP($A98,Bestellungen!$6:$1048576,MATCH(Kasse!T$5,Bestellungen!$A$5:$X$5,0),0),"")</f>
        <v/>
      </c>
      <c r="U98" s="26" t="str">
        <f t="shared" si="2"/>
        <v/>
      </c>
      <c r="W98" s="26" t="str">
        <f t="shared" si="3"/>
        <v/>
      </c>
      <c r="X98" s="26"/>
      <c r="Y98" s="26"/>
      <c r="Z98" s="26"/>
      <c r="AA98" s="26"/>
    </row>
    <row r="99" spans="1:27" x14ac:dyDescent="0.25">
      <c r="A99" t="str">
        <f>IF(LEN(Bestellungen!$A99)&gt;0,Bestellungen!$A99,"")</f>
        <v/>
      </c>
      <c r="B99" s="26" t="str">
        <f>IF(ISERROR(VLOOKUP($A99,Bestellungen!$6:$1048576,MATCH(Kasse!B$5,Bestellungen!$A$5:$X$5,0),0))=FALSE,SUMIF(Kalkulation!$A$6:$A$40,Kasse!B$5&amp;"*",Kalkulation!$C$6:$C$40)*VLOOKUP($A99,Bestellungen!$6:$1048576,MATCH(Kasse!B$5,Bestellungen!$A$5:$X$5,0),0),"")</f>
        <v/>
      </c>
      <c r="C99" s="26" t="str">
        <f>IF(ISERROR(VLOOKUP($A99,Bestellungen!$6:$1048576,MATCH(Kasse!C$5,Bestellungen!$A$5:$X$5,0),0))=FALSE,SUMIF(Kalkulation!$A$6:$A$40,Kasse!C$5&amp;"*",Kalkulation!$C$6:$C$40)*VLOOKUP($A99,Bestellungen!$6:$1048576,MATCH(Kasse!C$5,Bestellungen!$A$5:$X$5,0),0),"")</f>
        <v/>
      </c>
      <c r="D99" s="26" t="str">
        <f>IF(ISERROR(VLOOKUP($A99,Bestellungen!$6:$1048576,MATCH(Kasse!D$5,Bestellungen!$A$5:$X$5,0),0))=FALSE,SUMIF(Kalkulation!$A$6:$A$40,Kasse!D$5&amp;"*",Kalkulation!$C$6:$C$40)*VLOOKUP($A99,Bestellungen!$6:$1048576,MATCH(Kasse!D$5,Bestellungen!$A$5:$X$5,0),0),"")</f>
        <v/>
      </c>
      <c r="E99" s="26" t="str">
        <f>IF(ISERROR(VLOOKUP($A99,Bestellungen!$6:$1048576,MATCH(Kasse!E$5,Bestellungen!$A$5:$X$5,0),0))=FALSE,SUMIF(Kalkulation!$A$6:$A$40,Kasse!E$5&amp;"*",Kalkulation!$C$6:$C$40)*VLOOKUP($A99,Bestellungen!$6:$1048576,MATCH(Kasse!E$5,Bestellungen!$A$5:$X$5,0),0),"")</f>
        <v/>
      </c>
      <c r="F99" s="26" t="str">
        <f>IF(ISERROR(VLOOKUP($A99,Bestellungen!$6:$1048576,MATCH(Kasse!F$5,Bestellungen!$A$5:$X$5,0),0))=FALSE,SUMIF(Kalkulation!$A$6:$A$40,Kasse!F$5&amp;"*",Kalkulation!$C$6:$C$40)*VLOOKUP($A99,Bestellungen!$6:$1048576,MATCH(Kasse!F$5,Bestellungen!$A$5:$X$5,0),0),"")</f>
        <v/>
      </c>
      <c r="G99" s="26" t="str">
        <f>IF(ISERROR(VLOOKUP($A99,Bestellungen!$6:$1048576,MATCH(Kasse!G$5,Bestellungen!$A$5:$X$5,0),0))=FALSE,SUMIF(Kalkulation!$A$6:$A$40,Kasse!G$5&amp;"*",Kalkulation!$C$6:$C$40)*VLOOKUP($A99,Bestellungen!$6:$1048576,MATCH(Kasse!G$5,Bestellungen!$A$5:$X$5,0),0),"")</f>
        <v/>
      </c>
      <c r="H99" s="26" t="str">
        <f>IF(ISERROR(VLOOKUP($A99,Bestellungen!$6:$1048576,MATCH(Kasse!H$5,Bestellungen!$A$5:$X$5,0),0))=FALSE,SUMIF(Kalkulation!$A$6:$A$40,Kasse!H$5&amp;"*",Kalkulation!$C$6:$C$40)*VLOOKUP($A99,Bestellungen!$6:$1048576,MATCH(Kasse!H$5,Bestellungen!$A$5:$X$5,0),0),"")</f>
        <v/>
      </c>
      <c r="I99" s="26" t="str">
        <f>IF(ISERROR(VLOOKUP($A99,Bestellungen!$6:$1048576,MATCH(Kasse!I$5,Bestellungen!$A$5:$X$5,0),0))=FALSE,SUMIF(Kalkulation!$A$6:$A$40,Kasse!I$5&amp;"*",Kalkulation!$C$6:$C$40)*VLOOKUP($A99,Bestellungen!$6:$1048576,MATCH(Kasse!I$5,Bestellungen!$A$5:$X$5,0),0),"")</f>
        <v/>
      </c>
      <c r="J99" s="26" t="str">
        <f>IF(ISERROR(VLOOKUP($A99,Bestellungen!$6:$1048576,MATCH(Kasse!J$5,Bestellungen!$A$5:$X$5,0),0))=FALSE,SUMIF(Kalkulation!$A$6:$A$40,Kasse!J$5&amp;"*",Kalkulation!$C$6:$C$40)*VLOOKUP($A99,Bestellungen!$6:$1048576,MATCH(Kasse!J$5,Bestellungen!$A$5:$X$5,0),0),"")</f>
        <v/>
      </c>
      <c r="K99" s="26" t="str">
        <f>IF(ISERROR(VLOOKUP($A99,Bestellungen!$6:$1048576,MATCH(Kasse!K$5,Bestellungen!$A$5:$X$5,0),0))=FALSE,SUMIF(Kalkulation!$A$6:$A$40,Kasse!K$5&amp;"*",Kalkulation!$C$6:$C$40)*VLOOKUP($A99,Bestellungen!$6:$1048576,MATCH(Kasse!K$5,Bestellungen!$A$5:$X$5,0),0),"")</f>
        <v/>
      </c>
      <c r="L99" s="26" t="str">
        <f>IF(ISERROR(VLOOKUP($A99,Bestellungen!$6:$1048576,MATCH(Kasse!L$5,Bestellungen!$A$5:$X$5,0),0))=FALSE,SUMIF(Kalkulation!$A$6:$A$40,Kasse!L$5&amp;"*",Kalkulation!$C$6:$C$40)*VLOOKUP($A99,Bestellungen!$6:$1048576,MATCH(Kasse!L$5,Bestellungen!$A$5:$X$5,0),0),"")</f>
        <v/>
      </c>
      <c r="M99" s="26" t="str">
        <f>IF(ISERROR(VLOOKUP($A99,Bestellungen!$6:$1048576,MATCH(Kasse!M$5,Bestellungen!$A$5:$X$5,0),0))=FALSE,SUMIF(Kalkulation!$A$6:$A$40,Kasse!M$5&amp;"*",Kalkulation!$C$6:$C$40)*VLOOKUP($A99,Bestellungen!$6:$1048576,MATCH(Kasse!M$5,Bestellungen!$A$5:$X$5,0),0),"")</f>
        <v/>
      </c>
      <c r="N99" s="26" t="str">
        <f>IF(ISERROR(VLOOKUP($A99,Bestellungen!$6:$1048576,MATCH(Kasse!N$5,Bestellungen!$A$5:$X$5,0),0))=FALSE,SUMIF(Kalkulation!$A$6:$A$40,Kasse!N$5&amp;"*",Kalkulation!$C$6:$C$40)*VLOOKUP($A99,Bestellungen!$6:$1048576,MATCH(Kasse!N$5,Bestellungen!$A$5:$X$5,0),0),"")</f>
        <v/>
      </c>
      <c r="O99" s="26" t="str">
        <f>IF(ISERROR(VLOOKUP($A99,Bestellungen!$6:$1048576,MATCH(Kasse!O$5,Bestellungen!$A$5:$X$5,0),0))=FALSE,SUMIF(Kalkulation!$A$6:$A$40,Kasse!O$5&amp;"*",Kalkulation!$C$6:$C$40)*VLOOKUP($A99,Bestellungen!$6:$1048576,MATCH(Kasse!O$5,Bestellungen!$A$5:$X$5,0),0),"")</f>
        <v/>
      </c>
      <c r="P99" s="26" t="str">
        <f>IF(ISERROR(VLOOKUP($A99,Bestellungen!$6:$1048576,MATCH(Kasse!P$5,Bestellungen!$A$5:$X$5,0),0))=FALSE,SUMIF(Kalkulation!$A$6:$A$40,Kasse!P$5&amp;"*",Kalkulation!$C$6:$C$40)*VLOOKUP($A99,Bestellungen!$6:$1048576,MATCH(Kasse!P$5,Bestellungen!$A$5:$X$5,0),0),"")</f>
        <v/>
      </c>
      <c r="Q99" s="26" t="str">
        <f>IF(ISERROR(VLOOKUP($A99,Bestellungen!$6:$1048576,MATCH(Kasse!Q$5,Bestellungen!$A$5:$X$5,0),0))=FALSE,SUMIF(Kalkulation!$A$6:$A$40,Kasse!Q$5&amp;"*",Kalkulation!$C$6:$C$40)*VLOOKUP($A99,Bestellungen!$6:$1048576,MATCH(Kasse!Q$5,Bestellungen!$A$5:$X$5,0),0),"")</f>
        <v/>
      </c>
      <c r="R99" s="26" t="str">
        <f>IF(ISERROR(VLOOKUP($A99,Bestellungen!$6:$1048576,MATCH(Kasse!R$5,Bestellungen!$A$5:$X$5,0),0))=FALSE,SUMIF(Kalkulation!$A$6:$A$40,Kasse!R$5&amp;"*",Kalkulation!$C$6:$C$40)*VLOOKUP($A99,Bestellungen!$6:$1048576,MATCH(Kasse!R$5,Bestellungen!$A$5:$X$5,0),0),"")</f>
        <v/>
      </c>
      <c r="S99" s="26" t="str">
        <f>IF(ISERROR(VLOOKUP($A99,Bestellungen!$6:$1048576,MATCH(Kasse!S$5,Bestellungen!$A$5:$X$5,0),0))=FALSE,SUMIF(Kalkulation!$A$6:$A$40,Kasse!S$5&amp;"*",Kalkulation!$C$6:$C$40)*VLOOKUP($A99,Bestellungen!$6:$1048576,MATCH(Kasse!S$5,Bestellungen!$A$5:$X$5,0),0),"")</f>
        <v/>
      </c>
      <c r="T99" s="26" t="str">
        <f>IF(ISERROR(VLOOKUP($A99,Bestellungen!$6:$1048576,MATCH(Kasse!T$5,Bestellungen!$A$5:$X$5,0),0))=FALSE,SUMIF(Kalkulation!$A$6:$A$40,Kasse!T$5&amp;"*",Kalkulation!$C$6:$C$40)*VLOOKUP($A99,Bestellungen!$6:$1048576,MATCH(Kasse!T$5,Bestellungen!$A$5:$X$5,0),0),"")</f>
        <v/>
      </c>
      <c r="U99" s="26" t="str">
        <f t="shared" si="2"/>
        <v/>
      </c>
      <c r="W99" s="26" t="str">
        <f t="shared" si="3"/>
        <v/>
      </c>
      <c r="X99" s="26"/>
      <c r="Y99" s="26"/>
      <c r="Z99" s="26"/>
      <c r="AA99" s="26"/>
    </row>
    <row r="100" spans="1:27" x14ac:dyDescent="0.25">
      <c r="A100" t="str">
        <f>IF(LEN(Bestellungen!$A100)&gt;0,Bestellungen!$A100,"")</f>
        <v/>
      </c>
      <c r="B100" s="26" t="str">
        <f>IF(ISERROR(VLOOKUP($A100,Bestellungen!$6:$1048576,MATCH(Kasse!B$5,Bestellungen!$A$5:$X$5,0),0))=FALSE,SUMIF(Kalkulation!$A$6:$A$40,Kasse!B$5&amp;"*",Kalkulation!$C$6:$C$40)*VLOOKUP($A100,Bestellungen!$6:$1048576,MATCH(Kasse!B$5,Bestellungen!$A$5:$X$5,0),0),"")</f>
        <v/>
      </c>
      <c r="C100" s="26" t="str">
        <f>IF(ISERROR(VLOOKUP($A100,Bestellungen!$6:$1048576,MATCH(Kasse!C$5,Bestellungen!$A$5:$X$5,0),0))=FALSE,SUMIF(Kalkulation!$A$6:$A$40,Kasse!C$5&amp;"*",Kalkulation!$C$6:$C$40)*VLOOKUP($A100,Bestellungen!$6:$1048576,MATCH(Kasse!C$5,Bestellungen!$A$5:$X$5,0),0),"")</f>
        <v/>
      </c>
      <c r="D100" s="26" t="str">
        <f>IF(ISERROR(VLOOKUP($A100,Bestellungen!$6:$1048576,MATCH(Kasse!D$5,Bestellungen!$A$5:$X$5,0),0))=FALSE,SUMIF(Kalkulation!$A$6:$A$40,Kasse!D$5&amp;"*",Kalkulation!$C$6:$C$40)*VLOOKUP($A100,Bestellungen!$6:$1048576,MATCH(Kasse!D$5,Bestellungen!$A$5:$X$5,0),0),"")</f>
        <v/>
      </c>
      <c r="E100" s="26" t="str">
        <f>IF(ISERROR(VLOOKUP($A100,Bestellungen!$6:$1048576,MATCH(Kasse!E$5,Bestellungen!$A$5:$X$5,0),0))=FALSE,SUMIF(Kalkulation!$A$6:$A$40,Kasse!E$5&amp;"*",Kalkulation!$C$6:$C$40)*VLOOKUP($A100,Bestellungen!$6:$1048576,MATCH(Kasse!E$5,Bestellungen!$A$5:$X$5,0),0),"")</f>
        <v/>
      </c>
      <c r="F100" s="26" t="str">
        <f>IF(ISERROR(VLOOKUP($A100,Bestellungen!$6:$1048576,MATCH(Kasse!F$5,Bestellungen!$A$5:$X$5,0),0))=FALSE,SUMIF(Kalkulation!$A$6:$A$40,Kasse!F$5&amp;"*",Kalkulation!$C$6:$C$40)*VLOOKUP($A100,Bestellungen!$6:$1048576,MATCH(Kasse!F$5,Bestellungen!$A$5:$X$5,0),0),"")</f>
        <v/>
      </c>
      <c r="G100" s="26" t="str">
        <f>IF(ISERROR(VLOOKUP($A100,Bestellungen!$6:$1048576,MATCH(Kasse!G$5,Bestellungen!$A$5:$X$5,0),0))=FALSE,SUMIF(Kalkulation!$A$6:$A$40,Kasse!G$5&amp;"*",Kalkulation!$C$6:$C$40)*VLOOKUP($A100,Bestellungen!$6:$1048576,MATCH(Kasse!G$5,Bestellungen!$A$5:$X$5,0),0),"")</f>
        <v/>
      </c>
      <c r="H100" s="26" t="str">
        <f>IF(ISERROR(VLOOKUP($A100,Bestellungen!$6:$1048576,MATCH(Kasse!H$5,Bestellungen!$A$5:$X$5,0),0))=FALSE,SUMIF(Kalkulation!$A$6:$A$40,Kasse!H$5&amp;"*",Kalkulation!$C$6:$C$40)*VLOOKUP($A100,Bestellungen!$6:$1048576,MATCH(Kasse!H$5,Bestellungen!$A$5:$X$5,0),0),"")</f>
        <v/>
      </c>
      <c r="I100" s="26" t="str">
        <f>IF(ISERROR(VLOOKUP($A100,Bestellungen!$6:$1048576,MATCH(Kasse!I$5,Bestellungen!$A$5:$X$5,0),0))=FALSE,SUMIF(Kalkulation!$A$6:$A$40,Kasse!I$5&amp;"*",Kalkulation!$C$6:$C$40)*VLOOKUP($A100,Bestellungen!$6:$1048576,MATCH(Kasse!I$5,Bestellungen!$A$5:$X$5,0),0),"")</f>
        <v/>
      </c>
      <c r="J100" s="26" t="str">
        <f>IF(ISERROR(VLOOKUP($A100,Bestellungen!$6:$1048576,MATCH(Kasse!J$5,Bestellungen!$A$5:$X$5,0),0))=FALSE,SUMIF(Kalkulation!$A$6:$A$40,Kasse!J$5&amp;"*",Kalkulation!$C$6:$C$40)*VLOOKUP($A100,Bestellungen!$6:$1048576,MATCH(Kasse!J$5,Bestellungen!$A$5:$X$5,0),0),"")</f>
        <v/>
      </c>
      <c r="K100" s="26" t="str">
        <f>IF(ISERROR(VLOOKUP($A100,Bestellungen!$6:$1048576,MATCH(Kasse!K$5,Bestellungen!$A$5:$X$5,0),0))=FALSE,SUMIF(Kalkulation!$A$6:$A$40,Kasse!K$5&amp;"*",Kalkulation!$C$6:$C$40)*VLOOKUP($A100,Bestellungen!$6:$1048576,MATCH(Kasse!K$5,Bestellungen!$A$5:$X$5,0),0),"")</f>
        <v/>
      </c>
      <c r="L100" s="26" t="str">
        <f>IF(ISERROR(VLOOKUP($A100,Bestellungen!$6:$1048576,MATCH(Kasse!L$5,Bestellungen!$A$5:$X$5,0),0))=FALSE,SUMIF(Kalkulation!$A$6:$A$40,Kasse!L$5&amp;"*",Kalkulation!$C$6:$C$40)*VLOOKUP($A100,Bestellungen!$6:$1048576,MATCH(Kasse!L$5,Bestellungen!$A$5:$X$5,0),0),"")</f>
        <v/>
      </c>
      <c r="M100" s="26" t="str">
        <f>IF(ISERROR(VLOOKUP($A100,Bestellungen!$6:$1048576,MATCH(Kasse!M$5,Bestellungen!$A$5:$X$5,0),0))=FALSE,SUMIF(Kalkulation!$A$6:$A$40,Kasse!M$5&amp;"*",Kalkulation!$C$6:$C$40)*VLOOKUP($A100,Bestellungen!$6:$1048576,MATCH(Kasse!M$5,Bestellungen!$A$5:$X$5,0),0),"")</f>
        <v/>
      </c>
      <c r="N100" s="26" t="str">
        <f>IF(ISERROR(VLOOKUP($A100,Bestellungen!$6:$1048576,MATCH(Kasse!N$5,Bestellungen!$A$5:$X$5,0),0))=FALSE,SUMIF(Kalkulation!$A$6:$A$40,Kasse!N$5&amp;"*",Kalkulation!$C$6:$C$40)*VLOOKUP($A100,Bestellungen!$6:$1048576,MATCH(Kasse!N$5,Bestellungen!$A$5:$X$5,0),0),"")</f>
        <v/>
      </c>
      <c r="O100" s="26" t="str">
        <f>IF(ISERROR(VLOOKUP($A100,Bestellungen!$6:$1048576,MATCH(Kasse!O$5,Bestellungen!$A$5:$X$5,0),0))=FALSE,SUMIF(Kalkulation!$A$6:$A$40,Kasse!O$5&amp;"*",Kalkulation!$C$6:$C$40)*VLOOKUP($A100,Bestellungen!$6:$1048576,MATCH(Kasse!O$5,Bestellungen!$A$5:$X$5,0),0),"")</f>
        <v/>
      </c>
      <c r="P100" s="26" t="str">
        <f>IF(ISERROR(VLOOKUP($A100,Bestellungen!$6:$1048576,MATCH(Kasse!P$5,Bestellungen!$A$5:$X$5,0),0))=FALSE,SUMIF(Kalkulation!$A$6:$A$40,Kasse!P$5&amp;"*",Kalkulation!$C$6:$C$40)*VLOOKUP($A100,Bestellungen!$6:$1048576,MATCH(Kasse!P$5,Bestellungen!$A$5:$X$5,0),0),"")</f>
        <v/>
      </c>
      <c r="Q100" s="26" t="str">
        <f>IF(ISERROR(VLOOKUP($A100,Bestellungen!$6:$1048576,MATCH(Kasse!Q$5,Bestellungen!$A$5:$X$5,0),0))=FALSE,SUMIF(Kalkulation!$A$6:$A$40,Kasse!Q$5&amp;"*",Kalkulation!$C$6:$C$40)*VLOOKUP($A100,Bestellungen!$6:$1048576,MATCH(Kasse!Q$5,Bestellungen!$A$5:$X$5,0),0),"")</f>
        <v/>
      </c>
      <c r="R100" s="26" t="str">
        <f>IF(ISERROR(VLOOKUP($A100,Bestellungen!$6:$1048576,MATCH(Kasse!R$5,Bestellungen!$A$5:$X$5,0),0))=FALSE,SUMIF(Kalkulation!$A$6:$A$40,Kasse!R$5&amp;"*",Kalkulation!$C$6:$C$40)*VLOOKUP($A100,Bestellungen!$6:$1048576,MATCH(Kasse!R$5,Bestellungen!$A$5:$X$5,0),0),"")</f>
        <v/>
      </c>
      <c r="S100" s="26" t="str">
        <f>IF(ISERROR(VLOOKUP($A100,Bestellungen!$6:$1048576,MATCH(Kasse!S$5,Bestellungen!$A$5:$X$5,0),0))=FALSE,SUMIF(Kalkulation!$A$6:$A$40,Kasse!S$5&amp;"*",Kalkulation!$C$6:$C$40)*VLOOKUP($A100,Bestellungen!$6:$1048576,MATCH(Kasse!S$5,Bestellungen!$A$5:$X$5,0),0),"")</f>
        <v/>
      </c>
      <c r="T100" s="26" t="str">
        <f>IF(ISERROR(VLOOKUP($A100,Bestellungen!$6:$1048576,MATCH(Kasse!T$5,Bestellungen!$A$5:$X$5,0),0))=FALSE,SUMIF(Kalkulation!$A$6:$A$40,Kasse!T$5&amp;"*",Kalkulation!$C$6:$C$40)*VLOOKUP($A100,Bestellungen!$6:$1048576,MATCH(Kasse!T$5,Bestellungen!$A$5:$X$5,0),0),"")</f>
        <v/>
      </c>
      <c r="U100" s="26" t="str">
        <f t="shared" si="2"/>
        <v/>
      </c>
      <c r="W100" s="26" t="str">
        <f t="shared" si="3"/>
        <v/>
      </c>
      <c r="X100" s="26"/>
      <c r="Y100" s="26"/>
      <c r="Z100" s="26"/>
      <c r="AA100" s="26"/>
    </row>
    <row r="101" spans="1:27" x14ac:dyDescent="0.25">
      <c r="A101" t="str">
        <f>IF(LEN(Bestellungen!$A101)&gt;0,Bestellungen!$A101,"")</f>
        <v/>
      </c>
      <c r="B101" s="26" t="str">
        <f>IF(ISERROR(VLOOKUP($A101,Bestellungen!$6:$1048576,MATCH(Kasse!B$5,Bestellungen!$A$5:$X$5,0),0))=FALSE,SUMIF(Kalkulation!$A$6:$A$40,Kasse!B$5&amp;"*",Kalkulation!$C$6:$C$40)*VLOOKUP($A101,Bestellungen!$6:$1048576,MATCH(Kasse!B$5,Bestellungen!$A$5:$X$5,0),0),"")</f>
        <v/>
      </c>
      <c r="C101" s="26" t="str">
        <f>IF(ISERROR(VLOOKUP($A101,Bestellungen!$6:$1048576,MATCH(Kasse!C$5,Bestellungen!$A$5:$X$5,0),0))=FALSE,SUMIF(Kalkulation!$A$6:$A$40,Kasse!C$5&amp;"*",Kalkulation!$C$6:$C$40)*VLOOKUP($A101,Bestellungen!$6:$1048576,MATCH(Kasse!C$5,Bestellungen!$A$5:$X$5,0),0),"")</f>
        <v/>
      </c>
      <c r="D101" s="26" t="str">
        <f>IF(ISERROR(VLOOKUP($A101,Bestellungen!$6:$1048576,MATCH(Kasse!D$5,Bestellungen!$A$5:$X$5,0),0))=FALSE,SUMIF(Kalkulation!$A$6:$A$40,Kasse!D$5&amp;"*",Kalkulation!$C$6:$C$40)*VLOOKUP($A101,Bestellungen!$6:$1048576,MATCH(Kasse!D$5,Bestellungen!$A$5:$X$5,0),0),"")</f>
        <v/>
      </c>
      <c r="E101" s="26" t="str">
        <f>IF(ISERROR(VLOOKUP($A101,Bestellungen!$6:$1048576,MATCH(Kasse!E$5,Bestellungen!$A$5:$X$5,0),0))=FALSE,SUMIF(Kalkulation!$A$6:$A$40,Kasse!E$5&amp;"*",Kalkulation!$C$6:$C$40)*VLOOKUP($A101,Bestellungen!$6:$1048576,MATCH(Kasse!E$5,Bestellungen!$A$5:$X$5,0),0),"")</f>
        <v/>
      </c>
      <c r="F101" s="26" t="str">
        <f>IF(ISERROR(VLOOKUP($A101,Bestellungen!$6:$1048576,MATCH(Kasse!F$5,Bestellungen!$A$5:$X$5,0),0))=FALSE,SUMIF(Kalkulation!$A$6:$A$40,Kasse!F$5&amp;"*",Kalkulation!$C$6:$C$40)*VLOOKUP($A101,Bestellungen!$6:$1048576,MATCH(Kasse!F$5,Bestellungen!$A$5:$X$5,0),0),"")</f>
        <v/>
      </c>
      <c r="G101" s="26" t="str">
        <f>IF(ISERROR(VLOOKUP($A101,Bestellungen!$6:$1048576,MATCH(Kasse!G$5,Bestellungen!$A$5:$X$5,0),0))=FALSE,SUMIF(Kalkulation!$A$6:$A$40,Kasse!G$5&amp;"*",Kalkulation!$C$6:$C$40)*VLOOKUP($A101,Bestellungen!$6:$1048576,MATCH(Kasse!G$5,Bestellungen!$A$5:$X$5,0),0),"")</f>
        <v/>
      </c>
      <c r="H101" s="26" t="str">
        <f>IF(ISERROR(VLOOKUP($A101,Bestellungen!$6:$1048576,MATCH(Kasse!H$5,Bestellungen!$A$5:$X$5,0),0))=FALSE,SUMIF(Kalkulation!$A$6:$A$40,Kasse!H$5&amp;"*",Kalkulation!$C$6:$C$40)*VLOOKUP($A101,Bestellungen!$6:$1048576,MATCH(Kasse!H$5,Bestellungen!$A$5:$X$5,0),0),"")</f>
        <v/>
      </c>
      <c r="I101" s="26" t="str">
        <f>IF(ISERROR(VLOOKUP($A101,Bestellungen!$6:$1048576,MATCH(Kasse!I$5,Bestellungen!$A$5:$X$5,0),0))=FALSE,SUMIF(Kalkulation!$A$6:$A$40,Kasse!I$5&amp;"*",Kalkulation!$C$6:$C$40)*VLOOKUP($A101,Bestellungen!$6:$1048576,MATCH(Kasse!I$5,Bestellungen!$A$5:$X$5,0),0),"")</f>
        <v/>
      </c>
      <c r="J101" s="26" t="str">
        <f>IF(ISERROR(VLOOKUP($A101,Bestellungen!$6:$1048576,MATCH(Kasse!J$5,Bestellungen!$A$5:$X$5,0),0))=FALSE,SUMIF(Kalkulation!$A$6:$A$40,Kasse!J$5&amp;"*",Kalkulation!$C$6:$C$40)*VLOOKUP($A101,Bestellungen!$6:$1048576,MATCH(Kasse!J$5,Bestellungen!$A$5:$X$5,0),0),"")</f>
        <v/>
      </c>
      <c r="K101" s="26" t="str">
        <f>IF(ISERROR(VLOOKUP($A101,Bestellungen!$6:$1048576,MATCH(Kasse!K$5,Bestellungen!$A$5:$X$5,0),0))=FALSE,SUMIF(Kalkulation!$A$6:$A$40,Kasse!K$5&amp;"*",Kalkulation!$C$6:$C$40)*VLOOKUP($A101,Bestellungen!$6:$1048576,MATCH(Kasse!K$5,Bestellungen!$A$5:$X$5,0),0),"")</f>
        <v/>
      </c>
      <c r="L101" s="26" t="str">
        <f>IF(ISERROR(VLOOKUP($A101,Bestellungen!$6:$1048576,MATCH(Kasse!L$5,Bestellungen!$A$5:$X$5,0),0))=FALSE,SUMIF(Kalkulation!$A$6:$A$40,Kasse!L$5&amp;"*",Kalkulation!$C$6:$C$40)*VLOOKUP($A101,Bestellungen!$6:$1048576,MATCH(Kasse!L$5,Bestellungen!$A$5:$X$5,0),0),"")</f>
        <v/>
      </c>
      <c r="M101" s="26" t="str">
        <f>IF(ISERROR(VLOOKUP($A101,Bestellungen!$6:$1048576,MATCH(Kasse!M$5,Bestellungen!$A$5:$X$5,0),0))=FALSE,SUMIF(Kalkulation!$A$6:$A$40,Kasse!M$5&amp;"*",Kalkulation!$C$6:$C$40)*VLOOKUP($A101,Bestellungen!$6:$1048576,MATCH(Kasse!M$5,Bestellungen!$A$5:$X$5,0),0),"")</f>
        <v/>
      </c>
      <c r="N101" s="26" t="str">
        <f>IF(ISERROR(VLOOKUP($A101,Bestellungen!$6:$1048576,MATCH(Kasse!N$5,Bestellungen!$A$5:$X$5,0),0))=FALSE,SUMIF(Kalkulation!$A$6:$A$40,Kasse!N$5&amp;"*",Kalkulation!$C$6:$C$40)*VLOOKUP($A101,Bestellungen!$6:$1048576,MATCH(Kasse!N$5,Bestellungen!$A$5:$X$5,0),0),"")</f>
        <v/>
      </c>
      <c r="O101" s="26" t="str">
        <f>IF(ISERROR(VLOOKUP($A101,Bestellungen!$6:$1048576,MATCH(Kasse!O$5,Bestellungen!$A$5:$X$5,0),0))=FALSE,SUMIF(Kalkulation!$A$6:$A$40,Kasse!O$5&amp;"*",Kalkulation!$C$6:$C$40)*VLOOKUP($A101,Bestellungen!$6:$1048576,MATCH(Kasse!O$5,Bestellungen!$A$5:$X$5,0),0),"")</f>
        <v/>
      </c>
      <c r="P101" s="26" t="str">
        <f>IF(ISERROR(VLOOKUP($A101,Bestellungen!$6:$1048576,MATCH(Kasse!P$5,Bestellungen!$A$5:$X$5,0),0))=FALSE,SUMIF(Kalkulation!$A$6:$A$40,Kasse!P$5&amp;"*",Kalkulation!$C$6:$C$40)*VLOOKUP($A101,Bestellungen!$6:$1048576,MATCH(Kasse!P$5,Bestellungen!$A$5:$X$5,0),0),"")</f>
        <v/>
      </c>
      <c r="Q101" s="26" t="str">
        <f>IF(ISERROR(VLOOKUP($A101,Bestellungen!$6:$1048576,MATCH(Kasse!Q$5,Bestellungen!$A$5:$X$5,0),0))=FALSE,SUMIF(Kalkulation!$A$6:$A$40,Kasse!Q$5&amp;"*",Kalkulation!$C$6:$C$40)*VLOOKUP($A101,Bestellungen!$6:$1048576,MATCH(Kasse!Q$5,Bestellungen!$A$5:$X$5,0),0),"")</f>
        <v/>
      </c>
      <c r="R101" s="26" t="str">
        <f>IF(ISERROR(VLOOKUP($A101,Bestellungen!$6:$1048576,MATCH(Kasse!R$5,Bestellungen!$A$5:$X$5,0),0))=FALSE,SUMIF(Kalkulation!$A$6:$A$40,Kasse!R$5&amp;"*",Kalkulation!$C$6:$C$40)*VLOOKUP($A101,Bestellungen!$6:$1048576,MATCH(Kasse!R$5,Bestellungen!$A$5:$X$5,0),0),"")</f>
        <v/>
      </c>
      <c r="S101" s="26" t="str">
        <f>IF(ISERROR(VLOOKUP($A101,Bestellungen!$6:$1048576,MATCH(Kasse!S$5,Bestellungen!$A$5:$X$5,0),0))=FALSE,SUMIF(Kalkulation!$A$6:$A$40,Kasse!S$5&amp;"*",Kalkulation!$C$6:$C$40)*VLOOKUP($A101,Bestellungen!$6:$1048576,MATCH(Kasse!S$5,Bestellungen!$A$5:$X$5,0),0),"")</f>
        <v/>
      </c>
      <c r="T101" s="26" t="str">
        <f>IF(ISERROR(VLOOKUP($A101,Bestellungen!$6:$1048576,MATCH(Kasse!T$5,Bestellungen!$A$5:$X$5,0),0))=FALSE,SUMIF(Kalkulation!$A$6:$A$40,Kasse!T$5&amp;"*",Kalkulation!$C$6:$C$40)*VLOOKUP($A101,Bestellungen!$6:$1048576,MATCH(Kasse!T$5,Bestellungen!$A$5:$X$5,0),0),"")</f>
        <v/>
      </c>
      <c r="U101" s="26" t="str">
        <f t="shared" si="2"/>
        <v/>
      </c>
      <c r="W101" s="26" t="str">
        <f t="shared" si="3"/>
        <v/>
      </c>
      <c r="X101" s="26"/>
      <c r="Y101" s="26"/>
      <c r="Z101" s="26"/>
      <c r="AA101" s="26"/>
    </row>
    <row r="102" spans="1:27" x14ac:dyDescent="0.25">
      <c r="A102" t="str">
        <f>IF(LEN(Bestellungen!$A102)&gt;0,Bestellungen!$A102,"")</f>
        <v/>
      </c>
      <c r="B102" s="26" t="str">
        <f>IF(ISERROR(VLOOKUP($A102,Bestellungen!$6:$1048576,MATCH(Kasse!B$5,Bestellungen!$A$5:$X$5,0),0))=FALSE,SUMIF(Kalkulation!$A$6:$A$40,Kasse!B$5&amp;"*",Kalkulation!$C$6:$C$40)*VLOOKUP($A102,Bestellungen!$6:$1048576,MATCH(Kasse!B$5,Bestellungen!$A$5:$X$5,0),0),"")</f>
        <v/>
      </c>
      <c r="C102" s="26" t="str">
        <f>IF(ISERROR(VLOOKUP($A102,Bestellungen!$6:$1048576,MATCH(Kasse!C$5,Bestellungen!$A$5:$X$5,0),0))=FALSE,SUMIF(Kalkulation!$A$6:$A$40,Kasse!C$5&amp;"*",Kalkulation!$C$6:$C$40)*VLOOKUP($A102,Bestellungen!$6:$1048576,MATCH(Kasse!C$5,Bestellungen!$A$5:$X$5,0),0),"")</f>
        <v/>
      </c>
      <c r="D102" s="26" t="str">
        <f>IF(ISERROR(VLOOKUP($A102,Bestellungen!$6:$1048576,MATCH(Kasse!D$5,Bestellungen!$A$5:$X$5,0),0))=FALSE,SUMIF(Kalkulation!$A$6:$A$40,Kasse!D$5&amp;"*",Kalkulation!$C$6:$C$40)*VLOOKUP($A102,Bestellungen!$6:$1048576,MATCH(Kasse!D$5,Bestellungen!$A$5:$X$5,0),0),"")</f>
        <v/>
      </c>
      <c r="E102" s="26" t="str">
        <f>IF(ISERROR(VLOOKUP($A102,Bestellungen!$6:$1048576,MATCH(Kasse!E$5,Bestellungen!$A$5:$X$5,0),0))=FALSE,SUMIF(Kalkulation!$A$6:$A$40,Kasse!E$5&amp;"*",Kalkulation!$C$6:$C$40)*VLOOKUP($A102,Bestellungen!$6:$1048576,MATCH(Kasse!E$5,Bestellungen!$A$5:$X$5,0),0),"")</f>
        <v/>
      </c>
      <c r="F102" s="26" t="str">
        <f>IF(ISERROR(VLOOKUP($A102,Bestellungen!$6:$1048576,MATCH(Kasse!F$5,Bestellungen!$A$5:$X$5,0),0))=FALSE,SUMIF(Kalkulation!$A$6:$A$40,Kasse!F$5&amp;"*",Kalkulation!$C$6:$C$40)*VLOOKUP($A102,Bestellungen!$6:$1048576,MATCH(Kasse!F$5,Bestellungen!$A$5:$X$5,0),0),"")</f>
        <v/>
      </c>
      <c r="G102" s="26" t="str">
        <f>IF(ISERROR(VLOOKUP($A102,Bestellungen!$6:$1048576,MATCH(Kasse!G$5,Bestellungen!$A$5:$X$5,0),0))=FALSE,SUMIF(Kalkulation!$A$6:$A$40,Kasse!G$5&amp;"*",Kalkulation!$C$6:$C$40)*VLOOKUP($A102,Bestellungen!$6:$1048576,MATCH(Kasse!G$5,Bestellungen!$A$5:$X$5,0),0),"")</f>
        <v/>
      </c>
      <c r="H102" s="26" t="str">
        <f>IF(ISERROR(VLOOKUP($A102,Bestellungen!$6:$1048576,MATCH(Kasse!H$5,Bestellungen!$A$5:$X$5,0),0))=FALSE,SUMIF(Kalkulation!$A$6:$A$40,Kasse!H$5&amp;"*",Kalkulation!$C$6:$C$40)*VLOOKUP($A102,Bestellungen!$6:$1048576,MATCH(Kasse!H$5,Bestellungen!$A$5:$X$5,0),0),"")</f>
        <v/>
      </c>
      <c r="I102" s="26" t="str">
        <f>IF(ISERROR(VLOOKUP($A102,Bestellungen!$6:$1048576,MATCH(Kasse!I$5,Bestellungen!$A$5:$X$5,0),0))=FALSE,SUMIF(Kalkulation!$A$6:$A$40,Kasse!I$5&amp;"*",Kalkulation!$C$6:$C$40)*VLOOKUP($A102,Bestellungen!$6:$1048576,MATCH(Kasse!I$5,Bestellungen!$A$5:$X$5,0),0),"")</f>
        <v/>
      </c>
      <c r="J102" s="26" t="str">
        <f>IF(ISERROR(VLOOKUP($A102,Bestellungen!$6:$1048576,MATCH(Kasse!J$5,Bestellungen!$A$5:$X$5,0),0))=FALSE,SUMIF(Kalkulation!$A$6:$A$40,Kasse!J$5&amp;"*",Kalkulation!$C$6:$C$40)*VLOOKUP($A102,Bestellungen!$6:$1048576,MATCH(Kasse!J$5,Bestellungen!$A$5:$X$5,0),0),"")</f>
        <v/>
      </c>
      <c r="K102" s="26" t="str">
        <f>IF(ISERROR(VLOOKUP($A102,Bestellungen!$6:$1048576,MATCH(Kasse!K$5,Bestellungen!$A$5:$X$5,0),0))=FALSE,SUMIF(Kalkulation!$A$6:$A$40,Kasse!K$5&amp;"*",Kalkulation!$C$6:$C$40)*VLOOKUP($A102,Bestellungen!$6:$1048576,MATCH(Kasse!K$5,Bestellungen!$A$5:$X$5,0),0),"")</f>
        <v/>
      </c>
      <c r="L102" s="26" t="str">
        <f>IF(ISERROR(VLOOKUP($A102,Bestellungen!$6:$1048576,MATCH(Kasse!L$5,Bestellungen!$A$5:$X$5,0),0))=FALSE,SUMIF(Kalkulation!$A$6:$A$40,Kasse!L$5&amp;"*",Kalkulation!$C$6:$C$40)*VLOOKUP($A102,Bestellungen!$6:$1048576,MATCH(Kasse!L$5,Bestellungen!$A$5:$X$5,0),0),"")</f>
        <v/>
      </c>
      <c r="M102" s="26" t="str">
        <f>IF(ISERROR(VLOOKUP($A102,Bestellungen!$6:$1048576,MATCH(Kasse!M$5,Bestellungen!$A$5:$X$5,0),0))=FALSE,SUMIF(Kalkulation!$A$6:$A$40,Kasse!M$5&amp;"*",Kalkulation!$C$6:$C$40)*VLOOKUP($A102,Bestellungen!$6:$1048576,MATCH(Kasse!M$5,Bestellungen!$A$5:$X$5,0),0),"")</f>
        <v/>
      </c>
      <c r="N102" s="26" t="str">
        <f>IF(ISERROR(VLOOKUP($A102,Bestellungen!$6:$1048576,MATCH(Kasse!N$5,Bestellungen!$A$5:$X$5,0),0))=FALSE,SUMIF(Kalkulation!$A$6:$A$40,Kasse!N$5&amp;"*",Kalkulation!$C$6:$C$40)*VLOOKUP($A102,Bestellungen!$6:$1048576,MATCH(Kasse!N$5,Bestellungen!$A$5:$X$5,0),0),"")</f>
        <v/>
      </c>
      <c r="O102" s="26" t="str">
        <f>IF(ISERROR(VLOOKUP($A102,Bestellungen!$6:$1048576,MATCH(Kasse!O$5,Bestellungen!$A$5:$X$5,0),0))=FALSE,SUMIF(Kalkulation!$A$6:$A$40,Kasse!O$5&amp;"*",Kalkulation!$C$6:$C$40)*VLOOKUP($A102,Bestellungen!$6:$1048576,MATCH(Kasse!O$5,Bestellungen!$A$5:$X$5,0),0),"")</f>
        <v/>
      </c>
      <c r="P102" s="26" t="str">
        <f>IF(ISERROR(VLOOKUP($A102,Bestellungen!$6:$1048576,MATCH(Kasse!P$5,Bestellungen!$A$5:$X$5,0),0))=FALSE,SUMIF(Kalkulation!$A$6:$A$40,Kasse!P$5&amp;"*",Kalkulation!$C$6:$C$40)*VLOOKUP($A102,Bestellungen!$6:$1048576,MATCH(Kasse!P$5,Bestellungen!$A$5:$X$5,0),0),"")</f>
        <v/>
      </c>
      <c r="Q102" s="26" t="str">
        <f>IF(ISERROR(VLOOKUP($A102,Bestellungen!$6:$1048576,MATCH(Kasse!Q$5,Bestellungen!$A$5:$X$5,0),0))=FALSE,SUMIF(Kalkulation!$A$6:$A$40,Kasse!Q$5&amp;"*",Kalkulation!$C$6:$C$40)*VLOOKUP($A102,Bestellungen!$6:$1048576,MATCH(Kasse!Q$5,Bestellungen!$A$5:$X$5,0),0),"")</f>
        <v/>
      </c>
      <c r="R102" s="26" t="str">
        <f>IF(ISERROR(VLOOKUP($A102,Bestellungen!$6:$1048576,MATCH(Kasse!R$5,Bestellungen!$A$5:$X$5,0),0))=FALSE,SUMIF(Kalkulation!$A$6:$A$40,Kasse!R$5&amp;"*",Kalkulation!$C$6:$C$40)*VLOOKUP($A102,Bestellungen!$6:$1048576,MATCH(Kasse!R$5,Bestellungen!$A$5:$X$5,0),0),"")</f>
        <v/>
      </c>
      <c r="S102" s="26" t="str">
        <f>IF(ISERROR(VLOOKUP($A102,Bestellungen!$6:$1048576,MATCH(Kasse!S$5,Bestellungen!$A$5:$X$5,0),0))=FALSE,SUMIF(Kalkulation!$A$6:$A$40,Kasse!S$5&amp;"*",Kalkulation!$C$6:$C$40)*VLOOKUP($A102,Bestellungen!$6:$1048576,MATCH(Kasse!S$5,Bestellungen!$A$5:$X$5,0),0),"")</f>
        <v/>
      </c>
      <c r="T102" s="26" t="str">
        <f>IF(ISERROR(VLOOKUP($A102,Bestellungen!$6:$1048576,MATCH(Kasse!T$5,Bestellungen!$A$5:$X$5,0),0))=FALSE,SUMIF(Kalkulation!$A$6:$A$40,Kasse!T$5&amp;"*",Kalkulation!$C$6:$C$40)*VLOOKUP($A102,Bestellungen!$6:$1048576,MATCH(Kasse!T$5,Bestellungen!$A$5:$X$5,0),0),"")</f>
        <v/>
      </c>
      <c r="U102" s="26" t="str">
        <f t="shared" si="2"/>
        <v/>
      </c>
      <c r="W102" s="26" t="str">
        <f t="shared" si="3"/>
        <v/>
      </c>
      <c r="X102" s="26"/>
      <c r="Y102" s="26"/>
      <c r="Z102" s="26"/>
      <c r="AA102" s="26"/>
    </row>
    <row r="103" spans="1:27" x14ac:dyDescent="0.25">
      <c r="A103" t="str">
        <f>IF(LEN(Bestellungen!$A103)&gt;0,Bestellungen!$A103,"")</f>
        <v/>
      </c>
      <c r="B103" s="26" t="str">
        <f>IF(ISERROR(VLOOKUP($A103,Bestellungen!$6:$1048576,MATCH(Kasse!B$5,Bestellungen!$A$5:$X$5,0),0))=FALSE,SUMIF(Kalkulation!$A$6:$A$40,Kasse!B$5&amp;"*",Kalkulation!$C$6:$C$40)*VLOOKUP($A103,Bestellungen!$6:$1048576,MATCH(Kasse!B$5,Bestellungen!$A$5:$X$5,0),0),"")</f>
        <v/>
      </c>
      <c r="C103" s="26" t="str">
        <f>IF(ISERROR(VLOOKUP($A103,Bestellungen!$6:$1048576,MATCH(Kasse!C$5,Bestellungen!$A$5:$X$5,0),0))=FALSE,SUMIF(Kalkulation!$A$6:$A$40,Kasse!C$5&amp;"*",Kalkulation!$C$6:$C$40)*VLOOKUP($A103,Bestellungen!$6:$1048576,MATCH(Kasse!C$5,Bestellungen!$A$5:$X$5,0),0),"")</f>
        <v/>
      </c>
      <c r="D103" s="26" t="str">
        <f>IF(ISERROR(VLOOKUP($A103,Bestellungen!$6:$1048576,MATCH(Kasse!D$5,Bestellungen!$A$5:$X$5,0),0))=FALSE,SUMIF(Kalkulation!$A$6:$A$40,Kasse!D$5&amp;"*",Kalkulation!$C$6:$C$40)*VLOOKUP($A103,Bestellungen!$6:$1048576,MATCH(Kasse!D$5,Bestellungen!$A$5:$X$5,0),0),"")</f>
        <v/>
      </c>
      <c r="E103" s="26" t="str">
        <f>IF(ISERROR(VLOOKUP($A103,Bestellungen!$6:$1048576,MATCH(Kasse!E$5,Bestellungen!$A$5:$X$5,0),0))=FALSE,SUMIF(Kalkulation!$A$6:$A$40,Kasse!E$5&amp;"*",Kalkulation!$C$6:$C$40)*VLOOKUP($A103,Bestellungen!$6:$1048576,MATCH(Kasse!E$5,Bestellungen!$A$5:$X$5,0),0),"")</f>
        <v/>
      </c>
      <c r="F103" s="26" t="str">
        <f>IF(ISERROR(VLOOKUP($A103,Bestellungen!$6:$1048576,MATCH(Kasse!F$5,Bestellungen!$A$5:$X$5,0),0))=FALSE,SUMIF(Kalkulation!$A$6:$A$40,Kasse!F$5&amp;"*",Kalkulation!$C$6:$C$40)*VLOOKUP($A103,Bestellungen!$6:$1048576,MATCH(Kasse!F$5,Bestellungen!$A$5:$X$5,0),0),"")</f>
        <v/>
      </c>
      <c r="G103" s="26" t="str">
        <f>IF(ISERROR(VLOOKUP($A103,Bestellungen!$6:$1048576,MATCH(Kasse!G$5,Bestellungen!$A$5:$X$5,0),0))=FALSE,SUMIF(Kalkulation!$A$6:$A$40,Kasse!G$5&amp;"*",Kalkulation!$C$6:$C$40)*VLOOKUP($A103,Bestellungen!$6:$1048576,MATCH(Kasse!G$5,Bestellungen!$A$5:$X$5,0),0),"")</f>
        <v/>
      </c>
      <c r="H103" s="26" t="str">
        <f>IF(ISERROR(VLOOKUP($A103,Bestellungen!$6:$1048576,MATCH(Kasse!H$5,Bestellungen!$A$5:$X$5,0),0))=FALSE,SUMIF(Kalkulation!$A$6:$A$40,Kasse!H$5&amp;"*",Kalkulation!$C$6:$C$40)*VLOOKUP($A103,Bestellungen!$6:$1048576,MATCH(Kasse!H$5,Bestellungen!$A$5:$X$5,0),0),"")</f>
        <v/>
      </c>
      <c r="I103" s="26" t="str">
        <f>IF(ISERROR(VLOOKUP($A103,Bestellungen!$6:$1048576,MATCH(Kasse!I$5,Bestellungen!$A$5:$X$5,0),0))=FALSE,SUMIF(Kalkulation!$A$6:$A$40,Kasse!I$5&amp;"*",Kalkulation!$C$6:$C$40)*VLOOKUP($A103,Bestellungen!$6:$1048576,MATCH(Kasse!I$5,Bestellungen!$A$5:$X$5,0),0),"")</f>
        <v/>
      </c>
      <c r="J103" s="26" t="str">
        <f>IF(ISERROR(VLOOKUP($A103,Bestellungen!$6:$1048576,MATCH(Kasse!J$5,Bestellungen!$A$5:$X$5,0),0))=FALSE,SUMIF(Kalkulation!$A$6:$A$40,Kasse!J$5&amp;"*",Kalkulation!$C$6:$C$40)*VLOOKUP($A103,Bestellungen!$6:$1048576,MATCH(Kasse!J$5,Bestellungen!$A$5:$X$5,0),0),"")</f>
        <v/>
      </c>
      <c r="K103" s="26" t="str">
        <f>IF(ISERROR(VLOOKUP($A103,Bestellungen!$6:$1048576,MATCH(Kasse!K$5,Bestellungen!$A$5:$X$5,0),0))=FALSE,SUMIF(Kalkulation!$A$6:$A$40,Kasse!K$5&amp;"*",Kalkulation!$C$6:$C$40)*VLOOKUP($A103,Bestellungen!$6:$1048576,MATCH(Kasse!K$5,Bestellungen!$A$5:$X$5,0),0),"")</f>
        <v/>
      </c>
      <c r="L103" s="26" t="str">
        <f>IF(ISERROR(VLOOKUP($A103,Bestellungen!$6:$1048576,MATCH(Kasse!L$5,Bestellungen!$A$5:$X$5,0),0))=FALSE,SUMIF(Kalkulation!$A$6:$A$40,Kasse!L$5&amp;"*",Kalkulation!$C$6:$C$40)*VLOOKUP($A103,Bestellungen!$6:$1048576,MATCH(Kasse!L$5,Bestellungen!$A$5:$X$5,0),0),"")</f>
        <v/>
      </c>
      <c r="M103" s="26" t="str">
        <f>IF(ISERROR(VLOOKUP($A103,Bestellungen!$6:$1048576,MATCH(Kasse!M$5,Bestellungen!$A$5:$X$5,0),0))=FALSE,SUMIF(Kalkulation!$A$6:$A$40,Kasse!M$5&amp;"*",Kalkulation!$C$6:$C$40)*VLOOKUP($A103,Bestellungen!$6:$1048576,MATCH(Kasse!M$5,Bestellungen!$A$5:$X$5,0),0),"")</f>
        <v/>
      </c>
      <c r="N103" s="26" t="str">
        <f>IF(ISERROR(VLOOKUP($A103,Bestellungen!$6:$1048576,MATCH(Kasse!N$5,Bestellungen!$A$5:$X$5,0),0))=FALSE,SUMIF(Kalkulation!$A$6:$A$40,Kasse!N$5&amp;"*",Kalkulation!$C$6:$C$40)*VLOOKUP($A103,Bestellungen!$6:$1048576,MATCH(Kasse!N$5,Bestellungen!$A$5:$X$5,0),0),"")</f>
        <v/>
      </c>
      <c r="O103" s="26" t="str">
        <f>IF(ISERROR(VLOOKUP($A103,Bestellungen!$6:$1048576,MATCH(Kasse!O$5,Bestellungen!$A$5:$X$5,0),0))=FALSE,SUMIF(Kalkulation!$A$6:$A$40,Kasse!O$5&amp;"*",Kalkulation!$C$6:$C$40)*VLOOKUP($A103,Bestellungen!$6:$1048576,MATCH(Kasse!O$5,Bestellungen!$A$5:$X$5,0),0),"")</f>
        <v/>
      </c>
      <c r="P103" s="26" t="str">
        <f>IF(ISERROR(VLOOKUP($A103,Bestellungen!$6:$1048576,MATCH(Kasse!P$5,Bestellungen!$A$5:$X$5,0),0))=FALSE,SUMIF(Kalkulation!$A$6:$A$40,Kasse!P$5&amp;"*",Kalkulation!$C$6:$C$40)*VLOOKUP($A103,Bestellungen!$6:$1048576,MATCH(Kasse!P$5,Bestellungen!$A$5:$X$5,0),0),"")</f>
        <v/>
      </c>
      <c r="Q103" s="26" t="str">
        <f>IF(ISERROR(VLOOKUP($A103,Bestellungen!$6:$1048576,MATCH(Kasse!Q$5,Bestellungen!$A$5:$X$5,0),0))=FALSE,SUMIF(Kalkulation!$A$6:$A$40,Kasse!Q$5&amp;"*",Kalkulation!$C$6:$C$40)*VLOOKUP($A103,Bestellungen!$6:$1048576,MATCH(Kasse!Q$5,Bestellungen!$A$5:$X$5,0),0),"")</f>
        <v/>
      </c>
      <c r="R103" s="26" t="str">
        <f>IF(ISERROR(VLOOKUP($A103,Bestellungen!$6:$1048576,MATCH(Kasse!R$5,Bestellungen!$A$5:$X$5,0),0))=FALSE,SUMIF(Kalkulation!$A$6:$A$40,Kasse!R$5&amp;"*",Kalkulation!$C$6:$C$40)*VLOOKUP($A103,Bestellungen!$6:$1048576,MATCH(Kasse!R$5,Bestellungen!$A$5:$X$5,0),0),"")</f>
        <v/>
      </c>
      <c r="S103" s="26" t="str">
        <f>IF(ISERROR(VLOOKUP($A103,Bestellungen!$6:$1048576,MATCH(Kasse!S$5,Bestellungen!$A$5:$X$5,0),0))=FALSE,SUMIF(Kalkulation!$A$6:$A$40,Kasse!S$5&amp;"*",Kalkulation!$C$6:$C$40)*VLOOKUP($A103,Bestellungen!$6:$1048576,MATCH(Kasse!S$5,Bestellungen!$A$5:$X$5,0),0),"")</f>
        <v/>
      </c>
      <c r="T103" s="26" t="str">
        <f>IF(ISERROR(VLOOKUP($A103,Bestellungen!$6:$1048576,MATCH(Kasse!T$5,Bestellungen!$A$5:$X$5,0),0))=FALSE,SUMIF(Kalkulation!$A$6:$A$40,Kasse!T$5&amp;"*",Kalkulation!$C$6:$C$40)*VLOOKUP($A103,Bestellungen!$6:$1048576,MATCH(Kasse!T$5,Bestellungen!$A$5:$X$5,0),0),"")</f>
        <v/>
      </c>
      <c r="U103" s="26" t="str">
        <f t="shared" si="2"/>
        <v/>
      </c>
      <c r="W103" s="26" t="str">
        <f t="shared" si="3"/>
        <v/>
      </c>
      <c r="X103" s="26"/>
      <c r="Y103" s="26"/>
      <c r="Z103" s="26"/>
      <c r="AA103" s="26"/>
    </row>
    <row r="104" spans="1:27" x14ac:dyDescent="0.25">
      <c r="A104" t="str">
        <f>IF(LEN(Bestellungen!$A104)&gt;0,Bestellungen!$A104,"")</f>
        <v/>
      </c>
      <c r="B104" s="26" t="str">
        <f>IF(ISERROR(VLOOKUP($A104,Bestellungen!$6:$1048576,MATCH(Kasse!B$5,Bestellungen!$A$5:$X$5,0),0))=FALSE,SUMIF(Kalkulation!$A$6:$A$40,Kasse!B$5&amp;"*",Kalkulation!$C$6:$C$40)*VLOOKUP($A104,Bestellungen!$6:$1048576,MATCH(Kasse!B$5,Bestellungen!$A$5:$X$5,0),0),"")</f>
        <v/>
      </c>
      <c r="C104" s="26" t="str">
        <f>IF(ISERROR(VLOOKUP($A104,Bestellungen!$6:$1048576,MATCH(Kasse!C$5,Bestellungen!$A$5:$X$5,0),0))=FALSE,SUMIF(Kalkulation!$A$6:$A$40,Kasse!C$5&amp;"*",Kalkulation!$C$6:$C$40)*VLOOKUP($A104,Bestellungen!$6:$1048576,MATCH(Kasse!C$5,Bestellungen!$A$5:$X$5,0),0),"")</f>
        <v/>
      </c>
      <c r="D104" s="26" t="str">
        <f>IF(ISERROR(VLOOKUP($A104,Bestellungen!$6:$1048576,MATCH(Kasse!D$5,Bestellungen!$A$5:$X$5,0),0))=FALSE,SUMIF(Kalkulation!$A$6:$A$40,Kasse!D$5&amp;"*",Kalkulation!$C$6:$C$40)*VLOOKUP($A104,Bestellungen!$6:$1048576,MATCH(Kasse!D$5,Bestellungen!$A$5:$X$5,0),0),"")</f>
        <v/>
      </c>
      <c r="E104" s="26" t="str">
        <f>IF(ISERROR(VLOOKUP($A104,Bestellungen!$6:$1048576,MATCH(Kasse!E$5,Bestellungen!$A$5:$X$5,0),0))=FALSE,SUMIF(Kalkulation!$A$6:$A$40,Kasse!E$5&amp;"*",Kalkulation!$C$6:$C$40)*VLOOKUP($A104,Bestellungen!$6:$1048576,MATCH(Kasse!E$5,Bestellungen!$A$5:$X$5,0),0),"")</f>
        <v/>
      </c>
      <c r="F104" s="26" t="str">
        <f>IF(ISERROR(VLOOKUP($A104,Bestellungen!$6:$1048576,MATCH(Kasse!F$5,Bestellungen!$A$5:$X$5,0),0))=FALSE,SUMIF(Kalkulation!$A$6:$A$40,Kasse!F$5&amp;"*",Kalkulation!$C$6:$C$40)*VLOOKUP($A104,Bestellungen!$6:$1048576,MATCH(Kasse!F$5,Bestellungen!$A$5:$X$5,0),0),"")</f>
        <v/>
      </c>
      <c r="G104" s="26" t="str">
        <f>IF(ISERROR(VLOOKUP($A104,Bestellungen!$6:$1048576,MATCH(Kasse!G$5,Bestellungen!$A$5:$X$5,0),0))=FALSE,SUMIF(Kalkulation!$A$6:$A$40,Kasse!G$5&amp;"*",Kalkulation!$C$6:$C$40)*VLOOKUP($A104,Bestellungen!$6:$1048576,MATCH(Kasse!G$5,Bestellungen!$A$5:$X$5,0),0),"")</f>
        <v/>
      </c>
      <c r="H104" s="26" t="str">
        <f>IF(ISERROR(VLOOKUP($A104,Bestellungen!$6:$1048576,MATCH(Kasse!H$5,Bestellungen!$A$5:$X$5,0),0))=FALSE,SUMIF(Kalkulation!$A$6:$A$40,Kasse!H$5&amp;"*",Kalkulation!$C$6:$C$40)*VLOOKUP($A104,Bestellungen!$6:$1048576,MATCH(Kasse!H$5,Bestellungen!$A$5:$X$5,0),0),"")</f>
        <v/>
      </c>
      <c r="I104" s="26" t="str">
        <f>IF(ISERROR(VLOOKUP($A104,Bestellungen!$6:$1048576,MATCH(Kasse!I$5,Bestellungen!$A$5:$X$5,0),0))=FALSE,SUMIF(Kalkulation!$A$6:$A$40,Kasse!I$5&amp;"*",Kalkulation!$C$6:$C$40)*VLOOKUP($A104,Bestellungen!$6:$1048576,MATCH(Kasse!I$5,Bestellungen!$A$5:$X$5,0),0),"")</f>
        <v/>
      </c>
      <c r="J104" s="26" t="str">
        <f>IF(ISERROR(VLOOKUP($A104,Bestellungen!$6:$1048576,MATCH(Kasse!J$5,Bestellungen!$A$5:$X$5,0),0))=FALSE,SUMIF(Kalkulation!$A$6:$A$40,Kasse!J$5&amp;"*",Kalkulation!$C$6:$C$40)*VLOOKUP($A104,Bestellungen!$6:$1048576,MATCH(Kasse!J$5,Bestellungen!$A$5:$X$5,0),0),"")</f>
        <v/>
      </c>
      <c r="K104" s="26" t="str">
        <f>IF(ISERROR(VLOOKUP($A104,Bestellungen!$6:$1048576,MATCH(Kasse!K$5,Bestellungen!$A$5:$X$5,0),0))=FALSE,SUMIF(Kalkulation!$A$6:$A$40,Kasse!K$5&amp;"*",Kalkulation!$C$6:$C$40)*VLOOKUP($A104,Bestellungen!$6:$1048576,MATCH(Kasse!K$5,Bestellungen!$A$5:$X$5,0),0),"")</f>
        <v/>
      </c>
      <c r="L104" s="26" t="str">
        <f>IF(ISERROR(VLOOKUP($A104,Bestellungen!$6:$1048576,MATCH(Kasse!L$5,Bestellungen!$A$5:$X$5,0),0))=FALSE,SUMIF(Kalkulation!$A$6:$A$40,Kasse!L$5&amp;"*",Kalkulation!$C$6:$C$40)*VLOOKUP($A104,Bestellungen!$6:$1048576,MATCH(Kasse!L$5,Bestellungen!$A$5:$X$5,0),0),"")</f>
        <v/>
      </c>
      <c r="M104" s="26" t="str">
        <f>IF(ISERROR(VLOOKUP($A104,Bestellungen!$6:$1048576,MATCH(Kasse!M$5,Bestellungen!$A$5:$X$5,0),0))=FALSE,SUMIF(Kalkulation!$A$6:$A$40,Kasse!M$5&amp;"*",Kalkulation!$C$6:$C$40)*VLOOKUP($A104,Bestellungen!$6:$1048576,MATCH(Kasse!M$5,Bestellungen!$A$5:$X$5,0),0),"")</f>
        <v/>
      </c>
      <c r="N104" s="26" t="str">
        <f>IF(ISERROR(VLOOKUP($A104,Bestellungen!$6:$1048576,MATCH(Kasse!N$5,Bestellungen!$A$5:$X$5,0),0))=FALSE,SUMIF(Kalkulation!$A$6:$A$40,Kasse!N$5&amp;"*",Kalkulation!$C$6:$C$40)*VLOOKUP($A104,Bestellungen!$6:$1048576,MATCH(Kasse!N$5,Bestellungen!$A$5:$X$5,0),0),"")</f>
        <v/>
      </c>
      <c r="O104" s="26" t="str">
        <f>IF(ISERROR(VLOOKUP($A104,Bestellungen!$6:$1048576,MATCH(Kasse!O$5,Bestellungen!$A$5:$X$5,0),0))=FALSE,SUMIF(Kalkulation!$A$6:$A$40,Kasse!O$5&amp;"*",Kalkulation!$C$6:$C$40)*VLOOKUP($A104,Bestellungen!$6:$1048576,MATCH(Kasse!O$5,Bestellungen!$A$5:$X$5,0),0),"")</f>
        <v/>
      </c>
      <c r="P104" s="26" t="str">
        <f>IF(ISERROR(VLOOKUP($A104,Bestellungen!$6:$1048576,MATCH(Kasse!P$5,Bestellungen!$A$5:$X$5,0),0))=FALSE,SUMIF(Kalkulation!$A$6:$A$40,Kasse!P$5&amp;"*",Kalkulation!$C$6:$C$40)*VLOOKUP($A104,Bestellungen!$6:$1048576,MATCH(Kasse!P$5,Bestellungen!$A$5:$X$5,0),0),"")</f>
        <v/>
      </c>
      <c r="Q104" s="26" t="str">
        <f>IF(ISERROR(VLOOKUP($A104,Bestellungen!$6:$1048576,MATCH(Kasse!Q$5,Bestellungen!$A$5:$X$5,0),0))=FALSE,SUMIF(Kalkulation!$A$6:$A$40,Kasse!Q$5&amp;"*",Kalkulation!$C$6:$C$40)*VLOOKUP($A104,Bestellungen!$6:$1048576,MATCH(Kasse!Q$5,Bestellungen!$A$5:$X$5,0),0),"")</f>
        <v/>
      </c>
      <c r="R104" s="26" t="str">
        <f>IF(ISERROR(VLOOKUP($A104,Bestellungen!$6:$1048576,MATCH(Kasse!R$5,Bestellungen!$A$5:$X$5,0),0))=FALSE,SUMIF(Kalkulation!$A$6:$A$40,Kasse!R$5&amp;"*",Kalkulation!$C$6:$C$40)*VLOOKUP($A104,Bestellungen!$6:$1048576,MATCH(Kasse!R$5,Bestellungen!$A$5:$X$5,0),0),"")</f>
        <v/>
      </c>
      <c r="S104" s="26" t="str">
        <f>IF(ISERROR(VLOOKUP($A104,Bestellungen!$6:$1048576,MATCH(Kasse!S$5,Bestellungen!$A$5:$X$5,0),0))=FALSE,SUMIF(Kalkulation!$A$6:$A$40,Kasse!S$5&amp;"*",Kalkulation!$C$6:$C$40)*VLOOKUP($A104,Bestellungen!$6:$1048576,MATCH(Kasse!S$5,Bestellungen!$A$5:$X$5,0),0),"")</f>
        <v/>
      </c>
      <c r="T104" s="26" t="str">
        <f>IF(ISERROR(VLOOKUP($A104,Bestellungen!$6:$1048576,MATCH(Kasse!T$5,Bestellungen!$A$5:$X$5,0),0))=FALSE,SUMIF(Kalkulation!$A$6:$A$40,Kasse!T$5&amp;"*",Kalkulation!$C$6:$C$40)*VLOOKUP($A104,Bestellungen!$6:$1048576,MATCH(Kasse!T$5,Bestellungen!$A$5:$X$5,0),0),"")</f>
        <v/>
      </c>
      <c r="U104" s="26" t="str">
        <f t="shared" si="2"/>
        <v/>
      </c>
      <c r="W104" s="26" t="str">
        <f t="shared" si="3"/>
        <v/>
      </c>
      <c r="X104" s="26"/>
      <c r="Y104" s="26"/>
      <c r="Z104" s="26"/>
      <c r="AA104" s="26"/>
    </row>
    <row r="105" spans="1:27" x14ac:dyDescent="0.25">
      <c r="A105" t="str">
        <f>IF(LEN(Bestellungen!$A105)&gt;0,Bestellungen!$A105,"")</f>
        <v/>
      </c>
      <c r="B105" s="26" t="str">
        <f>IF(ISERROR(VLOOKUP($A105,Bestellungen!$6:$1048576,MATCH(Kasse!B$5,Bestellungen!$A$5:$X$5,0),0))=FALSE,SUMIF(Kalkulation!$A$6:$A$40,Kasse!B$5&amp;"*",Kalkulation!$C$6:$C$40)*VLOOKUP($A105,Bestellungen!$6:$1048576,MATCH(Kasse!B$5,Bestellungen!$A$5:$X$5,0),0),"")</f>
        <v/>
      </c>
      <c r="C105" s="26" t="str">
        <f>IF(ISERROR(VLOOKUP($A105,Bestellungen!$6:$1048576,MATCH(Kasse!C$5,Bestellungen!$A$5:$X$5,0),0))=FALSE,SUMIF(Kalkulation!$A$6:$A$40,Kasse!C$5&amp;"*",Kalkulation!$C$6:$C$40)*VLOOKUP($A105,Bestellungen!$6:$1048576,MATCH(Kasse!C$5,Bestellungen!$A$5:$X$5,0),0),"")</f>
        <v/>
      </c>
      <c r="D105" s="26" t="str">
        <f>IF(ISERROR(VLOOKUP($A105,Bestellungen!$6:$1048576,MATCH(Kasse!D$5,Bestellungen!$A$5:$X$5,0),0))=FALSE,SUMIF(Kalkulation!$A$6:$A$40,Kasse!D$5&amp;"*",Kalkulation!$C$6:$C$40)*VLOOKUP($A105,Bestellungen!$6:$1048576,MATCH(Kasse!D$5,Bestellungen!$A$5:$X$5,0),0),"")</f>
        <v/>
      </c>
      <c r="E105" s="26" t="str">
        <f>IF(ISERROR(VLOOKUP($A105,Bestellungen!$6:$1048576,MATCH(Kasse!E$5,Bestellungen!$A$5:$X$5,0),0))=FALSE,SUMIF(Kalkulation!$A$6:$A$40,Kasse!E$5&amp;"*",Kalkulation!$C$6:$C$40)*VLOOKUP($A105,Bestellungen!$6:$1048576,MATCH(Kasse!E$5,Bestellungen!$A$5:$X$5,0),0),"")</f>
        <v/>
      </c>
      <c r="F105" s="26" t="str">
        <f>IF(ISERROR(VLOOKUP($A105,Bestellungen!$6:$1048576,MATCH(Kasse!F$5,Bestellungen!$A$5:$X$5,0),0))=FALSE,SUMIF(Kalkulation!$A$6:$A$40,Kasse!F$5&amp;"*",Kalkulation!$C$6:$C$40)*VLOOKUP($A105,Bestellungen!$6:$1048576,MATCH(Kasse!F$5,Bestellungen!$A$5:$X$5,0),0),"")</f>
        <v/>
      </c>
      <c r="G105" s="26" t="str">
        <f>IF(ISERROR(VLOOKUP($A105,Bestellungen!$6:$1048576,MATCH(Kasse!G$5,Bestellungen!$A$5:$X$5,0),0))=FALSE,SUMIF(Kalkulation!$A$6:$A$40,Kasse!G$5&amp;"*",Kalkulation!$C$6:$C$40)*VLOOKUP($A105,Bestellungen!$6:$1048576,MATCH(Kasse!G$5,Bestellungen!$A$5:$X$5,0),0),"")</f>
        <v/>
      </c>
      <c r="H105" s="26" t="str">
        <f>IF(ISERROR(VLOOKUP($A105,Bestellungen!$6:$1048576,MATCH(Kasse!H$5,Bestellungen!$A$5:$X$5,0),0))=FALSE,SUMIF(Kalkulation!$A$6:$A$40,Kasse!H$5&amp;"*",Kalkulation!$C$6:$C$40)*VLOOKUP($A105,Bestellungen!$6:$1048576,MATCH(Kasse!H$5,Bestellungen!$A$5:$X$5,0),0),"")</f>
        <v/>
      </c>
      <c r="I105" s="26" t="str">
        <f>IF(ISERROR(VLOOKUP($A105,Bestellungen!$6:$1048576,MATCH(Kasse!I$5,Bestellungen!$A$5:$X$5,0),0))=FALSE,SUMIF(Kalkulation!$A$6:$A$40,Kasse!I$5&amp;"*",Kalkulation!$C$6:$C$40)*VLOOKUP($A105,Bestellungen!$6:$1048576,MATCH(Kasse!I$5,Bestellungen!$A$5:$X$5,0),0),"")</f>
        <v/>
      </c>
      <c r="J105" s="26" t="str">
        <f>IF(ISERROR(VLOOKUP($A105,Bestellungen!$6:$1048576,MATCH(Kasse!J$5,Bestellungen!$A$5:$X$5,0),0))=FALSE,SUMIF(Kalkulation!$A$6:$A$40,Kasse!J$5&amp;"*",Kalkulation!$C$6:$C$40)*VLOOKUP($A105,Bestellungen!$6:$1048576,MATCH(Kasse!J$5,Bestellungen!$A$5:$X$5,0),0),"")</f>
        <v/>
      </c>
      <c r="K105" s="26" t="str">
        <f>IF(ISERROR(VLOOKUP($A105,Bestellungen!$6:$1048576,MATCH(Kasse!K$5,Bestellungen!$A$5:$X$5,0),0))=FALSE,SUMIF(Kalkulation!$A$6:$A$40,Kasse!K$5&amp;"*",Kalkulation!$C$6:$C$40)*VLOOKUP($A105,Bestellungen!$6:$1048576,MATCH(Kasse!K$5,Bestellungen!$A$5:$X$5,0),0),"")</f>
        <v/>
      </c>
      <c r="L105" s="26" t="str">
        <f>IF(ISERROR(VLOOKUP($A105,Bestellungen!$6:$1048576,MATCH(Kasse!L$5,Bestellungen!$A$5:$X$5,0),0))=FALSE,SUMIF(Kalkulation!$A$6:$A$40,Kasse!L$5&amp;"*",Kalkulation!$C$6:$C$40)*VLOOKUP($A105,Bestellungen!$6:$1048576,MATCH(Kasse!L$5,Bestellungen!$A$5:$X$5,0),0),"")</f>
        <v/>
      </c>
      <c r="M105" s="26" t="str">
        <f>IF(ISERROR(VLOOKUP($A105,Bestellungen!$6:$1048576,MATCH(Kasse!M$5,Bestellungen!$A$5:$X$5,0),0))=FALSE,SUMIF(Kalkulation!$A$6:$A$40,Kasse!M$5&amp;"*",Kalkulation!$C$6:$C$40)*VLOOKUP($A105,Bestellungen!$6:$1048576,MATCH(Kasse!M$5,Bestellungen!$A$5:$X$5,0),0),"")</f>
        <v/>
      </c>
      <c r="N105" s="26" t="str">
        <f>IF(ISERROR(VLOOKUP($A105,Bestellungen!$6:$1048576,MATCH(Kasse!N$5,Bestellungen!$A$5:$X$5,0),0))=FALSE,SUMIF(Kalkulation!$A$6:$A$40,Kasse!N$5&amp;"*",Kalkulation!$C$6:$C$40)*VLOOKUP($A105,Bestellungen!$6:$1048576,MATCH(Kasse!N$5,Bestellungen!$A$5:$X$5,0),0),"")</f>
        <v/>
      </c>
      <c r="O105" s="26" t="str">
        <f>IF(ISERROR(VLOOKUP($A105,Bestellungen!$6:$1048576,MATCH(Kasse!O$5,Bestellungen!$A$5:$X$5,0),0))=FALSE,SUMIF(Kalkulation!$A$6:$A$40,Kasse!O$5&amp;"*",Kalkulation!$C$6:$C$40)*VLOOKUP($A105,Bestellungen!$6:$1048576,MATCH(Kasse!O$5,Bestellungen!$A$5:$X$5,0),0),"")</f>
        <v/>
      </c>
      <c r="P105" s="26" t="str">
        <f>IF(ISERROR(VLOOKUP($A105,Bestellungen!$6:$1048576,MATCH(Kasse!P$5,Bestellungen!$A$5:$X$5,0),0))=FALSE,SUMIF(Kalkulation!$A$6:$A$40,Kasse!P$5&amp;"*",Kalkulation!$C$6:$C$40)*VLOOKUP($A105,Bestellungen!$6:$1048576,MATCH(Kasse!P$5,Bestellungen!$A$5:$X$5,0),0),"")</f>
        <v/>
      </c>
      <c r="Q105" s="26" t="str">
        <f>IF(ISERROR(VLOOKUP($A105,Bestellungen!$6:$1048576,MATCH(Kasse!Q$5,Bestellungen!$A$5:$X$5,0),0))=FALSE,SUMIF(Kalkulation!$A$6:$A$40,Kasse!Q$5&amp;"*",Kalkulation!$C$6:$C$40)*VLOOKUP($A105,Bestellungen!$6:$1048576,MATCH(Kasse!Q$5,Bestellungen!$A$5:$X$5,0),0),"")</f>
        <v/>
      </c>
      <c r="R105" s="26" t="str">
        <f>IF(ISERROR(VLOOKUP($A105,Bestellungen!$6:$1048576,MATCH(Kasse!R$5,Bestellungen!$A$5:$X$5,0),0))=FALSE,SUMIF(Kalkulation!$A$6:$A$40,Kasse!R$5&amp;"*",Kalkulation!$C$6:$C$40)*VLOOKUP($A105,Bestellungen!$6:$1048576,MATCH(Kasse!R$5,Bestellungen!$A$5:$X$5,0),0),"")</f>
        <v/>
      </c>
      <c r="S105" s="26" t="str">
        <f>IF(ISERROR(VLOOKUP($A105,Bestellungen!$6:$1048576,MATCH(Kasse!S$5,Bestellungen!$A$5:$X$5,0),0))=FALSE,SUMIF(Kalkulation!$A$6:$A$40,Kasse!S$5&amp;"*",Kalkulation!$C$6:$C$40)*VLOOKUP($A105,Bestellungen!$6:$1048576,MATCH(Kasse!S$5,Bestellungen!$A$5:$X$5,0),0),"")</f>
        <v/>
      </c>
      <c r="T105" s="26" t="str">
        <f>IF(ISERROR(VLOOKUP($A105,Bestellungen!$6:$1048576,MATCH(Kasse!T$5,Bestellungen!$A$5:$X$5,0),0))=FALSE,SUMIF(Kalkulation!$A$6:$A$40,Kasse!T$5&amp;"*",Kalkulation!$C$6:$C$40)*VLOOKUP($A105,Bestellungen!$6:$1048576,MATCH(Kasse!T$5,Bestellungen!$A$5:$X$5,0),0),"")</f>
        <v/>
      </c>
      <c r="U105" s="26" t="str">
        <f t="shared" si="2"/>
        <v/>
      </c>
      <c r="W105" s="26" t="str">
        <f t="shared" si="3"/>
        <v/>
      </c>
      <c r="X105" s="26"/>
      <c r="Y105" s="26"/>
      <c r="Z105" s="26"/>
      <c r="AA105" s="26"/>
    </row>
    <row r="106" spans="1:27" x14ac:dyDescent="0.25">
      <c r="A106" t="str">
        <f>IF(LEN(Bestellungen!$A106)&gt;0,Bestellungen!$A106,"")</f>
        <v/>
      </c>
      <c r="B106" s="26" t="str">
        <f>IF(ISERROR(VLOOKUP($A106,Bestellungen!$6:$1048576,MATCH(Kasse!B$5,Bestellungen!$A$5:$X$5,0),0))=FALSE,SUMIF(Kalkulation!$A$6:$A$40,Kasse!B$5&amp;"*",Kalkulation!$C$6:$C$40)*VLOOKUP($A106,Bestellungen!$6:$1048576,MATCH(Kasse!B$5,Bestellungen!$A$5:$X$5,0),0),"")</f>
        <v/>
      </c>
      <c r="C106" s="26" t="str">
        <f>IF(ISERROR(VLOOKUP($A106,Bestellungen!$6:$1048576,MATCH(Kasse!C$5,Bestellungen!$A$5:$X$5,0),0))=FALSE,SUMIF(Kalkulation!$A$6:$A$40,Kasse!C$5&amp;"*",Kalkulation!$C$6:$C$40)*VLOOKUP($A106,Bestellungen!$6:$1048576,MATCH(Kasse!C$5,Bestellungen!$A$5:$X$5,0),0),"")</f>
        <v/>
      </c>
      <c r="D106" s="26" t="str">
        <f>IF(ISERROR(VLOOKUP($A106,Bestellungen!$6:$1048576,MATCH(Kasse!D$5,Bestellungen!$A$5:$X$5,0),0))=FALSE,SUMIF(Kalkulation!$A$6:$A$40,Kasse!D$5&amp;"*",Kalkulation!$C$6:$C$40)*VLOOKUP($A106,Bestellungen!$6:$1048576,MATCH(Kasse!D$5,Bestellungen!$A$5:$X$5,0),0),"")</f>
        <v/>
      </c>
      <c r="E106" s="26" t="str">
        <f>IF(ISERROR(VLOOKUP($A106,Bestellungen!$6:$1048576,MATCH(Kasse!E$5,Bestellungen!$A$5:$X$5,0),0))=FALSE,SUMIF(Kalkulation!$A$6:$A$40,Kasse!E$5&amp;"*",Kalkulation!$C$6:$C$40)*VLOOKUP($A106,Bestellungen!$6:$1048576,MATCH(Kasse!E$5,Bestellungen!$A$5:$X$5,0),0),"")</f>
        <v/>
      </c>
      <c r="F106" s="26" t="str">
        <f>IF(ISERROR(VLOOKUP($A106,Bestellungen!$6:$1048576,MATCH(Kasse!F$5,Bestellungen!$A$5:$X$5,0),0))=FALSE,SUMIF(Kalkulation!$A$6:$A$40,Kasse!F$5&amp;"*",Kalkulation!$C$6:$C$40)*VLOOKUP($A106,Bestellungen!$6:$1048576,MATCH(Kasse!F$5,Bestellungen!$A$5:$X$5,0),0),"")</f>
        <v/>
      </c>
      <c r="G106" s="26" t="str">
        <f>IF(ISERROR(VLOOKUP($A106,Bestellungen!$6:$1048576,MATCH(Kasse!G$5,Bestellungen!$A$5:$X$5,0),0))=FALSE,SUMIF(Kalkulation!$A$6:$A$40,Kasse!G$5&amp;"*",Kalkulation!$C$6:$C$40)*VLOOKUP($A106,Bestellungen!$6:$1048576,MATCH(Kasse!G$5,Bestellungen!$A$5:$X$5,0),0),"")</f>
        <v/>
      </c>
      <c r="H106" s="26" t="str">
        <f>IF(ISERROR(VLOOKUP($A106,Bestellungen!$6:$1048576,MATCH(Kasse!H$5,Bestellungen!$A$5:$X$5,0),0))=FALSE,SUMIF(Kalkulation!$A$6:$A$40,Kasse!H$5&amp;"*",Kalkulation!$C$6:$C$40)*VLOOKUP($A106,Bestellungen!$6:$1048576,MATCH(Kasse!H$5,Bestellungen!$A$5:$X$5,0),0),"")</f>
        <v/>
      </c>
      <c r="I106" s="26" t="str">
        <f>IF(ISERROR(VLOOKUP($A106,Bestellungen!$6:$1048576,MATCH(Kasse!I$5,Bestellungen!$A$5:$X$5,0),0))=FALSE,SUMIF(Kalkulation!$A$6:$A$40,Kasse!I$5&amp;"*",Kalkulation!$C$6:$C$40)*VLOOKUP($A106,Bestellungen!$6:$1048576,MATCH(Kasse!I$5,Bestellungen!$A$5:$X$5,0),0),"")</f>
        <v/>
      </c>
      <c r="J106" s="26" t="str">
        <f>IF(ISERROR(VLOOKUP($A106,Bestellungen!$6:$1048576,MATCH(Kasse!J$5,Bestellungen!$A$5:$X$5,0),0))=FALSE,SUMIF(Kalkulation!$A$6:$A$40,Kasse!J$5&amp;"*",Kalkulation!$C$6:$C$40)*VLOOKUP($A106,Bestellungen!$6:$1048576,MATCH(Kasse!J$5,Bestellungen!$A$5:$X$5,0),0),"")</f>
        <v/>
      </c>
      <c r="K106" s="26" t="str">
        <f>IF(ISERROR(VLOOKUP($A106,Bestellungen!$6:$1048576,MATCH(Kasse!K$5,Bestellungen!$A$5:$X$5,0),0))=FALSE,SUMIF(Kalkulation!$A$6:$A$40,Kasse!K$5&amp;"*",Kalkulation!$C$6:$C$40)*VLOOKUP($A106,Bestellungen!$6:$1048576,MATCH(Kasse!K$5,Bestellungen!$A$5:$X$5,0),0),"")</f>
        <v/>
      </c>
      <c r="L106" s="26" t="str">
        <f>IF(ISERROR(VLOOKUP($A106,Bestellungen!$6:$1048576,MATCH(Kasse!L$5,Bestellungen!$A$5:$X$5,0),0))=FALSE,SUMIF(Kalkulation!$A$6:$A$40,Kasse!L$5&amp;"*",Kalkulation!$C$6:$C$40)*VLOOKUP($A106,Bestellungen!$6:$1048576,MATCH(Kasse!L$5,Bestellungen!$A$5:$X$5,0),0),"")</f>
        <v/>
      </c>
      <c r="M106" s="26" t="str">
        <f>IF(ISERROR(VLOOKUP($A106,Bestellungen!$6:$1048576,MATCH(Kasse!M$5,Bestellungen!$A$5:$X$5,0),0))=FALSE,SUMIF(Kalkulation!$A$6:$A$40,Kasse!M$5&amp;"*",Kalkulation!$C$6:$C$40)*VLOOKUP($A106,Bestellungen!$6:$1048576,MATCH(Kasse!M$5,Bestellungen!$A$5:$X$5,0),0),"")</f>
        <v/>
      </c>
      <c r="N106" s="26" t="str">
        <f>IF(ISERROR(VLOOKUP($A106,Bestellungen!$6:$1048576,MATCH(Kasse!N$5,Bestellungen!$A$5:$X$5,0),0))=FALSE,SUMIF(Kalkulation!$A$6:$A$40,Kasse!N$5&amp;"*",Kalkulation!$C$6:$C$40)*VLOOKUP($A106,Bestellungen!$6:$1048576,MATCH(Kasse!N$5,Bestellungen!$A$5:$X$5,0),0),"")</f>
        <v/>
      </c>
      <c r="O106" s="26" t="str">
        <f>IF(ISERROR(VLOOKUP($A106,Bestellungen!$6:$1048576,MATCH(Kasse!O$5,Bestellungen!$A$5:$X$5,0),0))=FALSE,SUMIF(Kalkulation!$A$6:$A$40,Kasse!O$5&amp;"*",Kalkulation!$C$6:$C$40)*VLOOKUP($A106,Bestellungen!$6:$1048576,MATCH(Kasse!O$5,Bestellungen!$A$5:$X$5,0),0),"")</f>
        <v/>
      </c>
      <c r="P106" s="26" t="str">
        <f>IF(ISERROR(VLOOKUP($A106,Bestellungen!$6:$1048576,MATCH(Kasse!P$5,Bestellungen!$A$5:$X$5,0),0))=FALSE,SUMIF(Kalkulation!$A$6:$A$40,Kasse!P$5&amp;"*",Kalkulation!$C$6:$C$40)*VLOOKUP($A106,Bestellungen!$6:$1048576,MATCH(Kasse!P$5,Bestellungen!$A$5:$X$5,0),0),"")</f>
        <v/>
      </c>
      <c r="Q106" s="26" t="str">
        <f>IF(ISERROR(VLOOKUP($A106,Bestellungen!$6:$1048576,MATCH(Kasse!Q$5,Bestellungen!$A$5:$X$5,0),0))=FALSE,SUMIF(Kalkulation!$A$6:$A$40,Kasse!Q$5&amp;"*",Kalkulation!$C$6:$C$40)*VLOOKUP($A106,Bestellungen!$6:$1048576,MATCH(Kasse!Q$5,Bestellungen!$A$5:$X$5,0),0),"")</f>
        <v/>
      </c>
      <c r="R106" s="26" t="str">
        <f>IF(ISERROR(VLOOKUP($A106,Bestellungen!$6:$1048576,MATCH(Kasse!R$5,Bestellungen!$A$5:$X$5,0),0))=FALSE,SUMIF(Kalkulation!$A$6:$A$40,Kasse!R$5&amp;"*",Kalkulation!$C$6:$C$40)*VLOOKUP($A106,Bestellungen!$6:$1048576,MATCH(Kasse!R$5,Bestellungen!$A$5:$X$5,0),0),"")</f>
        <v/>
      </c>
      <c r="S106" s="26" t="str">
        <f>IF(ISERROR(VLOOKUP($A106,Bestellungen!$6:$1048576,MATCH(Kasse!S$5,Bestellungen!$A$5:$X$5,0),0))=FALSE,SUMIF(Kalkulation!$A$6:$A$40,Kasse!S$5&amp;"*",Kalkulation!$C$6:$C$40)*VLOOKUP($A106,Bestellungen!$6:$1048576,MATCH(Kasse!S$5,Bestellungen!$A$5:$X$5,0),0),"")</f>
        <v/>
      </c>
      <c r="T106" s="26" t="str">
        <f>IF(ISERROR(VLOOKUP($A106,Bestellungen!$6:$1048576,MATCH(Kasse!T$5,Bestellungen!$A$5:$X$5,0),0))=FALSE,SUMIF(Kalkulation!$A$6:$A$40,Kasse!T$5&amp;"*",Kalkulation!$C$6:$C$40)*VLOOKUP($A106,Bestellungen!$6:$1048576,MATCH(Kasse!T$5,Bestellungen!$A$5:$X$5,0),0),"")</f>
        <v/>
      </c>
      <c r="U106" s="26" t="str">
        <f t="shared" si="2"/>
        <v/>
      </c>
      <c r="W106" s="26" t="str">
        <f t="shared" si="3"/>
        <v/>
      </c>
      <c r="X106" s="26"/>
      <c r="Y106" s="26"/>
      <c r="Z106" s="26"/>
      <c r="AA106" s="26"/>
    </row>
    <row r="107" spans="1:27" x14ac:dyDescent="0.25">
      <c r="A107" t="str">
        <f>IF(LEN(Bestellungen!$A107)&gt;0,Bestellungen!$A107,"")</f>
        <v/>
      </c>
      <c r="B107" s="26" t="str">
        <f>IF(ISERROR(VLOOKUP($A107,Bestellungen!$6:$1048576,MATCH(Kasse!B$5,Bestellungen!$A$5:$X$5,0),0))=FALSE,SUMIF(Kalkulation!$A$6:$A$40,Kasse!B$5&amp;"*",Kalkulation!$C$6:$C$40)*VLOOKUP($A107,Bestellungen!$6:$1048576,MATCH(Kasse!B$5,Bestellungen!$A$5:$X$5,0),0),"")</f>
        <v/>
      </c>
      <c r="C107" s="26" t="str">
        <f>IF(ISERROR(VLOOKUP($A107,Bestellungen!$6:$1048576,MATCH(Kasse!C$5,Bestellungen!$A$5:$X$5,0),0))=FALSE,SUMIF(Kalkulation!$A$6:$A$40,Kasse!C$5&amp;"*",Kalkulation!$C$6:$C$40)*VLOOKUP($A107,Bestellungen!$6:$1048576,MATCH(Kasse!C$5,Bestellungen!$A$5:$X$5,0),0),"")</f>
        <v/>
      </c>
      <c r="D107" s="26" t="str">
        <f>IF(ISERROR(VLOOKUP($A107,Bestellungen!$6:$1048576,MATCH(Kasse!D$5,Bestellungen!$A$5:$X$5,0),0))=FALSE,SUMIF(Kalkulation!$A$6:$A$40,Kasse!D$5&amp;"*",Kalkulation!$C$6:$C$40)*VLOOKUP($A107,Bestellungen!$6:$1048576,MATCH(Kasse!D$5,Bestellungen!$A$5:$X$5,0),0),"")</f>
        <v/>
      </c>
      <c r="E107" s="26" t="str">
        <f>IF(ISERROR(VLOOKUP($A107,Bestellungen!$6:$1048576,MATCH(Kasse!E$5,Bestellungen!$A$5:$X$5,0),0))=FALSE,SUMIF(Kalkulation!$A$6:$A$40,Kasse!E$5&amp;"*",Kalkulation!$C$6:$C$40)*VLOOKUP($A107,Bestellungen!$6:$1048576,MATCH(Kasse!E$5,Bestellungen!$A$5:$X$5,0),0),"")</f>
        <v/>
      </c>
      <c r="F107" s="26" t="str">
        <f>IF(ISERROR(VLOOKUP($A107,Bestellungen!$6:$1048576,MATCH(Kasse!F$5,Bestellungen!$A$5:$X$5,0),0))=FALSE,SUMIF(Kalkulation!$A$6:$A$40,Kasse!F$5&amp;"*",Kalkulation!$C$6:$C$40)*VLOOKUP($A107,Bestellungen!$6:$1048576,MATCH(Kasse!F$5,Bestellungen!$A$5:$X$5,0),0),"")</f>
        <v/>
      </c>
      <c r="G107" s="26" t="str">
        <f>IF(ISERROR(VLOOKUP($A107,Bestellungen!$6:$1048576,MATCH(Kasse!G$5,Bestellungen!$A$5:$X$5,0),0))=FALSE,SUMIF(Kalkulation!$A$6:$A$40,Kasse!G$5&amp;"*",Kalkulation!$C$6:$C$40)*VLOOKUP($A107,Bestellungen!$6:$1048576,MATCH(Kasse!G$5,Bestellungen!$A$5:$X$5,0),0),"")</f>
        <v/>
      </c>
      <c r="H107" s="26" t="str">
        <f>IF(ISERROR(VLOOKUP($A107,Bestellungen!$6:$1048576,MATCH(Kasse!H$5,Bestellungen!$A$5:$X$5,0),0))=FALSE,SUMIF(Kalkulation!$A$6:$A$40,Kasse!H$5&amp;"*",Kalkulation!$C$6:$C$40)*VLOOKUP($A107,Bestellungen!$6:$1048576,MATCH(Kasse!H$5,Bestellungen!$A$5:$X$5,0),0),"")</f>
        <v/>
      </c>
      <c r="I107" s="26" t="str">
        <f>IF(ISERROR(VLOOKUP($A107,Bestellungen!$6:$1048576,MATCH(Kasse!I$5,Bestellungen!$A$5:$X$5,0),0))=FALSE,SUMIF(Kalkulation!$A$6:$A$40,Kasse!I$5&amp;"*",Kalkulation!$C$6:$C$40)*VLOOKUP($A107,Bestellungen!$6:$1048576,MATCH(Kasse!I$5,Bestellungen!$A$5:$X$5,0),0),"")</f>
        <v/>
      </c>
      <c r="J107" s="26" t="str">
        <f>IF(ISERROR(VLOOKUP($A107,Bestellungen!$6:$1048576,MATCH(Kasse!J$5,Bestellungen!$A$5:$X$5,0),0))=FALSE,SUMIF(Kalkulation!$A$6:$A$40,Kasse!J$5&amp;"*",Kalkulation!$C$6:$C$40)*VLOOKUP($A107,Bestellungen!$6:$1048576,MATCH(Kasse!J$5,Bestellungen!$A$5:$X$5,0),0),"")</f>
        <v/>
      </c>
      <c r="K107" s="26" t="str">
        <f>IF(ISERROR(VLOOKUP($A107,Bestellungen!$6:$1048576,MATCH(Kasse!K$5,Bestellungen!$A$5:$X$5,0),0))=FALSE,SUMIF(Kalkulation!$A$6:$A$40,Kasse!K$5&amp;"*",Kalkulation!$C$6:$C$40)*VLOOKUP($A107,Bestellungen!$6:$1048576,MATCH(Kasse!K$5,Bestellungen!$A$5:$X$5,0),0),"")</f>
        <v/>
      </c>
      <c r="L107" s="26" t="str">
        <f>IF(ISERROR(VLOOKUP($A107,Bestellungen!$6:$1048576,MATCH(Kasse!L$5,Bestellungen!$A$5:$X$5,0),0))=FALSE,SUMIF(Kalkulation!$A$6:$A$40,Kasse!L$5&amp;"*",Kalkulation!$C$6:$C$40)*VLOOKUP($A107,Bestellungen!$6:$1048576,MATCH(Kasse!L$5,Bestellungen!$A$5:$X$5,0),0),"")</f>
        <v/>
      </c>
      <c r="M107" s="26" t="str">
        <f>IF(ISERROR(VLOOKUP($A107,Bestellungen!$6:$1048576,MATCH(Kasse!M$5,Bestellungen!$A$5:$X$5,0),0))=FALSE,SUMIF(Kalkulation!$A$6:$A$40,Kasse!M$5&amp;"*",Kalkulation!$C$6:$C$40)*VLOOKUP($A107,Bestellungen!$6:$1048576,MATCH(Kasse!M$5,Bestellungen!$A$5:$X$5,0),0),"")</f>
        <v/>
      </c>
      <c r="N107" s="26" t="str">
        <f>IF(ISERROR(VLOOKUP($A107,Bestellungen!$6:$1048576,MATCH(Kasse!N$5,Bestellungen!$A$5:$X$5,0),0))=FALSE,SUMIF(Kalkulation!$A$6:$A$40,Kasse!N$5&amp;"*",Kalkulation!$C$6:$C$40)*VLOOKUP($A107,Bestellungen!$6:$1048576,MATCH(Kasse!N$5,Bestellungen!$A$5:$X$5,0),0),"")</f>
        <v/>
      </c>
      <c r="O107" s="26" t="str">
        <f>IF(ISERROR(VLOOKUP($A107,Bestellungen!$6:$1048576,MATCH(Kasse!O$5,Bestellungen!$A$5:$X$5,0),0))=FALSE,SUMIF(Kalkulation!$A$6:$A$40,Kasse!O$5&amp;"*",Kalkulation!$C$6:$C$40)*VLOOKUP($A107,Bestellungen!$6:$1048576,MATCH(Kasse!O$5,Bestellungen!$A$5:$X$5,0),0),"")</f>
        <v/>
      </c>
      <c r="P107" s="26" t="str">
        <f>IF(ISERROR(VLOOKUP($A107,Bestellungen!$6:$1048576,MATCH(Kasse!P$5,Bestellungen!$A$5:$X$5,0),0))=FALSE,SUMIF(Kalkulation!$A$6:$A$40,Kasse!P$5&amp;"*",Kalkulation!$C$6:$C$40)*VLOOKUP($A107,Bestellungen!$6:$1048576,MATCH(Kasse!P$5,Bestellungen!$A$5:$X$5,0),0),"")</f>
        <v/>
      </c>
      <c r="Q107" s="26" t="str">
        <f>IF(ISERROR(VLOOKUP($A107,Bestellungen!$6:$1048576,MATCH(Kasse!Q$5,Bestellungen!$A$5:$X$5,0),0))=FALSE,SUMIF(Kalkulation!$A$6:$A$40,Kasse!Q$5&amp;"*",Kalkulation!$C$6:$C$40)*VLOOKUP($A107,Bestellungen!$6:$1048576,MATCH(Kasse!Q$5,Bestellungen!$A$5:$X$5,0),0),"")</f>
        <v/>
      </c>
      <c r="R107" s="26" t="str">
        <f>IF(ISERROR(VLOOKUP($A107,Bestellungen!$6:$1048576,MATCH(Kasse!R$5,Bestellungen!$A$5:$X$5,0),0))=FALSE,SUMIF(Kalkulation!$A$6:$A$40,Kasse!R$5&amp;"*",Kalkulation!$C$6:$C$40)*VLOOKUP($A107,Bestellungen!$6:$1048576,MATCH(Kasse!R$5,Bestellungen!$A$5:$X$5,0),0),"")</f>
        <v/>
      </c>
      <c r="S107" s="26" t="str">
        <f>IF(ISERROR(VLOOKUP($A107,Bestellungen!$6:$1048576,MATCH(Kasse!S$5,Bestellungen!$A$5:$X$5,0),0))=FALSE,SUMIF(Kalkulation!$A$6:$A$40,Kasse!S$5&amp;"*",Kalkulation!$C$6:$C$40)*VLOOKUP($A107,Bestellungen!$6:$1048576,MATCH(Kasse!S$5,Bestellungen!$A$5:$X$5,0),0),"")</f>
        <v/>
      </c>
      <c r="T107" s="26" t="str">
        <f>IF(ISERROR(VLOOKUP($A107,Bestellungen!$6:$1048576,MATCH(Kasse!T$5,Bestellungen!$A$5:$X$5,0),0))=FALSE,SUMIF(Kalkulation!$A$6:$A$40,Kasse!T$5&amp;"*",Kalkulation!$C$6:$C$40)*VLOOKUP($A107,Bestellungen!$6:$1048576,MATCH(Kasse!T$5,Bestellungen!$A$5:$X$5,0),0),"")</f>
        <v/>
      </c>
      <c r="U107" s="26" t="str">
        <f t="shared" si="2"/>
        <v/>
      </c>
      <c r="W107" s="26" t="str">
        <f t="shared" si="3"/>
        <v/>
      </c>
      <c r="X107" s="26"/>
      <c r="Y107" s="26"/>
      <c r="Z107" s="26"/>
      <c r="AA107" s="26"/>
    </row>
    <row r="108" spans="1:27" x14ac:dyDescent="0.25">
      <c r="A108" t="str">
        <f>IF(LEN(Bestellungen!$A108)&gt;0,Bestellungen!$A108,"")</f>
        <v/>
      </c>
      <c r="B108" s="26" t="str">
        <f>IF(ISERROR(VLOOKUP($A108,Bestellungen!$6:$1048576,MATCH(Kasse!B$5,Bestellungen!$A$5:$X$5,0),0))=FALSE,SUMIF(Kalkulation!$A$6:$A$40,Kasse!B$5&amp;"*",Kalkulation!$C$6:$C$40)*VLOOKUP($A108,Bestellungen!$6:$1048576,MATCH(Kasse!B$5,Bestellungen!$A$5:$X$5,0),0),"")</f>
        <v/>
      </c>
      <c r="C108" s="26" t="str">
        <f>IF(ISERROR(VLOOKUP($A108,Bestellungen!$6:$1048576,MATCH(Kasse!C$5,Bestellungen!$A$5:$X$5,0),0))=FALSE,SUMIF(Kalkulation!$A$6:$A$40,Kasse!C$5&amp;"*",Kalkulation!$C$6:$C$40)*VLOOKUP($A108,Bestellungen!$6:$1048576,MATCH(Kasse!C$5,Bestellungen!$A$5:$X$5,0),0),"")</f>
        <v/>
      </c>
      <c r="D108" s="26" t="str">
        <f>IF(ISERROR(VLOOKUP($A108,Bestellungen!$6:$1048576,MATCH(Kasse!D$5,Bestellungen!$A$5:$X$5,0),0))=FALSE,SUMIF(Kalkulation!$A$6:$A$40,Kasse!D$5&amp;"*",Kalkulation!$C$6:$C$40)*VLOOKUP($A108,Bestellungen!$6:$1048576,MATCH(Kasse!D$5,Bestellungen!$A$5:$X$5,0),0),"")</f>
        <v/>
      </c>
      <c r="E108" s="26" t="str">
        <f>IF(ISERROR(VLOOKUP($A108,Bestellungen!$6:$1048576,MATCH(Kasse!E$5,Bestellungen!$A$5:$X$5,0),0))=FALSE,SUMIF(Kalkulation!$A$6:$A$40,Kasse!E$5&amp;"*",Kalkulation!$C$6:$C$40)*VLOOKUP($A108,Bestellungen!$6:$1048576,MATCH(Kasse!E$5,Bestellungen!$A$5:$X$5,0),0),"")</f>
        <v/>
      </c>
      <c r="F108" s="26" t="str">
        <f>IF(ISERROR(VLOOKUP($A108,Bestellungen!$6:$1048576,MATCH(Kasse!F$5,Bestellungen!$A$5:$X$5,0),0))=FALSE,SUMIF(Kalkulation!$A$6:$A$40,Kasse!F$5&amp;"*",Kalkulation!$C$6:$C$40)*VLOOKUP($A108,Bestellungen!$6:$1048576,MATCH(Kasse!F$5,Bestellungen!$A$5:$X$5,0),0),"")</f>
        <v/>
      </c>
      <c r="G108" s="26" t="str">
        <f>IF(ISERROR(VLOOKUP($A108,Bestellungen!$6:$1048576,MATCH(Kasse!G$5,Bestellungen!$A$5:$X$5,0),0))=FALSE,SUMIF(Kalkulation!$A$6:$A$40,Kasse!G$5&amp;"*",Kalkulation!$C$6:$C$40)*VLOOKUP($A108,Bestellungen!$6:$1048576,MATCH(Kasse!G$5,Bestellungen!$A$5:$X$5,0),0),"")</f>
        <v/>
      </c>
      <c r="H108" s="26" t="str">
        <f>IF(ISERROR(VLOOKUP($A108,Bestellungen!$6:$1048576,MATCH(Kasse!H$5,Bestellungen!$A$5:$X$5,0),0))=FALSE,SUMIF(Kalkulation!$A$6:$A$40,Kasse!H$5&amp;"*",Kalkulation!$C$6:$C$40)*VLOOKUP($A108,Bestellungen!$6:$1048576,MATCH(Kasse!H$5,Bestellungen!$A$5:$X$5,0),0),"")</f>
        <v/>
      </c>
      <c r="I108" s="26" t="str">
        <f>IF(ISERROR(VLOOKUP($A108,Bestellungen!$6:$1048576,MATCH(Kasse!I$5,Bestellungen!$A$5:$X$5,0),0))=FALSE,SUMIF(Kalkulation!$A$6:$A$40,Kasse!I$5&amp;"*",Kalkulation!$C$6:$C$40)*VLOOKUP($A108,Bestellungen!$6:$1048576,MATCH(Kasse!I$5,Bestellungen!$A$5:$X$5,0),0),"")</f>
        <v/>
      </c>
      <c r="J108" s="26" t="str">
        <f>IF(ISERROR(VLOOKUP($A108,Bestellungen!$6:$1048576,MATCH(Kasse!J$5,Bestellungen!$A$5:$X$5,0),0))=FALSE,SUMIF(Kalkulation!$A$6:$A$40,Kasse!J$5&amp;"*",Kalkulation!$C$6:$C$40)*VLOOKUP($A108,Bestellungen!$6:$1048576,MATCH(Kasse!J$5,Bestellungen!$A$5:$X$5,0),0),"")</f>
        <v/>
      </c>
      <c r="K108" s="26" t="str">
        <f>IF(ISERROR(VLOOKUP($A108,Bestellungen!$6:$1048576,MATCH(Kasse!K$5,Bestellungen!$A$5:$X$5,0),0))=FALSE,SUMIF(Kalkulation!$A$6:$A$40,Kasse!K$5&amp;"*",Kalkulation!$C$6:$C$40)*VLOOKUP($A108,Bestellungen!$6:$1048576,MATCH(Kasse!K$5,Bestellungen!$A$5:$X$5,0),0),"")</f>
        <v/>
      </c>
      <c r="L108" s="26" t="str">
        <f>IF(ISERROR(VLOOKUP($A108,Bestellungen!$6:$1048576,MATCH(Kasse!L$5,Bestellungen!$A$5:$X$5,0),0))=FALSE,SUMIF(Kalkulation!$A$6:$A$40,Kasse!L$5&amp;"*",Kalkulation!$C$6:$C$40)*VLOOKUP($A108,Bestellungen!$6:$1048576,MATCH(Kasse!L$5,Bestellungen!$A$5:$X$5,0),0),"")</f>
        <v/>
      </c>
      <c r="M108" s="26" t="str">
        <f>IF(ISERROR(VLOOKUP($A108,Bestellungen!$6:$1048576,MATCH(Kasse!M$5,Bestellungen!$A$5:$X$5,0),0))=FALSE,SUMIF(Kalkulation!$A$6:$A$40,Kasse!M$5&amp;"*",Kalkulation!$C$6:$C$40)*VLOOKUP($A108,Bestellungen!$6:$1048576,MATCH(Kasse!M$5,Bestellungen!$A$5:$X$5,0),0),"")</f>
        <v/>
      </c>
      <c r="N108" s="26" t="str">
        <f>IF(ISERROR(VLOOKUP($A108,Bestellungen!$6:$1048576,MATCH(Kasse!N$5,Bestellungen!$A$5:$X$5,0),0))=FALSE,SUMIF(Kalkulation!$A$6:$A$40,Kasse!N$5&amp;"*",Kalkulation!$C$6:$C$40)*VLOOKUP($A108,Bestellungen!$6:$1048576,MATCH(Kasse!N$5,Bestellungen!$A$5:$X$5,0),0),"")</f>
        <v/>
      </c>
      <c r="O108" s="26" t="str">
        <f>IF(ISERROR(VLOOKUP($A108,Bestellungen!$6:$1048576,MATCH(Kasse!O$5,Bestellungen!$A$5:$X$5,0),0))=FALSE,SUMIF(Kalkulation!$A$6:$A$40,Kasse!O$5&amp;"*",Kalkulation!$C$6:$C$40)*VLOOKUP($A108,Bestellungen!$6:$1048576,MATCH(Kasse!O$5,Bestellungen!$A$5:$X$5,0),0),"")</f>
        <v/>
      </c>
      <c r="P108" s="26" t="str">
        <f>IF(ISERROR(VLOOKUP($A108,Bestellungen!$6:$1048576,MATCH(Kasse!P$5,Bestellungen!$A$5:$X$5,0),0))=FALSE,SUMIF(Kalkulation!$A$6:$A$40,Kasse!P$5&amp;"*",Kalkulation!$C$6:$C$40)*VLOOKUP($A108,Bestellungen!$6:$1048576,MATCH(Kasse!P$5,Bestellungen!$A$5:$X$5,0),0),"")</f>
        <v/>
      </c>
      <c r="Q108" s="26" t="str">
        <f>IF(ISERROR(VLOOKUP($A108,Bestellungen!$6:$1048576,MATCH(Kasse!Q$5,Bestellungen!$A$5:$X$5,0),0))=FALSE,SUMIF(Kalkulation!$A$6:$A$40,Kasse!Q$5&amp;"*",Kalkulation!$C$6:$C$40)*VLOOKUP($A108,Bestellungen!$6:$1048576,MATCH(Kasse!Q$5,Bestellungen!$A$5:$X$5,0),0),"")</f>
        <v/>
      </c>
      <c r="R108" s="26" t="str">
        <f>IF(ISERROR(VLOOKUP($A108,Bestellungen!$6:$1048576,MATCH(Kasse!R$5,Bestellungen!$A$5:$X$5,0),0))=FALSE,SUMIF(Kalkulation!$A$6:$A$40,Kasse!R$5&amp;"*",Kalkulation!$C$6:$C$40)*VLOOKUP($A108,Bestellungen!$6:$1048576,MATCH(Kasse!R$5,Bestellungen!$A$5:$X$5,0),0),"")</f>
        <v/>
      </c>
      <c r="S108" s="26" t="str">
        <f>IF(ISERROR(VLOOKUP($A108,Bestellungen!$6:$1048576,MATCH(Kasse!S$5,Bestellungen!$A$5:$X$5,0),0))=FALSE,SUMIF(Kalkulation!$A$6:$A$40,Kasse!S$5&amp;"*",Kalkulation!$C$6:$C$40)*VLOOKUP($A108,Bestellungen!$6:$1048576,MATCH(Kasse!S$5,Bestellungen!$A$5:$X$5,0),0),"")</f>
        <v/>
      </c>
      <c r="T108" s="26" t="str">
        <f>IF(ISERROR(VLOOKUP($A108,Bestellungen!$6:$1048576,MATCH(Kasse!T$5,Bestellungen!$A$5:$X$5,0),0))=FALSE,SUMIF(Kalkulation!$A$6:$A$40,Kasse!T$5&amp;"*",Kalkulation!$C$6:$C$40)*VLOOKUP($A108,Bestellungen!$6:$1048576,MATCH(Kasse!T$5,Bestellungen!$A$5:$X$5,0),0),"")</f>
        <v/>
      </c>
      <c r="U108" s="26" t="str">
        <f t="shared" si="2"/>
        <v/>
      </c>
      <c r="W108" s="26" t="str">
        <f t="shared" si="3"/>
        <v/>
      </c>
      <c r="X108" s="26"/>
      <c r="Y108" s="26"/>
      <c r="Z108" s="26"/>
      <c r="AA108" s="26"/>
    </row>
    <row r="109" spans="1:27" x14ac:dyDescent="0.25">
      <c r="A109" t="str">
        <f>IF(LEN(Bestellungen!$A109)&gt;0,Bestellungen!$A109,"")</f>
        <v/>
      </c>
      <c r="B109" s="26" t="str">
        <f>IF(ISERROR(VLOOKUP($A109,Bestellungen!$6:$1048576,MATCH(Kasse!B$5,Bestellungen!$A$5:$X$5,0),0))=FALSE,SUMIF(Kalkulation!$A$6:$A$40,Kasse!B$5&amp;"*",Kalkulation!$C$6:$C$40)*VLOOKUP($A109,Bestellungen!$6:$1048576,MATCH(Kasse!B$5,Bestellungen!$A$5:$X$5,0),0),"")</f>
        <v/>
      </c>
      <c r="C109" s="26" t="str">
        <f>IF(ISERROR(VLOOKUP($A109,Bestellungen!$6:$1048576,MATCH(Kasse!C$5,Bestellungen!$A$5:$X$5,0),0))=FALSE,SUMIF(Kalkulation!$A$6:$A$40,Kasse!C$5&amp;"*",Kalkulation!$C$6:$C$40)*VLOOKUP($A109,Bestellungen!$6:$1048576,MATCH(Kasse!C$5,Bestellungen!$A$5:$X$5,0),0),"")</f>
        <v/>
      </c>
      <c r="D109" s="26" t="str">
        <f>IF(ISERROR(VLOOKUP($A109,Bestellungen!$6:$1048576,MATCH(Kasse!D$5,Bestellungen!$A$5:$X$5,0),0))=FALSE,SUMIF(Kalkulation!$A$6:$A$40,Kasse!D$5&amp;"*",Kalkulation!$C$6:$C$40)*VLOOKUP($A109,Bestellungen!$6:$1048576,MATCH(Kasse!D$5,Bestellungen!$A$5:$X$5,0),0),"")</f>
        <v/>
      </c>
      <c r="E109" s="26" t="str">
        <f>IF(ISERROR(VLOOKUP($A109,Bestellungen!$6:$1048576,MATCH(Kasse!E$5,Bestellungen!$A$5:$X$5,0),0))=FALSE,SUMIF(Kalkulation!$A$6:$A$40,Kasse!E$5&amp;"*",Kalkulation!$C$6:$C$40)*VLOOKUP($A109,Bestellungen!$6:$1048576,MATCH(Kasse!E$5,Bestellungen!$A$5:$X$5,0),0),"")</f>
        <v/>
      </c>
      <c r="F109" s="26" t="str">
        <f>IF(ISERROR(VLOOKUP($A109,Bestellungen!$6:$1048576,MATCH(Kasse!F$5,Bestellungen!$A$5:$X$5,0),0))=FALSE,SUMIF(Kalkulation!$A$6:$A$40,Kasse!F$5&amp;"*",Kalkulation!$C$6:$C$40)*VLOOKUP($A109,Bestellungen!$6:$1048576,MATCH(Kasse!F$5,Bestellungen!$A$5:$X$5,0),0),"")</f>
        <v/>
      </c>
      <c r="G109" s="26" t="str">
        <f>IF(ISERROR(VLOOKUP($A109,Bestellungen!$6:$1048576,MATCH(Kasse!G$5,Bestellungen!$A$5:$X$5,0),0))=FALSE,SUMIF(Kalkulation!$A$6:$A$40,Kasse!G$5&amp;"*",Kalkulation!$C$6:$C$40)*VLOOKUP($A109,Bestellungen!$6:$1048576,MATCH(Kasse!G$5,Bestellungen!$A$5:$X$5,0),0),"")</f>
        <v/>
      </c>
      <c r="H109" s="26" t="str">
        <f>IF(ISERROR(VLOOKUP($A109,Bestellungen!$6:$1048576,MATCH(Kasse!H$5,Bestellungen!$A$5:$X$5,0),0))=FALSE,SUMIF(Kalkulation!$A$6:$A$40,Kasse!H$5&amp;"*",Kalkulation!$C$6:$C$40)*VLOOKUP($A109,Bestellungen!$6:$1048576,MATCH(Kasse!H$5,Bestellungen!$A$5:$X$5,0),0),"")</f>
        <v/>
      </c>
      <c r="I109" s="26" t="str">
        <f>IF(ISERROR(VLOOKUP($A109,Bestellungen!$6:$1048576,MATCH(Kasse!I$5,Bestellungen!$A$5:$X$5,0),0))=FALSE,SUMIF(Kalkulation!$A$6:$A$40,Kasse!I$5&amp;"*",Kalkulation!$C$6:$C$40)*VLOOKUP($A109,Bestellungen!$6:$1048576,MATCH(Kasse!I$5,Bestellungen!$A$5:$X$5,0),0),"")</f>
        <v/>
      </c>
      <c r="J109" s="26" t="str">
        <f>IF(ISERROR(VLOOKUP($A109,Bestellungen!$6:$1048576,MATCH(Kasse!J$5,Bestellungen!$A$5:$X$5,0),0))=FALSE,SUMIF(Kalkulation!$A$6:$A$40,Kasse!J$5&amp;"*",Kalkulation!$C$6:$C$40)*VLOOKUP($A109,Bestellungen!$6:$1048576,MATCH(Kasse!J$5,Bestellungen!$A$5:$X$5,0),0),"")</f>
        <v/>
      </c>
      <c r="K109" s="26" t="str">
        <f>IF(ISERROR(VLOOKUP($A109,Bestellungen!$6:$1048576,MATCH(Kasse!K$5,Bestellungen!$A$5:$X$5,0),0))=FALSE,SUMIF(Kalkulation!$A$6:$A$40,Kasse!K$5&amp;"*",Kalkulation!$C$6:$C$40)*VLOOKUP($A109,Bestellungen!$6:$1048576,MATCH(Kasse!K$5,Bestellungen!$A$5:$X$5,0),0),"")</f>
        <v/>
      </c>
      <c r="L109" s="26" t="str">
        <f>IF(ISERROR(VLOOKUP($A109,Bestellungen!$6:$1048576,MATCH(Kasse!L$5,Bestellungen!$A$5:$X$5,0),0))=FALSE,SUMIF(Kalkulation!$A$6:$A$40,Kasse!L$5&amp;"*",Kalkulation!$C$6:$C$40)*VLOOKUP($A109,Bestellungen!$6:$1048576,MATCH(Kasse!L$5,Bestellungen!$A$5:$X$5,0),0),"")</f>
        <v/>
      </c>
      <c r="M109" s="26" t="str">
        <f>IF(ISERROR(VLOOKUP($A109,Bestellungen!$6:$1048576,MATCH(Kasse!M$5,Bestellungen!$A$5:$X$5,0),0))=FALSE,SUMIF(Kalkulation!$A$6:$A$40,Kasse!M$5&amp;"*",Kalkulation!$C$6:$C$40)*VLOOKUP($A109,Bestellungen!$6:$1048576,MATCH(Kasse!M$5,Bestellungen!$A$5:$X$5,0),0),"")</f>
        <v/>
      </c>
      <c r="N109" s="26" t="str">
        <f>IF(ISERROR(VLOOKUP($A109,Bestellungen!$6:$1048576,MATCH(Kasse!N$5,Bestellungen!$A$5:$X$5,0),0))=FALSE,SUMIF(Kalkulation!$A$6:$A$40,Kasse!N$5&amp;"*",Kalkulation!$C$6:$C$40)*VLOOKUP($A109,Bestellungen!$6:$1048576,MATCH(Kasse!N$5,Bestellungen!$A$5:$X$5,0),0),"")</f>
        <v/>
      </c>
      <c r="O109" s="26" t="str">
        <f>IF(ISERROR(VLOOKUP($A109,Bestellungen!$6:$1048576,MATCH(Kasse!O$5,Bestellungen!$A$5:$X$5,0),0))=FALSE,SUMIF(Kalkulation!$A$6:$A$40,Kasse!O$5&amp;"*",Kalkulation!$C$6:$C$40)*VLOOKUP($A109,Bestellungen!$6:$1048576,MATCH(Kasse!O$5,Bestellungen!$A$5:$X$5,0),0),"")</f>
        <v/>
      </c>
      <c r="P109" s="26" t="str">
        <f>IF(ISERROR(VLOOKUP($A109,Bestellungen!$6:$1048576,MATCH(Kasse!P$5,Bestellungen!$A$5:$X$5,0),0))=FALSE,SUMIF(Kalkulation!$A$6:$A$40,Kasse!P$5&amp;"*",Kalkulation!$C$6:$C$40)*VLOOKUP($A109,Bestellungen!$6:$1048576,MATCH(Kasse!P$5,Bestellungen!$A$5:$X$5,0),0),"")</f>
        <v/>
      </c>
      <c r="Q109" s="26" t="str">
        <f>IF(ISERROR(VLOOKUP($A109,Bestellungen!$6:$1048576,MATCH(Kasse!Q$5,Bestellungen!$A$5:$X$5,0),0))=FALSE,SUMIF(Kalkulation!$A$6:$A$40,Kasse!Q$5&amp;"*",Kalkulation!$C$6:$C$40)*VLOOKUP($A109,Bestellungen!$6:$1048576,MATCH(Kasse!Q$5,Bestellungen!$A$5:$X$5,0),0),"")</f>
        <v/>
      </c>
      <c r="R109" s="26" t="str">
        <f>IF(ISERROR(VLOOKUP($A109,Bestellungen!$6:$1048576,MATCH(Kasse!R$5,Bestellungen!$A$5:$X$5,0),0))=FALSE,SUMIF(Kalkulation!$A$6:$A$40,Kasse!R$5&amp;"*",Kalkulation!$C$6:$C$40)*VLOOKUP($A109,Bestellungen!$6:$1048576,MATCH(Kasse!R$5,Bestellungen!$A$5:$X$5,0),0),"")</f>
        <v/>
      </c>
      <c r="S109" s="26" t="str">
        <f>IF(ISERROR(VLOOKUP($A109,Bestellungen!$6:$1048576,MATCH(Kasse!S$5,Bestellungen!$A$5:$X$5,0),0))=FALSE,SUMIF(Kalkulation!$A$6:$A$40,Kasse!S$5&amp;"*",Kalkulation!$C$6:$C$40)*VLOOKUP($A109,Bestellungen!$6:$1048576,MATCH(Kasse!S$5,Bestellungen!$A$5:$X$5,0),0),"")</f>
        <v/>
      </c>
      <c r="T109" s="26" t="str">
        <f>IF(ISERROR(VLOOKUP($A109,Bestellungen!$6:$1048576,MATCH(Kasse!T$5,Bestellungen!$A$5:$X$5,0),0))=FALSE,SUMIF(Kalkulation!$A$6:$A$40,Kasse!T$5&amp;"*",Kalkulation!$C$6:$C$40)*VLOOKUP($A109,Bestellungen!$6:$1048576,MATCH(Kasse!T$5,Bestellungen!$A$5:$X$5,0),0),"")</f>
        <v/>
      </c>
      <c r="U109" s="26" t="str">
        <f t="shared" si="2"/>
        <v/>
      </c>
      <c r="W109" s="26" t="str">
        <f t="shared" si="3"/>
        <v/>
      </c>
      <c r="X109" s="26"/>
      <c r="Y109" s="26"/>
      <c r="Z109" s="26"/>
      <c r="AA109" s="26"/>
    </row>
    <row r="110" spans="1:27" x14ac:dyDescent="0.25">
      <c r="A110" t="str">
        <f>IF(LEN(Bestellungen!$A110)&gt;0,Bestellungen!$A110,"")</f>
        <v/>
      </c>
      <c r="B110" s="26" t="str">
        <f>IF(ISERROR(VLOOKUP($A110,Bestellungen!$6:$1048576,MATCH(Kasse!B$5,Bestellungen!$A$5:$X$5,0),0))=FALSE,SUMIF(Kalkulation!$A$6:$A$40,Kasse!B$5&amp;"*",Kalkulation!$C$6:$C$40)*VLOOKUP($A110,Bestellungen!$6:$1048576,MATCH(Kasse!B$5,Bestellungen!$A$5:$X$5,0),0),"")</f>
        <v/>
      </c>
      <c r="C110" s="26" t="str">
        <f>IF(ISERROR(VLOOKUP($A110,Bestellungen!$6:$1048576,MATCH(Kasse!C$5,Bestellungen!$A$5:$X$5,0),0))=FALSE,SUMIF(Kalkulation!$A$6:$A$40,Kasse!C$5&amp;"*",Kalkulation!$C$6:$C$40)*VLOOKUP($A110,Bestellungen!$6:$1048576,MATCH(Kasse!C$5,Bestellungen!$A$5:$X$5,0),0),"")</f>
        <v/>
      </c>
      <c r="D110" s="26" t="str">
        <f>IF(ISERROR(VLOOKUP($A110,Bestellungen!$6:$1048576,MATCH(Kasse!D$5,Bestellungen!$A$5:$X$5,0),0))=FALSE,SUMIF(Kalkulation!$A$6:$A$40,Kasse!D$5&amp;"*",Kalkulation!$C$6:$C$40)*VLOOKUP($A110,Bestellungen!$6:$1048576,MATCH(Kasse!D$5,Bestellungen!$A$5:$X$5,0),0),"")</f>
        <v/>
      </c>
      <c r="E110" s="26" t="str">
        <f>IF(ISERROR(VLOOKUP($A110,Bestellungen!$6:$1048576,MATCH(Kasse!E$5,Bestellungen!$A$5:$X$5,0),0))=FALSE,SUMIF(Kalkulation!$A$6:$A$40,Kasse!E$5&amp;"*",Kalkulation!$C$6:$C$40)*VLOOKUP($A110,Bestellungen!$6:$1048576,MATCH(Kasse!E$5,Bestellungen!$A$5:$X$5,0),0),"")</f>
        <v/>
      </c>
      <c r="F110" s="26" t="str">
        <f>IF(ISERROR(VLOOKUP($A110,Bestellungen!$6:$1048576,MATCH(Kasse!F$5,Bestellungen!$A$5:$X$5,0),0))=FALSE,SUMIF(Kalkulation!$A$6:$A$40,Kasse!F$5&amp;"*",Kalkulation!$C$6:$C$40)*VLOOKUP($A110,Bestellungen!$6:$1048576,MATCH(Kasse!F$5,Bestellungen!$A$5:$X$5,0),0),"")</f>
        <v/>
      </c>
      <c r="G110" s="26" t="str">
        <f>IF(ISERROR(VLOOKUP($A110,Bestellungen!$6:$1048576,MATCH(Kasse!G$5,Bestellungen!$A$5:$X$5,0),0))=FALSE,SUMIF(Kalkulation!$A$6:$A$40,Kasse!G$5&amp;"*",Kalkulation!$C$6:$C$40)*VLOOKUP($A110,Bestellungen!$6:$1048576,MATCH(Kasse!G$5,Bestellungen!$A$5:$X$5,0),0),"")</f>
        <v/>
      </c>
      <c r="H110" s="26" t="str">
        <f>IF(ISERROR(VLOOKUP($A110,Bestellungen!$6:$1048576,MATCH(Kasse!H$5,Bestellungen!$A$5:$X$5,0),0))=FALSE,SUMIF(Kalkulation!$A$6:$A$40,Kasse!H$5&amp;"*",Kalkulation!$C$6:$C$40)*VLOOKUP($A110,Bestellungen!$6:$1048576,MATCH(Kasse!H$5,Bestellungen!$A$5:$X$5,0),0),"")</f>
        <v/>
      </c>
      <c r="I110" s="26" t="str">
        <f>IF(ISERROR(VLOOKUP($A110,Bestellungen!$6:$1048576,MATCH(Kasse!I$5,Bestellungen!$A$5:$X$5,0),0))=FALSE,SUMIF(Kalkulation!$A$6:$A$40,Kasse!I$5&amp;"*",Kalkulation!$C$6:$C$40)*VLOOKUP($A110,Bestellungen!$6:$1048576,MATCH(Kasse!I$5,Bestellungen!$A$5:$X$5,0),0),"")</f>
        <v/>
      </c>
      <c r="J110" s="26" t="str">
        <f>IF(ISERROR(VLOOKUP($A110,Bestellungen!$6:$1048576,MATCH(Kasse!J$5,Bestellungen!$A$5:$X$5,0),0))=FALSE,SUMIF(Kalkulation!$A$6:$A$40,Kasse!J$5&amp;"*",Kalkulation!$C$6:$C$40)*VLOOKUP($A110,Bestellungen!$6:$1048576,MATCH(Kasse!J$5,Bestellungen!$A$5:$X$5,0),0),"")</f>
        <v/>
      </c>
      <c r="K110" s="26" t="str">
        <f>IF(ISERROR(VLOOKUP($A110,Bestellungen!$6:$1048576,MATCH(Kasse!K$5,Bestellungen!$A$5:$X$5,0),0))=FALSE,SUMIF(Kalkulation!$A$6:$A$40,Kasse!K$5&amp;"*",Kalkulation!$C$6:$C$40)*VLOOKUP($A110,Bestellungen!$6:$1048576,MATCH(Kasse!K$5,Bestellungen!$A$5:$X$5,0),0),"")</f>
        <v/>
      </c>
      <c r="L110" s="26" t="str">
        <f>IF(ISERROR(VLOOKUP($A110,Bestellungen!$6:$1048576,MATCH(Kasse!L$5,Bestellungen!$A$5:$X$5,0),0))=FALSE,SUMIF(Kalkulation!$A$6:$A$40,Kasse!L$5&amp;"*",Kalkulation!$C$6:$C$40)*VLOOKUP($A110,Bestellungen!$6:$1048576,MATCH(Kasse!L$5,Bestellungen!$A$5:$X$5,0),0),"")</f>
        <v/>
      </c>
      <c r="M110" s="26" t="str">
        <f>IF(ISERROR(VLOOKUP($A110,Bestellungen!$6:$1048576,MATCH(Kasse!M$5,Bestellungen!$A$5:$X$5,0),0))=FALSE,SUMIF(Kalkulation!$A$6:$A$40,Kasse!M$5&amp;"*",Kalkulation!$C$6:$C$40)*VLOOKUP($A110,Bestellungen!$6:$1048576,MATCH(Kasse!M$5,Bestellungen!$A$5:$X$5,0),0),"")</f>
        <v/>
      </c>
      <c r="N110" s="26" t="str">
        <f>IF(ISERROR(VLOOKUP($A110,Bestellungen!$6:$1048576,MATCH(Kasse!N$5,Bestellungen!$A$5:$X$5,0),0))=FALSE,SUMIF(Kalkulation!$A$6:$A$40,Kasse!N$5&amp;"*",Kalkulation!$C$6:$C$40)*VLOOKUP($A110,Bestellungen!$6:$1048576,MATCH(Kasse!N$5,Bestellungen!$A$5:$X$5,0),0),"")</f>
        <v/>
      </c>
      <c r="O110" s="26" t="str">
        <f>IF(ISERROR(VLOOKUP($A110,Bestellungen!$6:$1048576,MATCH(Kasse!O$5,Bestellungen!$A$5:$X$5,0),0))=FALSE,SUMIF(Kalkulation!$A$6:$A$40,Kasse!O$5&amp;"*",Kalkulation!$C$6:$C$40)*VLOOKUP($A110,Bestellungen!$6:$1048576,MATCH(Kasse!O$5,Bestellungen!$A$5:$X$5,0),0),"")</f>
        <v/>
      </c>
      <c r="P110" s="26" t="str">
        <f>IF(ISERROR(VLOOKUP($A110,Bestellungen!$6:$1048576,MATCH(Kasse!P$5,Bestellungen!$A$5:$X$5,0),0))=FALSE,SUMIF(Kalkulation!$A$6:$A$40,Kasse!P$5&amp;"*",Kalkulation!$C$6:$C$40)*VLOOKUP($A110,Bestellungen!$6:$1048576,MATCH(Kasse!P$5,Bestellungen!$A$5:$X$5,0),0),"")</f>
        <v/>
      </c>
      <c r="Q110" s="26" t="str">
        <f>IF(ISERROR(VLOOKUP($A110,Bestellungen!$6:$1048576,MATCH(Kasse!Q$5,Bestellungen!$A$5:$X$5,0),0))=FALSE,SUMIF(Kalkulation!$A$6:$A$40,Kasse!Q$5&amp;"*",Kalkulation!$C$6:$C$40)*VLOOKUP($A110,Bestellungen!$6:$1048576,MATCH(Kasse!Q$5,Bestellungen!$A$5:$X$5,0),0),"")</f>
        <v/>
      </c>
      <c r="R110" s="26" t="str">
        <f>IF(ISERROR(VLOOKUP($A110,Bestellungen!$6:$1048576,MATCH(Kasse!R$5,Bestellungen!$A$5:$X$5,0),0))=FALSE,SUMIF(Kalkulation!$A$6:$A$40,Kasse!R$5&amp;"*",Kalkulation!$C$6:$C$40)*VLOOKUP($A110,Bestellungen!$6:$1048576,MATCH(Kasse!R$5,Bestellungen!$A$5:$X$5,0),0),"")</f>
        <v/>
      </c>
      <c r="S110" s="26" t="str">
        <f>IF(ISERROR(VLOOKUP($A110,Bestellungen!$6:$1048576,MATCH(Kasse!S$5,Bestellungen!$A$5:$X$5,0),0))=FALSE,SUMIF(Kalkulation!$A$6:$A$40,Kasse!S$5&amp;"*",Kalkulation!$C$6:$C$40)*VLOOKUP($A110,Bestellungen!$6:$1048576,MATCH(Kasse!S$5,Bestellungen!$A$5:$X$5,0),0),"")</f>
        <v/>
      </c>
      <c r="T110" s="26" t="str">
        <f>IF(ISERROR(VLOOKUP($A110,Bestellungen!$6:$1048576,MATCH(Kasse!T$5,Bestellungen!$A$5:$X$5,0),0))=FALSE,SUMIF(Kalkulation!$A$6:$A$40,Kasse!T$5&amp;"*",Kalkulation!$C$6:$C$40)*VLOOKUP($A110,Bestellungen!$6:$1048576,MATCH(Kasse!T$5,Bestellungen!$A$5:$X$5,0),0),"")</f>
        <v/>
      </c>
      <c r="U110" s="26" t="str">
        <f t="shared" si="2"/>
        <v/>
      </c>
      <c r="W110" s="26" t="str">
        <f t="shared" si="3"/>
        <v/>
      </c>
      <c r="X110" s="26"/>
      <c r="Y110" s="26"/>
      <c r="Z110" s="26"/>
      <c r="AA110" s="26"/>
    </row>
    <row r="111" spans="1:27" x14ac:dyDescent="0.25">
      <c r="A111" t="str">
        <f>IF(LEN(Bestellungen!$A111)&gt;0,Bestellungen!$A111,"")</f>
        <v/>
      </c>
      <c r="B111" s="26" t="str">
        <f>IF(ISERROR(VLOOKUP($A111,Bestellungen!$6:$1048576,MATCH(Kasse!B$5,Bestellungen!$A$5:$X$5,0),0))=FALSE,SUMIF(Kalkulation!$A$6:$A$40,Kasse!B$5&amp;"*",Kalkulation!$C$6:$C$40)*VLOOKUP($A111,Bestellungen!$6:$1048576,MATCH(Kasse!B$5,Bestellungen!$A$5:$X$5,0),0),"")</f>
        <v/>
      </c>
      <c r="C111" s="26" t="str">
        <f>IF(ISERROR(VLOOKUP($A111,Bestellungen!$6:$1048576,MATCH(Kasse!C$5,Bestellungen!$A$5:$X$5,0),0))=FALSE,SUMIF(Kalkulation!$A$6:$A$40,Kasse!C$5&amp;"*",Kalkulation!$C$6:$C$40)*VLOOKUP($A111,Bestellungen!$6:$1048576,MATCH(Kasse!C$5,Bestellungen!$A$5:$X$5,0),0),"")</f>
        <v/>
      </c>
      <c r="D111" s="26" t="str">
        <f>IF(ISERROR(VLOOKUP($A111,Bestellungen!$6:$1048576,MATCH(Kasse!D$5,Bestellungen!$A$5:$X$5,0),0))=FALSE,SUMIF(Kalkulation!$A$6:$A$40,Kasse!D$5&amp;"*",Kalkulation!$C$6:$C$40)*VLOOKUP($A111,Bestellungen!$6:$1048576,MATCH(Kasse!D$5,Bestellungen!$A$5:$X$5,0),0),"")</f>
        <v/>
      </c>
      <c r="E111" s="26" t="str">
        <f>IF(ISERROR(VLOOKUP($A111,Bestellungen!$6:$1048576,MATCH(Kasse!E$5,Bestellungen!$A$5:$X$5,0),0))=FALSE,SUMIF(Kalkulation!$A$6:$A$40,Kasse!E$5&amp;"*",Kalkulation!$C$6:$C$40)*VLOOKUP($A111,Bestellungen!$6:$1048576,MATCH(Kasse!E$5,Bestellungen!$A$5:$X$5,0),0),"")</f>
        <v/>
      </c>
      <c r="F111" s="26" t="str">
        <f>IF(ISERROR(VLOOKUP($A111,Bestellungen!$6:$1048576,MATCH(Kasse!F$5,Bestellungen!$A$5:$X$5,0),0))=FALSE,SUMIF(Kalkulation!$A$6:$A$40,Kasse!F$5&amp;"*",Kalkulation!$C$6:$C$40)*VLOOKUP($A111,Bestellungen!$6:$1048576,MATCH(Kasse!F$5,Bestellungen!$A$5:$X$5,0),0),"")</f>
        <v/>
      </c>
      <c r="G111" s="26" t="str">
        <f>IF(ISERROR(VLOOKUP($A111,Bestellungen!$6:$1048576,MATCH(Kasse!G$5,Bestellungen!$A$5:$X$5,0),0))=FALSE,SUMIF(Kalkulation!$A$6:$A$40,Kasse!G$5&amp;"*",Kalkulation!$C$6:$C$40)*VLOOKUP($A111,Bestellungen!$6:$1048576,MATCH(Kasse!G$5,Bestellungen!$A$5:$X$5,0),0),"")</f>
        <v/>
      </c>
      <c r="H111" s="26" t="str">
        <f>IF(ISERROR(VLOOKUP($A111,Bestellungen!$6:$1048576,MATCH(Kasse!H$5,Bestellungen!$A$5:$X$5,0),0))=FALSE,SUMIF(Kalkulation!$A$6:$A$40,Kasse!H$5&amp;"*",Kalkulation!$C$6:$C$40)*VLOOKUP($A111,Bestellungen!$6:$1048576,MATCH(Kasse!H$5,Bestellungen!$A$5:$X$5,0),0),"")</f>
        <v/>
      </c>
      <c r="I111" s="26" t="str">
        <f>IF(ISERROR(VLOOKUP($A111,Bestellungen!$6:$1048576,MATCH(Kasse!I$5,Bestellungen!$A$5:$X$5,0),0))=FALSE,SUMIF(Kalkulation!$A$6:$A$40,Kasse!I$5&amp;"*",Kalkulation!$C$6:$C$40)*VLOOKUP($A111,Bestellungen!$6:$1048576,MATCH(Kasse!I$5,Bestellungen!$A$5:$X$5,0),0),"")</f>
        <v/>
      </c>
      <c r="J111" s="26" t="str">
        <f>IF(ISERROR(VLOOKUP($A111,Bestellungen!$6:$1048576,MATCH(Kasse!J$5,Bestellungen!$A$5:$X$5,0),0))=FALSE,SUMIF(Kalkulation!$A$6:$A$40,Kasse!J$5&amp;"*",Kalkulation!$C$6:$C$40)*VLOOKUP($A111,Bestellungen!$6:$1048576,MATCH(Kasse!J$5,Bestellungen!$A$5:$X$5,0),0),"")</f>
        <v/>
      </c>
      <c r="K111" s="26" t="str">
        <f>IF(ISERROR(VLOOKUP($A111,Bestellungen!$6:$1048576,MATCH(Kasse!K$5,Bestellungen!$A$5:$X$5,0),0))=FALSE,SUMIF(Kalkulation!$A$6:$A$40,Kasse!K$5&amp;"*",Kalkulation!$C$6:$C$40)*VLOOKUP($A111,Bestellungen!$6:$1048576,MATCH(Kasse!K$5,Bestellungen!$A$5:$X$5,0),0),"")</f>
        <v/>
      </c>
      <c r="L111" s="26" t="str">
        <f>IF(ISERROR(VLOOKUP($A111,Bestellungen!$6:$1048576,MATCH(Kasse!L$5,Bestellungen!$A$5:$X$5,0),0))=FALSE,SUMIF(Kalkulation!$A$6:$A$40,Kasse!L$5&amp;"*",Kalkulation!$C$6:$C$40)*VLOOKUP($A111,Bestellungen!$6:$1048576,MATCH(Kasse!L$5,Bestellungen!$A$5:$X$5,0),0),"")</f>
        <v/>
      </c>
      <c r="M111" s="26" t="str">
        <f>IF(ISERROR(VLOOKUP($A111,Bestellungen!$6:$1048576,MATCH(Kasse!M$5,Bestellungen!$A$5:$X$5,0),0))=FALSE,SUMIF(Kalkulation!$A$6:$A$40,Kasse!M$5&amp;"*",Kalkulation!$C$6:$C$40)*VLOOKUP($A111,Bestellungen!$6:$1048576,MATCH(Kasse!M$5,Bestellungen!$A$5:$X$5,0),0),"")</f>
        <v/>
      </c>
      <c r="N111" s="26" t="str">
        <f>IF(ISERROR(VLOOKUP($A111,Bestellungen!$6:$1048576,MATCH(Kasse!N$5,Bestellungen!$A$5:$X$5,0),0))=FALSE,SUMIF(Kalkulation!$A$6:$A$40,Kasse!N$5&amp;"*",Kalkulation!$C$6:$C$40)*VLOOKUP($A111,Bestellungen!$6:$1048576,MATCH(Kasse!N$5,Bestellungen!$A$5:$X$5,0),0),"")</f>
        <v/>
      </c>
      <c r="O111" s="26" t="str">
        <f>IF(ISERROR(VLOOKUP($A111,Bestellungen!$6:$1048576,MATCH(Kasse!O$5,Bestellungen!$A$5:$X$5,0),0))=FALSE,SUMIF(Kalkulation!$A$6:$A$40,Kasse!O$5&amp;"*",Kalkulation!$C$6:$C$40)*VLOOKUP($A111,Bestellungen!$6:$1048576,MATCH(Kasse!O$5,Bestellungen!$A$5:$X$5,0),0),"")</f>
        <v/>
      </c>
      <c r="P111" s="26" t="str">
        <f>IF(ISERROR(VLOOKUP($A111,Bestellungen!$6:$1048576,MATCH(Kasse!P$5,Bestellungen!$A$5:$X$5,0),0))=FALSE,SUMIF(Kalkulation!$A$6:$A$40,Kasse!P$5&amp;"*",Kalkulation!$C$6:$C$40)*VLOOKUP($A111,Bestellungen!$6:$1048576,MATCH(Kasse!P$5,Bestellungen!$A$5:$X$5,0),0),"")</f>
        <v/>
      </c>
      <c r="Q111" s="26" t="str">
        <f>IF(ISERROR(VLOOKUP($A111,Bestellungen!$6:$1048576,MATCH(Kasse!Q$5,Bestellungen!$A$5:$X$5,0),0))=FALSE,SUMIF(Kalkulation!$A$6:$A$40,Kasse!Q$5&amp;"*",Kalkulation!$C$6:$C$40)*VLOOKUP($A111,Bestellungen!$6:$1048576,MATCH(Kasse!Q$5,Bestellungen!$A$5:$X$5,0),0),"")</f>
        <v/>
      </c>
      <c r="R111" s="26" t="str">
        <f>IF(ISERROR(VLOOKUP($A111,Bestellungen!$6:$1048576,MATCH(Kasse!R$5,Bestellungen!$A$5:$X$5,0),0))=FALSE,SUMIF(Kalkulation!$A$6:$A$40,Kasse!R$5&amp;"*",Kalkulation!$C$6:$C$40)*VLOOKUP($A111,Bestellungen!$6:$1048576,MATCH(Kasse!R$5,Bestellungen!$A$5:$X$5,0),0),"")</f>
        <v/>
      </c>
      <c r="S111" s="26" t="str">
        <f>IF(ISERROR(VLOOKUP($A111,Bestellungen!$6:$1048576,MATCH(Kasse!S$5,Bestellungen!$A$5:$X$5,0),0))=FALSE,SUMIF(Kalkulation!$A$6:$A$40,Kasse!S$5&amp;"*",Kalkulation!$C$6:$C$40)*VLOOKUP($A111,Bestellungen!$6:$1048576,MATCH(Kasse!S$5,Bestellungen!$A$5:$X$5,0),0),"")</f>
        <v/>
      </c>
      <c r="T111" s="26" t="str">
        <f>IF(ISERROR(VLOOKUP($A111,Bestellungen!$6:$1048576,MATCH(Kasse!T$5,Bestellungen!$A$5:$X$5,0),0))=FALSE,SUMIF(Kalkulation!$A$6:$A$40,Kasse!T$5&amp;"*",Kalkulation!$C$6:$C$40)*VLOOKUP($A111,Bestellungen!$6:$1048576,MATCH(Kasse!T$5,Bestellungen!$A$5:$X$5,0),0),"")</f>
        <v/>
      </c>
      <c r="U111" s="26" t="str">
        <f t="shared" si="2"/>
        <v/>
      </c>
      <c r="W111" s="26" t="str">
        <f t="shared" si="3"/>
        <v/>
      </c>
      <c r="X111" s="26"/>
      <c r="Y111" s="26"/>
      <c r="Z111" s="26"/>
      <c r="AA111" s="26"/>
    </row>
    <row r="112" spans="1:27" x14ac:dyDescent="0.25">
      <c r="A112" t="str">
        <f>IF(LEN(Bestellungen!$A112)&gt;0,Bestellungen!$A112,"")</f>
        <v/>
      </c>
      <c r="B112" s="26" t="str">
        <f>IF(ISERROR(VLOOKUP($A112,Bestellungen!$6:$1048576,MATCH(Kasse!B$5,Bestellungen!$A$5:$X$5,0),0))=FALSE,SUMIF(Kalkulation!$A$6:$A$40,Kasse!B$5&amp;"*",Kalkulation!$C$6:$C$40)*VLOOKUP($A112,Bestellungen!$6:$1048576,MATCH(Kasse!B$5,Bestellungen!$A$5:$X$5,0),0),"")</f>
        <v/>
      </c>
      <c r="C112" s="26" t="str">
        <f>IF(ISERROR(VLOOKUP($A112,Bestellungen!$6:$1048576,MATCH(Kasse!C$5,Bestellungen!$A$5:$X$5,0),0))=FALSE,SUMIF(Kalkulation!$A$6:$A$40,Kasse!C$5&amp;"*",Kalkulation!$C$6:$C$40)*VLOOKUP($A112,Bestellungen!$6:$1048576,MATCH(Kasse!C$5,Bestellungen!$A$5:$X$5,0),0),"")</f>
        <v/>
      </c>
      <c r="D112" s="26" t="str">
        <f>IF(ISERROR(VLOOKUP($A112,Bestellungen!$6:$1048576,MATCH(Kasse!D$5,Bestellungen!$A$5:$X$5,0),0))=FALSE,SUMIF(Kalkulation!$A$6:$A$40,Kasse!D$5&amp;"*",Kalkulation!$C$6:$C$40)*VLOOKUP($A112,Bestellungen!$6:$1048576,MATCH(Kasse!D$5,Bestellungen!$A$5:$X$5,0),0),"")</f>
        <v/>
      </c>
      <c r="E112" s="26" t="str">
        <f>IF(ISERROR(VLOOKUP($A112,Bestellungen!$6:$1048576,MATCH(Kasse!E$5,Bestellungen!$A$5:$X$5,0),0))=FALSE,SUMIF(Kalkulation!$A$6:$A$40,Kasse!E$5&amp;"*",Kalkulation!$C$6:$C$40)*VLOOKUP($A112,Bestellungen!$6:$1048576,MATCH(Kasse!E$5,Bestellungen!$A$5:$X$5,0),0),"")</f>
        <v/>
      </c>
      <c r="F112" s="26" t="str">
        <f>IF(ISERROR(VLOOKUP($A112,Bestellungen!$6:$1048576,MATCH(Kasse!F$5,Bestellungen!$A$5:$X$5,0),0))=FALSE,SUMIF(Kalkulation!$A$6:$A$40,Kasse!F$5&amp;"*",Kalkulation!$C$6:$C$40)*VLOOKUP($A112,Bestellungen!$6:$1048576,MATCH(Kasse!F$5,Bestellungen!$A$5:$X$5,0),0),"")</f>
        <v/>
      </c>
      <c r="G112" s="26" t="str">
        <f>IF(ISERROR(VLOOKUP($A112,Bestellungen!$6:$1048576,MATCH(Kasse!G$5,Bestellungen!$A$5:$X$5,0),0))=FALSE,SUMIF(Kalkulation!$A$6:$A$40,Kasse!G$5&amp;"*",Kalkulation!$C$6:$C$40)*VLOOKUP($A112,Bestellungen!$6:$1048576,MATCH(Kasse!G$5,Bestellungen!$A$5:$X$5,0),0),"")</f>
        <v/>
      </c>
      <c r="H112" s="26" t="str">
        <f>IF(ISERROR(VLOOKUP($A112,Bestellungen!$6:$1048576,MATCH(Kasse!H$5,Bestellungen!$A$5:$X$5,0),0))=FALSE,SUMIF(Kalkulation!$A$6:$A$40,Kasse!H$5&amp;"*",Kalkulation!$C$6:$C$40)*VLOOKUP($A112,Bestellungen!$6:$1048576,MATCH(Kasse!H$5,Bestellungen!$A$5:$X$5,0),0),"")</f>
        <v/>
      </c>
      <c r="I112" s="26" t="str">
        <f>IF(ISERROR(VLOOKUP($A112,Bestellungen!$6:$1048576,MATCH(Kasse!I$5,Bestellungen!$A$5:$X$5,0),0))=FALSE,SUMIF(Kalkulation!$A$6:$A$40,Kasse!I$5&amp;"*",Kalkulation!$C$6:$C$40)*VLOOKUP($A112,Bestellungen!$6:$1048576,MATCH(Kasse!I$5,Bestellungen!$A$5:$X$5,0),0),"")</f>
        <v/>
      </c>
      <c r="J112" s="26" t="str">
        <f>IF(ISERROR(VLOOKUP($A112,Bestellungen!$6:$1048576,MATCH(Kasse!J$5,Bestellungen!$A$5:$X$5,0),0))=FALSE,SUMIF(Kalkulation!$A$6:$A$40,Kasse!J$5&amp;"*",Kalkulation!$C$6:$C$40)*VLOOKUP($A112,Bestellungen!$6:$1048576,MATCH(Kasse!J$5,Bestellungen!$A$5:$X$5,0),0),"")</f>
        <v/>
      </c>
      <c r="K112" s="26" t="str">
        <f>IF(ISERROR(VLOOKUP($A112,Bestellungen!$6:$1048576,MATCH(Kasse!K$5,Bestellungen!$A$5:$X$5,0),0))=FALSE,SUMIF(Kalkulation!$A$6:$A$40,Kasse!K$5&amp;"*",Kalkulation!$C$6:$C$40)*VLOOKUP($A112,Bestellungen!$6:$1048576,MATCH(Kasse!K$5,Bestellungen!$A$5:$X$5,0),0),"")</f>
        <v/>
      </c>
      <c r="L112" s="26" t="str">
        <f>IF(ISERROR(VLOOKUP($A112,Bestellungen!$6:$1048576,MATCH(Kasse!L$5,Bestellungen!$A$5:$X$5,0),0))=FALSE,SUMIF(Kalkulation!$A$6:$A$40,Kasse!L$5&amp;"*",Kalkulation!$C$6:$C$40)*VLOOKUP($A112,Bestellungen!$6:$1048576,MATCH(Kasse!L$5,Bestellungen!$A$5:$X$5,0),0),"")</f>
        <v/>
      </c>
      <c r="M112" s="26" t="str">
        <f>IF(ISERROR(VLOOKUP($A112,Bestellungen!$6:$1048576,MATCH(Kasse!M$5,Bestellungen!$A$5:$X$5,0),0))=FALSE,SUMIF(Kalkulation!$A$6:$A$40,Kasse!M$5&amp;"*",Kalkulation!$C$6:$C$40)*VLOOKUP($A112,Bestellungen!$6:$1048576,MATCH(Kasse!M$5,Bestellungen!$A$5:$X$5,0),0),"")</f>
        <v/>
      </c>
      <c r="N112" s="26" t="str">
        <f>IF(ISERROR(VLOOKUP($A112,Bestellungen!$6:$1048576,MATCH(Kasse!N$5,Bestellungen!$A$5:$X$5,0),0))=FALSE,SUMIF(Kalkulation!$A$6:$A$40,Kasse!N$5&amp;"*",Kalkulation!$C$6:$C$40)*VLOOKUP($A112,Bestellungen!$6:$1048576,MATCH(Kasse!N$5,Bestellungen!$A$5:$X$5,0),0),"")</f>
        <v/>
      </c>
      <c r="O112" s="26" t="str">
        <f>IF(ISERROR(VLOOKUP($A112,Bestellungen!$6:$1048576,MATCH(Kasse!O$5,Bestellungen!$A$5:$X$5,0),0))=FALSE,SUMIF(Kalkulation!$A$6:$A$40,Kasse!O$5&amp;"*",Kalkulation!$C$6:$C$40)*VLOOKUP($A112,Bestellungen!$6:$1048576,MATCH(Kasse!O$5,Bestellungen!$A$5:$X$5,0),0),"")</f>
        <v/>
      </c>
      <c r="P112" s="26" t="str">
        <f>IF(ISERROR(VLOOKUP($A112,Bestellungen!$6:$1048576,MATCH(Kasse!P$5,Bestellungen!$A$5:$X$5,0),0))=FALSE,SUMIF(Kalkulation!$A$6:$A$40,Kasse!P$5&amp;"*",Kalkulation!$C$6:$C$40)*VLOOKUP($A112,Bestellungen!$6:$1048576,MATCH(Kasse!P$5,Bestellungen!$A$5:$X$5,0),0),"")</f>
        <v/>
      </c>
      <c r="Q112" s="26" t="str">
        <f>IF(ISERROR(VLOOKUP($A112,Bestellungen!$6:$1048576,MATCH(Kasse!Q$5,Bestellungen!$A$5:$X$5,0),0))=FALSE,SUMIF(Kalkulation!$A$6:$A$40,Kasse!Q$5&amp;"*",Kalkulation!$C$6:$C$40)*VLOOKUP($A112,Bestellungen!$6:$1048576,MATCH(Kasse!Q$5,Bestellungen!$A$5:$X$5,0),0),"")</f>
        <v/>
      </c>
      <c r="R112" s="26" t="str">
        <f>IF(ISERROR(VLOOKUP($A112,Bestellungen!$6:$1048576,MATCH(Kasse!R$5,Bestellungen!$A$5:$X$5,0),0))=FALSE,SUMIF(Kalkulation!$A$6:$A$40,Kasse!R$5&amp;"*",Kalkulation!$C$6:$C$40)*VLOOKUP($A112,Bestellungen!$6:$1048576,MATCH(Kasse!R$5,Bestellungen!$A$5:$X$5,0),0),"")</f>
        <v/>
      </c>
      <c r="S112" s="26" t="str">
        <f>IF(ISERROR(VLOOKUP($A112,Bestellungen!$6:$1048576,MATCH(Kasse!S$5,Bestellungen!$A$5:$X$5,0),0))=FALSE,SUMIF(Kalkulation!$A$6:$A$40,Kasse!S$5&amp;"*",Kalkulation!$C$6:$C$40)*VLOOKUP($A112,Bestellungen!$6:$1048576,MATCH(Kasse!S$5,Bestellungen!$A$5:$X$5,0),0),"")</f>
        <v/>
      </c>
      <c r="T112" s="26" t="str">
        <f>IF(ISERROR(VLOOKUP($A112,Bestellungen!$6:$1048576,MATCH(Kasse!T$5,Bestellungen!$A$5:$X$5,0),0))=FALSE,SUMIF(Kalkulation!$A$6:$A$40,Kasse!T$5&amp;"*",Kalkulation!$C$6:$C$40)*VLOOKUP($A112,Bestellungen!$6:$1048576,MATCH(Kasse!T$5,Bestellungen!$A$5:$X$5,0),0),"")</f>
        <v/>
      </c>
      <c r="U112" s="26" t="str">
        <f t="shared" si="2"/>
        <v/>
      </c>
      <c r="W112" s="26" t="str">
        <f t="shared" si="3"/>
        <v/>
      </c>
      <c r="X112" s="26"/>
      <c r="Y112" s="26"/>
      <c r="Z112" s="26"/>
      <c r="AA112" s="26"/>
    </row>
    <row r="113" spans="1:27" x14ac:dyDescent="0.25">
      <c r="A113" t="str">
        <f>IF(LEN(Bestellungen!$A113)&gt;0,Bestellungen!$A113,"")</f>
        <v/>
      </c>
      <c r="B113" s="26" t="str">
        <f>IF(ISERROR(VLOOKUP($A113,Bestellungen!$6:$1048576,MATCH(Kasse!B$5,Bestellungen!$A$5:$X$5,0),0))=FALSE,SUMIF(Kalkulation!$A$6:$A$40,Kasse!B$5&amp;"*",Kalkulation!$C$6:$C$40)*VLOOKUP($A113,Bestellungen!$6:$1048576,MATCH(Kasse!B$5,Bestellungen!$A$5:$X$5,0),0),"")</f>
        <v/>
      </c>
      <c r="C113" s="26" t="str">
        <f>IF(ISERROR(VLOOKUP($A113,Bestellungen!$6:$1048576,MATCH(Kasse!C$5,Bestellungen!$A$5:$X$5,0),0))=FALSE,SUMIF(Kalkulation!$A$6:$A$40,Kasse!C$5&amp;"*",Kalkulation!$C$6:$C$40)*VLOOKUP($A113,Bestellungen!$6:$1048576,MATCH(Kasse!C$5,Bestellungen!$A$5:$X$5,0),0),"")</f>
        <v/>
      </c>
      <c r="D113" s="26" t="str">
        <f>IF(ISERROR(VLOOKUP($A113,Bestellungen!$6:$1048576,MATCH(Kasse!D$5,Bestellungen!$A$5:$X$5,0),0))=FALSE,SUMIF(Kalkulation!$A$6:$A$40,Kasse!D$5&amp;"*",Kalkulation!$C$6:$C$40)*VLOOKUP($A113,Bestellungen!$6:$1048576,MATCH(Kasse!D$5,Bestellungen!$A$5:$X$5,0),0),"")</f>
        <v/>
      </c>
      <c r="E113" s="26" t="str">
        <f>IF(ISERROR(VLOOKUP($A113,Bestellungen!$6:$1048576,MATCH(Kasse!E$5,Bestellungen!$A$5:$X$5,0),0))=FALSE,SUMIF(Kalkulation!$A$6:$A$40,Kasse!E$5&amp;"*",Kalkulation!$C$6:$C$40)*VLOOKUP($A113,Bestellungen!$6:$1048576,MATCH(Kasse!E$5,Bestellungen!$A$5:$X$5,0),0),"")</f>
        <v/>
      </c>
      <c r="F113" s="26" t="str">
        <f>IF(ISERROR(VLOOKUP($A113,Bestellungen!$6:$1048576,MATCH(Kasse!F$5,Bestellungen!$A$5:$X$5,0),0))=FALSE,SUMIF(Kalkulation!$A$6:$A$40,Kasse!F$5&amp;"*",Kalkulation!$C$6:$C$40)*VLOOKUP($A113,Bestellungen!$6:$1048576,MATCH(Kasse!F$5,Bestellungen!$A$5:$X$5,0),0),"")</f>
        <v/>
      </c>
      <c r="G113" s="26" t="str">
        <f>IF(ISERROR(VLOOKUP($A113,Bestellungen!$6:$1048576,MATCH(Kasse!G$5,Bestellungen!$A$5:$X$5,0),0))=FALSE,SUMIF(Kalkulation!$A$6:$A$40,Kasse!G$5&amp;"*",Kalkulation!$C$6:$C$40)*VLOOKUP($A113,Bestellungen!$6:$1048576,MATCH(Kasse!G$5,Bestellungen!$A$5:$X$5,0),0),"")</f>
        <v/>
      </c>
      <c r="H113" s="26" t="str">
        <f>IF(ISERROR(VLOOKUP($A113,Bestellungen!$6:$1048576,MATCH(Kasse!H$5,Bestellungen!$A$5:$X$5,0),0))=FALSE,SUMIF(Kalkulation!$A$6:$A$40,Kasse!H$5&amp;"*",Kalkulation!$C$6:$C$40)*VLOOKUP($A113,Bestellungen!$6:$1048576,MATCH(Kasse!H$5,Bestellungen!$A$5:$X$5,0),0),"")</f>
        <v/>
      </c>
      <c r="I113" s="26" t="str">
        <f>IF(ISERROR(VLOOKUP($A113,Bestellungen!$6:$1048576,MATCH(Kasse!I$5,Bestellungen!$A$5:$X$5,0),0))=FALSE,SUMIF(Kalkulation!$A$6:$A$40,Kasse!I$5&amp;"*",Kalkulation!$C$6:$C$40)*VLOOKUP($A113,Bestellungen!$6:$1048576,MATCH(Kasse!I$5,Bestellungen!$A$5:$X$5,0),0),"")</f>
        <v/>
      </c>
      <c r="J113" s="26" t="str">
        <f>IF(ISERROR(VLOOKUP($A113,Bestellungen!$6:$1048576,MATCH(Kasse!J$5,Bestellungen!$A$5:$X$5,0),0))=FALSE,SUMIF(Kalkulation!$A$6:$A$40,Kasse!J$5&amp;"*",Kalkulation!$C$6:$C$40)*VLOOKUP($A113,Bestellungen!$6:$1048576,MATCH(Kasse!J$5,Bestellungen!$A$5:$X$5,0),0),"")</f>
        <v/>
      </c>
      <c r="K113" s="26" t="str">
        <f>IF(ISERROR(VLOOKUP($A113,Bestellungen!$6:$1048576,MATCH(Kasse!K$5,Bestellungen!$A$5:$X$5,0),0))=FALSE,SUMIF(Kalkulation!$A$6:$A$40,Kasse!K$5&amp;"*",Kalkulation!$C$6:$C$40)*VLOOKUP($A113,Bestellungen!$6:$1048576,MATCH(Kasse!K$5,Bestellungen!$A$5:$X$5,0),0),"")</f>
        <v/>
      </c>
      <c r="L113" s="26" t="str">
        <f>IF(ISERROR(VLOOKUP($A113,Bestellungen!$6:$1048576,MATCH(Kasse!L$5,Bestellungen!$A$5:$X$5,0),0))=FALSE,SUMIF(Kalkulation!$A$6:$A$40,Kasse!L$5&amp;"*",Kalkulation!$C$6:$C$40)*VLOOKUP($A113,Bestellungen!$6:$1048576,MATCH(Kasse!L$5,Bestellungen!$A$5:$X$5,0),0),"")</f>
        <v/>
      </c>
      <c r="M113" s="26" t="str">
        <f>IF(ISERROR(VLOOKUP($A113,Bestellungen!$6:$1048576,MATCH(Kasse!M$5,Bestellungen!$A$5:$X$5,0),0))=FALSE,SUMIF(Kalkulation!$A$6:$A$40,Kasse!M$5&amp;"*",Kalkulation!$C$6:$C$40)*VLOOKUP($A113,Bestellungen!$6:$1048576,MATCH(Kasse!M$5,Bestellungen!$A$5:$X$5,0),0),"")</f>
        <v/>
      </c>
      <c r="N113" s="26" t="str">
        <f>IF(ISERROR(VLOOKUP($A113,Bestellungen!$6:$1048576,MATCH(Kasse!N$5,Bestellungen!$A$5:$X$5,0),0))=FALSE,SUMIF(Kalkulation!$A$6:$A$40,Kasse!N$5&amp;"*",Kalkulation!$C$6:$C$40)*VLOOKUP($A113,Bestellungen!$6:$1048576,MATCH(Kasse!N$5,Bestellungen!$A$5:$X$5,0),0),"")</f>
        <v/>
      </c>
      <c r="O113" s="26" t="str">
        <f>IF(ISERROR(VLOOKUP($A113,Bestellungen!$6:$1048576,MATCH(Kasse!O$5,Bestellungen!$A$5:$X$5,0),0))=FALSE,SUMIF(Kalkulation!$A$6:$A$40,Kasse!O$5&amp;"*",Kalkulation!$C$6:$C$40)*VLOOKUP($A113,Bestellungen!$6:$1048576,MATCH(Kasse!O$5,Bestellungen!$A$5:$X$5,0),0),"")</f>
        <v/>
      </c>
      <c r="P113" s="26" t="str">
        <f>IF(ISERROR(VLOOKUP($A113,Bestellungen!$6:$1048576,MATCH(Kasse!P$5,Bestellungen!$A$5:$X$5,0),0))=FALSE,SUMIF(Kalkulation!$A$6:$A$40,Kasse!P$5&amp;"*",Kalkulation!$C$6:$C$40)*VLOOKUP($A113,Bestellungen!$6:$1048576,MATCH(Kasse!P$5,Bestellungen!$A$5:$X$5,0),0),"")</f>
        <v/>
      </c>
      <c r="Q113" s="26" t="str">
        <f>IF(ISERROR(VLOOKUP($A113,Bestellungen!$6:$1048576,MATCH(Kasse!Q$5,Bestellungen!$A$5:$X$5,0),0))=FALSE,SUMIF(Kalkulation!$A$6:$A$40,Kasse!Q$5&amp;"*",Kalkulation!$C$6:$C$40)*VLOOKUP($A113,Bestellungen!$6:$1048576,MATCH(Kasse!Q$5,Bestellungen!$A$5:$X$5,0),0),"")</f>
        <v/>
      </c>
      <c r="R113" s="26" t="str">
        <f>IF(ISERROR(VLOOKUP($A113,Bestellungen!$6:$1048576,MATCH(Kasse!R$5,Bestellungen!$A$5:$X$5,0),0))=FALSE,SUMIF(Kalkulation!$A$6:$A$40,Kasse!R$5&amp;"*",Kalkulation!$C$6:$C$40)*VLOOKUP($A113,Bestellungen!$6:$1048576,MATCH(Kasse!R$5,Bestellungen!$A$5:$X$5,0),0),"")</f>
        <v/>
      </c>
      <c r="S113" s="26" t="str">
        <f>IF(ISERROR(VLOOKUP($A113,Bestellungen!$6:$1048576,MATCH(Kasse!S$5,Bestellungen!$A$5:$X$5,0),0))=FALSE,SUMIF(Kalkulation!$A$6:$A$40,Kasse!S$5&amp;"*",Kalkulation!$C$6:$C$40)*VLOOKUP($A113,Bestellungen!$6:$1048576,MATCH(Kasse!S$5,Bestellungen!$A$5:$X$5,0),0),"")</f>
        <v/>
      </c>
      <c r="T113" s="26" t="str">
        <f>IF(ISERROR(VLOOKUP($A113,Bestellungen!$6:$1048576,MATCH(Kasse!T$5,Bestellungen!$A$5:$X$5,0),0))=FALSE,SUMIF(Kalkulation!$A$6:$A$40,Kasse!T$5&amp;"*",Kalkulation!$C$6:$C$40)*VLOOKUP($A113,Bestellungen!$6:$1048576,MATCH(Kasse!T$5,Bestellungen!$A$5:$X$5,0),0),"")</f>
        <v/>
      </c>
      <c r="U113" s="26" t="str">
        <f t="shared" si="2"/>
        <v/>
      </c>
      <c r="W113" s="26" t="str">
        <f t="shared" si="3"/>
        <v/>
      </c>
      <c r="X113" s="26"/>
      <c r="Y113" s="26"/>
      <c r="Z113" s="26"/>
      <c r="AA113" s="26"/>
    </row>
    <row r="114" spans="1:27" x14ac:dyDescent="0.25">
      <c r="A114" t="str">
        <f>IF(LEN(Bestellungen!$A114)&gt;0,Bestellungen!$A114,"")</f>
        <v/>
      </c>
      <c r="B114" s="26" t="str">
        <f>IF(ISERROR(VLOOKUP($A114,Bestellungen!$6:$1048576,MATCH(Kasse!B$5,Bestellungen!$A$5:$X$5,0),0))=FALSE,SUMIF(Kalkulation!$A$6:$A$40,Kasse!B$5&amp;"*",Kalkulation!$C$6:$C$40)*VLOOKUP($A114,Bestellungen!$6:$1048576,MATCH(Kasse!B$5,Bestellungen!$A$5:$X$5,0),0),"")</f>
        <v/>
      </c>
      <c r="C114" s="26" t="str">
        <f>IF(ISERROR(VLOOKUP($A114,Bestellungen!$6:$1048576,MATCH(Kasse!C$5,Bestellungen!$A$5:$X$5,0),0))=FALSE,SUMIF(Kalkulation!$A$6:$A$40,Kasse!C$5&amp;"*",Kalkulation!$C$6:$C$40)*VLOOKUP($A114,Bestellungen!$6:$1048576,MATCH(Kasse!C$5,Bestellungen!$A$5:$X$5,0),0),"")</f>
        <v/>
      </c>
      <c r="D114" s="26" t="str">
        <f>IF(ISERROR(VLOOKUP($A114,Bestellungen!$6:$1048576,MATCH(Kasse!D$5,Bestellungen!$A$5:$X$5,0),0))=FALSE,SUMIF(Kalkulation!$A$6:$A$40,Kasse!D$5&amp;"*",Kalkulation!$C$6:$C$40)*VLOOKUP($A114,Bestellungen!$6:$1048576,MATCH(Kasse!D$5,Bestellungen!$A$5:$X$5,0),0),"")</f>
        <v/>
      </c>
      <c r="E114" s="26" t="str">
        <f>IF(ISERROR(VLOOKUP($A114,Bestellungen!$6:$1048576,MATCH(Kasse!E$5,Bestellungen!$A$5:$X$5,0),0))=FALSE,SUMIF(Kalkulation!$A$6:$A$40,Kasse!E$5&amp;"*",Kalkulation!$C$6:$C$40)*VLOOKUP($A114,Bestellungen!$6:$1048576,MATCH(Kasse!E$5,Bestellungen!$A$5:$X$5,0),0),"")</f>
        <v/>
      </c>
      <c r="F114" s="26" t="str">
        <f>IF(ISERROR(VLOOKUP($A114,Bestellungen!$6:$1048576,MATCH(Kasse!F$5,Bestellungen!$A$5:$X$5,0),0))=FALSE,SUMIF(Kalkulation!$A$6:$A$40,Kasse!F$5&amp;"*",Kalkulation!$C$6:$C$40)*VLOOKUP($A114,Bestellungen!$6:$1048576,MATCH(Kasse!F$5,Bestellungen!$A$5:$X$5,0),0),"")</f>
        <v/>
      </c>
      <c r="G114" s="26" t="str">
        <f>IF(ISERROR(VLOOKUP($A114,Bestellungen!$6:$1048576,MATCH(Kasse!G$5,Bestellungen!$A$5:$X$5,0),0))=FALSE,SUMIF(Kalkulation!$A$6:$A$40,Kasse!G$5&amp;"*",Kalkulation!$C$6:$C$40)*VLOOKUP($A114,Bestellungen!$6:$1048576,MATCH(Kasse!G$5,Bestellungen!$A$5:$X$5,0),0),"")</f>
        <v/>
      </c>
      <c r="H114" s="26" t="str">
        <f>IF(ISERROR(VLOOKUP($A114,Bestellungen!$6:$1048576,MATCH(Kasse!H$5,Bestellungen!$A$5:$X$5,0),0))=FALSE,SUMIF(Kalkulation!$A$6:$A$40,Kasse!H$5&amp;"*",Kalkulation!$C$6:$C$40)*VLOOKUP($A114,Bestellungen!$6:$1048576,MATCH(Kasse!H$5,Bestellungen!$A$5:$X$5,0),0),"")</f>
        <v/>
      </c>
      <c r="I114" s="26" t="str">
        <f>IF(ISERROR(VLOOKUP($A114,Bestellungen!$6:$1048576,MATCH(Kasse!I$5,Bestellungen!$A$5:$X$5,0),0))=FALSE,SUMIF(Kalkulation!$A$6:$A$40,Kasse!I$5&amp;"*",Kalkulation!$C$6:$C$40)*VLOOKUP($A114,Bestellungen!$6:$1048576,MATCH(Kasse!I$5,Bestellungen!$A$5:$X$5,0),0),"")</f>
        <v/>
      </c>
      <c r="J114" s="26" t="str">
        <f>IF(ISERROR(VLOOKUP($A114,Bestellungen!$6:$1048576,MATCH(Kasse!J$5,Bestellungen!$A$5:$X$5,0),0))=FALSE,SUMIF(Kalkulation!$A$6:$A$40,Kasse!J$5&amp;"*",Kalkulation!$C$6:$C$40)*VLOOKUP($A114,Bestellungen!$6:$1048576,MATCH(Kasse!J$5,Bestellungen!$A$5:$X$5,0),0),"")</f>
        <v/>
      </c>
      <c r="K114" s="26" t="str">
        <f>IF(ISERROR(VLOOKUP($A114,Bestellungen!$6:$1048576,MATCH(Kasse!K$5,Bestellungen!$A$5:$X$5,0),0))=FALSE,SUMIF(Kalkulation!$A$6:$A$40,Kasse!K$5&amp;"*",Kalkulation!$C$6:$C$40)*VLOOKUP($A114,Bestellungen!$6:$1048576,MATCH(Kasse!K$5,Bestellungen!$A$5:$X$5,0),0),"")</f>
        <v/>
      </c>
      <c r="L114" s="26" t="str">
        <f>IF(ISERROR(VLOOKUP($A114,Bestellungen!$6:$1048576,MATCH(Kasse!L$5,Bestellungen!$A$5:$X$5,0),0))=FALSE,SUMIF(Kalkulation!$A$6:$A$40,Kasse!L$5&amp;"*",Kalkulation!$C$6:$C$40)*VLOOKUP($A114,Bestellungen!$6:$1048576,MATCH(Kasse!L$5,Bestellungen!$A$5:$X$5,0),0),"")</f>
        <v/>
      </c>
      <c r="M114" s="26" t="str">
        <f>IF(ISERROR(VLOOKUP($A114,Bestellungen!$6:$1048576,MATCH(Kasse!M$5,Bestellungen!$A$5:$X$5,0),0))=FALSE,SUMIF(Kalkulation!$A$6:$A$40,Kasse!M$5&amp;"*",Kalkulation!$C$6:$C$40)*VLOOKUP($A114,Bestellungen!$6:$1048576,MATCH(Kasse!M$5,Bestellungen!$A$5:$X$5,0),0),"")</f>
        <v/>
      </c>
      <c r="N114" s="26" t="str">
        <f>IF(ISERROR(VLOOKUP($A114,Bestellungen!$6:$1048576,MATCH(Kasse!N$5,Bestellungen!$A$5:$X$5,0),0))=FALSE,SUMIF(Kalkulation!$A$6:$A$40,Kasse!N$5&amp;"*",Kalkulation!$C$6:$C$40)*VLOOKUP($A114,Bestellungen!$6:$1048576,MATCH(Kasse!N$5,Bestellungen!$A$5:$X$5,0),0),"")</f>
        <v/>
      </c>
      <c r="O114" s="26" t="str">
        <f>IF(ISERROR(VLOOKUP($A114,Bestellungen!$6:$1048576,MATCH(Kasse!O$5,Bestellungen!$A$5:$X$5,0),0))=FALSE,SUMIF(Kalkulation!$A$6:$A$40,Kasse!O$5&amp;"*",Kalkulation!$C$6:$C$40)*VLOOKUP($A114,Bestellungen!$6:$1048576,MATCH(Kasse!O$5,Bestellungen!$A$5:$X$5,0),0),"")</f>
        <v/>
      </c>
      <c r="P114" s="26" t="str">
        <f>IF(ISERROR(VLOOKUP($A114,Bestellungen!$6:$1048576,MATCH(Kasse!P$5,Bestellungen!$A$5:$X$5,0),0))=FALSE,SUMIF(Kalkulation!$A$6:$A$40,Kasse!P$5&amp;"*",Kalkulation!$C$6:$C$40)*VLOOKUP($A114,Bestellungen!$6:$1048576,MATCH(Kasse!P$5,Bestellungen!$A$5:$X$5,0),0),"")</f>
        <v/>
      </c>
      <c r="Q114" s="26" t="str">
        <f>IF(ISERROR(VLOOKUP($A114,Bestellungen!$6:$1048576,MATCH(Kasse!Q$5,Bestellungen!$A$5:$X$5,0),0))=FALSE,SUMIF(Kalkulation!$A$6:$A$40,Kasse!Q$5&amp;"*",Kalkulation!$C$6:$C$40)*VLOOKUP($A114,Bestellungen!$6:$1048576,MATCH(Kasse!Q$5,Bestellungen!$A$5:$X$5,0),0),"")</f>
        <v/>
      </c>
      <c r="R114" s="26" t="str">
        <f>IF(ISERROR(VLOOKUP($A114,Bestellungen!$6:$1048576,MATCH(Kasse!R$5,Bestellungen!$A$5:$X$5,0),0))=FALSE,SUMIF(Kalkulation!$A$6:$A$40,Kasse!R$5&amp;"*",Kalkulation!$C$6:$C$40)*VLOOKUP($A114,Bestellungen!$6:$1048576,MATCH(Kasse!R$5,Bestellungen!$A$5:$X$5,0),0),"")</f>
        <v/>
      </c>
      <c r="S114" s="26" t="str">
        <f>IF(ISERROR(VLOOKUP($A114,Bestellungen!$6:$1048576,MATCH(Kasse!S$5,Bestellungen!$A$5:$X$5,0),0))=FALSE,SUMIF(Kalkulation!$A$6:$A$40,Kasse!S$5&amp;"*",Kalkulation!$C$6:$C$40)*VLOOKUP($A114,Bestellungen!$6:$1048576,MATCH(Kasse!S$5,Bestellungen!$A$5:$X$5,0),0),"")</f>
        <v/>
      </c>
      <c r="T114" s="26" t="str">
        <f>IF(ISERROR(VLOOKUP($A114,Bestellungen!$6:$1048576,MATCH(Kasse!T$5,Bestellungen!$A$5:$X$5,0),0))=FALSE,SUMIF(Kalkulation!$A$6:$A$40,Kasse!T$5&amp;"*",Kalkulation!$C$6:$C$40)*VLOOKUP($A114,Bestellungen!$6:$1048576,MATCH(Kasse!T$5,Bestellungen!$A$5:$X$5,0),0),"")</f>
        <v/>
      </c>
      <c r="U114" s="26" t="str">
        <f t="shared" si="2"/>
        <v/>
      </c>
      <c r="W114" s="26" t="str">
        <f t="shared" si="3"/>
        <v/>
      </c>
      <c r="X114" s="26"/>
      <c r="Y114" s="26"/>
      <c r="Z114" s="26"/>
      <c r="AA114" s="26"/>
    </row>
    <row r="115" spans="1:27" x14ac:dyDescent="0.25">
      <c r="A115" t="str">
        <f>IF(LEN(Bestellungen!$A115)&gt;0,Bestellungen!$A115,"")</f>
        <v/>
      </c>
      <c r="B115" s="26" t="str">
        <f>IF(ISERROR(VLOOKUP($A115,Bestellungen!$6:$1048576,MATCH(Kasse!B$5,Bestellungen!$A$5:$X$5,0),0))=FALSE,SUMIF(Kalkulation!$A$6:$A$40,Kasse!B$5&amp;"*",Kalkulation!$C$6:$C$40)*VLOOKUP($A115,Bestellungen!$6:$1048576,MATCH(Kasse!B$5,Bestellungen!$A$5:$X$5,0),0),"")</f>
        <v/>
      </c>
      <c r="C115" s="26" t="str">
        <f>IF(ISERROR(VLOOKUP($A115,Bestellungen!$6:$1048576,MATCH(Kasse!C$5,Bestellungen!$A$5:$X$5,0),0))=FALSE,SUMIF(Kalkulation!$A$6:$A$40,Kasse!C$5&amp;"*",Kalkulation!$C$6:$C$40)*VLOOKUP($A115,Bestellungen!$6:$1048576,MATCH(Kasse!C$5,Bestellungen!$A$5:$X$5,0),0),"")</f>
        <v/>
      </c>
      <c r="D115" s="26" t="str">
        <f>IF(ISERROR(VLOOKUP($A115,Bestellungen!$6:$1048576,MATCH(Kasse!D$5,Bestellungen!$A$5:$X$5,0),0))=FALSE,SUMIF(Kalkulation!$A$6:$A$40,Kasse!D$5&amp;"*",Kalkulation!$C$6:$C$40)*VLOOKUP($A115,Bestellungen!$6:$1048576,MATCH(Kasse!D$5,Bestellungen!$A$5:$X$5,0),0),"")</f>
        <v/>
      </c>
      <c r="E115" s="26" t="str">
        <f>IF(ISERROR(VLOOKUP($A115,Bestellungen!$6:$1048576,MATCH(Kasse!E$5,Bestellungen!$A$5:$X$5,0),0))=FALSE,SUMIF(Kalkulation!$A$6:$A$40,Kasse!E$5&amp;"*",Kalkulation!$C$6:$C$40)*VLOOKUP($A115,Bestellungen!$6:$1048576,MATCH(Kasse!E$5,Bestellungen!$A$5:$X$5,0),0),"")</f>
        <v/>
      </c>
      <c r="F115" s="26" t="str">
        <f>IF(ISERROR(VLOOKUP($A115,Bestellungen!$6:$1048576,MATCH(Kasse!F$5,Bestellungen!$A$5:$X$5,0),0))=FALSE,SUMIF(Kalkulation!$A$6:$A$40,Kasse!F$5&amp;"*",Kalkulation!$C$6:$C$40)*VLOOKUP($A115,Bestellungen!$6:$1048576,MATCH(Kasse!F$5,Bestellungen!$A$5:$X$5,0),0),"")</f>
        <v/>
      </c>
      <c r="G115" s="26" t="str">
        <f>IF(ISERROR(VLOOKUP($A115,Bestellungen!$6:$1048576,MATCH(Kasse!G$5,Bestellungen!$A$5:$X$5,0),0))=FALSE,SUMIF(Kalkulation!$A$6:$A$40,Kasse!G$5&amp;"*",Kalkulation!$C$6:$C$40)*VLOOKUP($A115,Bestellungen!$6:$1048576,MATCH(Kasse!G$5,Bestellungen!$A$5:$X$5,0),0),"")</f>
        <v/>
      </c>
      <c r="H115" s="26" t="str">
        <f>IF(ISERROR(VLOOKUP($A115,Bestellungen!$6:$1048576,MATCH(Kasse!H$5,Bestellungen!$A$5:$X$5,0),0))=FALSE,SUMIF(Kalkulation!$A$6:$A$40,Kasse!H$5&amp;"*",Kalkulation!$C$6:$C$40)*VLOOKUP($A115,Bestellungen!$6:$1048576,MATCH(Kasse!H$5,Bestellungen!$A$5:$X$5,0),0),"")</f>
        <v/>
      </c>
      <c r="I115" s="26" t="str">
        <f>IF(ISERROR(VLOOKUP($A115,Bestellungen!$6:$1048576,MATCH(Kasse!I$5,Bestellungen!$A$5:$X$5,0),0))=FALSE,SUMIF(Kalkulation!$A$6:$A$40,Kasse!I$5&amp;"*",Kalkulation!$C$6:$C$40)*VLOOKUP($A115,Bestellungen!$6:$1048576,MATCH(Kasse!I$5,Bestellungen!$A$5:$X$5,0),0),"")</f>
        <v/>
      </c>
      <c r="J115" s="26" t="str">
        <f>IF(ISERROR(VLOOKUP($A115,Bestellungen!$6:$1048576,MATCH(Kasse!J$5,Bestellungen!$A$5:$X$5,0),0))=FALSE,SUMIF(Kalkulation!$A$6:$A$40,Kasse!J$5&amp;"*",Kalkulation!$C$6:$C$40)*VLOOKUP($A115,Bestellungen!$6:$1048576,MATCH(Kasse!J$5,Bestellungen!$A$5:$X$5,0),0),"")</f>
        <v/>
      </c>
      <c r="K115" s="26" t="str">
        <f>IF(ISERROR(VLOOKUP($A115,Bestellungen!$6:$1048576,MATCH(Kasse!K$5,Bestellungen!$A$5:$X$5,0),0))=FALSE,SUMIF(Kalkulation!$A$6:$A$40,Kasse!K$5&amp;"*",Kalkulation!$C$6:$C$40)*VLOOKUP($A115,Bestellungen!$6:$1048576,MATCH(Kasse!K$5,Bestellungen!$A$5:$X$5,0),0),"")</f>
        <v/>
      </c>
      <c r="L115" s="26" t="str">
        <f>IF(ISERROR(VLOOKUP($A115,Bestellungen!$6:$1048576,MATCH(Kasse!L$5,Bestellungen!$A$5:$X$5,0),0))=FALSE,SUMIF(Kalkulation!$A$6:$A$40,Kasse!L$5&amp;"*",Kalkulation!$C$6:$C$40)*VLOOKUP($A115,Bestellungen!$6:$1048576,MATCH(Kasse!L$5,Bestellungen!$A$5:$X$5,0),0),"")</f>
        <v/>
      </c>
      <c r="M115" s="26" t="str">
        <f>IF(ISERROR(VLOOKUP($A115,Bestellungen!$6:$1048576,MATCH(Kasse!M$5,Bestellungen!$A$5:$X$5,0),0))=FALSE,SUMIF(Kalkulation!$A$6:$A$40,Kasse!M$5&amp;"*",Kalkulation!$C$6:$C$40)*VLOOKUP($A115,Bestellungen!$6:$1048576,MATCH(Kasse!M$5,Bestellungen!$A$5:$X$5,0),0),"")</f>
        <v/>
      </c>
      <c r="N115" s="26" t="str">
        <f>IF(ISERROR(VLOOKUP($A115,Bestellungen!$6:$1048576,MATCH(Kasse!N$5,Bestellungen!$A$5:$X$5,0),0))=FALSE,SUMIF(Kalkulation!$A$6:$A$40,Kasse!N$5&amp;"*",Kalkulation!$C$6:$C$40)*VLOOKUP($A115,Bestellungen!$6:$1048576,MATCH(Kasse!N$5,Bestellungen!$A$5:$X$5,0),0),"")</f>
        <v/>
      </c>
      <c r="O115" s="26" t="str">
        <f>IF(ISERROR(VLOOKUP($A115,Bestellungen!$6:$1048576,MATCH(Kasse!O$5,Bestellungen!$A$5:$X$5,0),0))=FALSE,SUMIF(Kalkulation!$A$6:$A$40,Kasse!O$5&amp;"*",Kalkulation!$C$6:$C$40)*VLOOKUP($A115,Bestellungen!$6:$1048576,MATCH(Kasse!O$5,Bestellungen!$A$5:$X$5,0),0),"")</f>
        <v/>
      </c>
      <c r="P115" s="26" t="str">
        <f>IF(ISERROR(VLOOKUP($A115,Bestellungen!$6:$1048576,MATCH(Kasse!P$5,Bestellungen!$A$5:$X$5,0),0))=FALSE,SUMIF(Kalkulation!$A$6:$A$40,Kasse!P$5&amp;"*",Kalkulation!$C$6:$C$40)*VLOOKUP($A115,Bestellungen!$6:$1048576,MATCH(Kasse!P$5,Bestellungen!$A$5:$X$5,0),0),"")</f>
        <v/>
      </c>
      <c r="Q115" s="26" t="str">
        <f>IF(ISERROR(VLOOKUP($A115,Bestellungen!$6:$1048576,MATCH(Kasse!Q$5,Bestellungen!$A$5:$X$5,0),0))=FALSE,SUMIF(Kalkulation!$A$6:$A$40,Kasse!Q$5&amp;"*",Kalkulation!$C$6:$C$40)*VLOOKUP($A115,Bestellungen!$6:$1048576,MATCH(Kasse!Q$5,Bestellungen!$A$5:$X$5,0),0),"")</f>
        <v/>
      </c>
      <c r="R115" s="26" t="str">
        <f>IF(ISERROR(VLOOKUP($A115,Bestellungen!$6:$1048576,MATCH(Kasse!R$5,Bestellungen!$A$5:$X$5,0),0))=FALSE,SUMIF(Kalkulation!$A$6:$A$40,Kasse!R$5&amp;"*",Kalkulation!$C$6:$C$40)*VLOOKUP($A115,Bestellungen!$6:$1048576,MATCH(Kasse!R$5,Bestellungen!$A$5:$X$5,0),0),"")</f>
        <v/>
      </c>
      <c r="S115" s="26" t="str">
        <f>IF(ISERROR(VLOOKUP($A115,Bestellungen!$6:$1048576,MATCH(Kasse!S$5,Bestellungen!$A$5:$X$5,0),0))=FALSE,SUMIF(Kalkulation!$A$6:$A$40,Kasse!S$5&amp;"*",Kalkulation!$C$6:$C$40)*VLOOKUP($A115,Bestellungen!$6:$1048576,MATCH(Kasse!S$5,Bestellungen!$A$5:$X$5,0),0),"")</f>
        <v/>
      </c>
      <c r="T115" s="26" t="str">
        <f>IF(ISERROR(VLOOKUP($A115,Bestellungen!$6:$1048576,MATCH(Kasse!T$5,Bestellungen!$A$5:$X$5,0),0))=FALSE,SUMIF(Kalkulation!$A$6:$A$40,Kasse!T$5&amp;"*",Kalkulation!$C$6:$C$40)*VLOOKUP($A115,Bestellungen!$6:$1048576,MATCH(Kasse!T$5,Bestellungen!$A$5:$X$5,0),0),"")</f>
        <v/>
      </c>
      <c r="U115" s="26" t="str">
        <f t="shared" si="2"/>
        <v/>
      </c>
      <c r="W115" s="26" t="str">
        <f t="shared" si="3"/>
        <v/>
      </c>
      <c r="X115" s="26"/>
      <c r="Y115" s="26"/>
      <c r="Z115" s="26"/>
      <c r="AA115" s="26"/>
    </row>
    <row r="116" spans="1:27" x14ac:dyDescent="0.25">
      <c r="A116" t="str">
        <f>IF(LEN(Bestellungen!$A116)&gt;0,Bestellungen!$A116,"")</f>
        <v/>
      </c>
      <c r="B116" s="26" t="str">
        <f>IF(ISERROR(VLOOKUP($A116,Bestellungen!$6:$1048576,MATCH(Kasse!B$5,Bestellungen!$A$5:$X$5,0),0))=FALSE,SUMIF(Kalkulation!$A$6:$A$40,Kasse!B$5&amp;"*",Kalkulation!$C$6:$C$40)*VLOOKUP($A116,Bestellungen!$6:$1048576,MATCH(Kasse!B$5,Bestellungen!$A$5:$X$5,0),0),"")</f>
        <v/>
      </c>
      <c r="C116" s="26" t="str">
        <f>IF(ISERROR(VLOOKUP($A116,Bestellungen!$6:$1048576,MATCH(Kasse!C$5,Bestellungen!$A$5:$X$5,0),0))=FALSE,SUMIF(Kalkulation!$A$6:$A$40,Kasse!C$5&amp;"*",Kalkulation!$C$6:$C$40)*VLOOKUP($A116,Bestellungen!$6:$1048576,MATCH(Kasse!C$5,Bestellungen!$A$5:$X$5,0),0),"")</f>
        <v/>
      </c>
      <c r="D116" s="26" t="str">
        <f>IF(ISERROR(VLOOKUP($A116,Bestellungen!$6:$1048576,MATCH(Kasse!D$5,Bestellungen!$A$5:$X$5,0),0))=FALSE,SUMIF(Kalkulation!$A$6:$A$40,Kasse!D$5&amp;"*",Kalkulation!$C$6:$C$40)*VLOOKUP($A116,Bestellungen!$6:$1048576,MATCH(Kasse!D$5,Bestellungen!$A$5:$X$5,0),0),"")</f>
        <v/>
      </c>
      <c r="E116" s="26" t="str">
        <f>IF(ISERROR(VLOOKUP($A116,Bestellungen!$6:$1048576,MATCH(Kasse!E$5,Bestellungen!$A$5:$X$5,0),0))=FALSE,SUMIF(Kalkulation!$A$6:$A$40,Kasse!E$5&amp;"*",Kalkulation!$C$6:$C$40)*VLOOKUP($A116,Bestellungen!$6:$1048576,MATCH(Kasse!E$5,Bestellungen!$A$5:$X$5,0),0),"")</f>
        <v/>
      </c>
      <c r="F116" s="26" t="str">
        <f>IF(ISERROR(VLOOKUP($A116,Bestellungen!$6:$1048576,MATCH(Kasse!F$5,Bestellungen!$A$5:$X$5,0),0))=FALSE,SUMIF(Kalkulation!$A$6:$A$40,Kasse!F$5&amp;"*",Kalkulation!$C$6:$C$40)*VLOOKUP($A116,Bestellungen!$6:$1048576,MATCH(Kasse!F$5,Bestellungen!$A$5:$X$5,0),0),"")</f>
        <v/>
      </c>
      <c r="G116" s="26" t="str">
        <f>IF(ISERROR(VLOOKUP($A116,Bestellungen!$6:$1048576,MATCH(Kasse!G$5,Bestellungen!$A$5:$X$5,0),0))=FALSE,SUMIF(Kalkulation!$A$6:$A$40,Kasse!G$5&amp;"*",Kalkulation!$C$6:$C$40)*VLOOKUP($A116,Bestellungen!$6:$1048576,MATCH(Kasse!G$5,Bestellungen!$A$5:$X$5,0),0),"")</f>
        <v/>
      </c>
      <c r="H116" s="26" t="str">
        <f>IF(ISERROR(VLOOKUP($A116,Bestellungen!$6:$1048576,MATCH(Kasse!H$5,Bestellungen!$A$5:$X$5,0),0))=FALSE,SUMIF(Kalkulation!$A$6:$A$40,Kasse!H$5&amp;"*",Kalkulation!$C$6:$C$40)*VLOOKUP($A116,Bestellungen!$6:$1048576,MATCH(Kasse!H$5,Bestellungen!$A$5:$X$5,0),0),"")</f>
        <v/>
      </c>
      <c r="I116" s="26" t="str">
        <f>IF(ISERROR(VLOOKUP($A116,Bestellungen!$6:$1048576,MATCH(Kasse!I$5,Bestellungen!$A$5:$X$5,0),0))=FALSE,SUMIF(Kalkulation!$A$6:$A$40,Kasse!I$5&amp;"*",Kalkulation!$C$6:$C$40)*VLOOKUP($A116,Bestellungen!$6:$1048576,MATCH(Kasse!I$5,Bestellungen!$A$5:$X$5,0),0),"")</f>
        <v/>
      </c>
      <c r="J116" s="26" t="str">
        <f>IF(ISERROR(VLOOKUP($A116,Bestellungen!$6:$1048576,MATCH(Kasse!J$5,Bestellungen!$A$5:$X$5,0),0))=FALSE,SUMIF(Kalkulation!$A$6:$A$40,Kasse!J$5&amp;"*",Kalkulation!$C$6:$C$40)*VLOOKUP($A116,Bestellungen!$6:$1048576,MATCH(Kasse!J$5,Bestellungen!$A$5:$X$5,0),0),"")</f>
        <v/>
      </c>
      <c r="K116" s="26" t="str">
        <f>IF(ISERROR(VLOOKUP($A116,Bestellungen!$6:$1048576,MATCH(Kasse!K$5,Bestellungen!$A$5:$X$5,0),0))=FALSE,SUMIF(Kalkulation!$A$6:$A$40,Kasse!K$5&amp;"*",Kalkulation!$C$6:$C$40)*VLOOKUP($A116,Bestellungen!$6:$1048576,MATCH(Kasse!K$5,Bestellungen!$A$5:$X$5,0),0),"")</f>
        <v/>
      </c>
      <c r="L116" s="26" t="str">
        <f>IF(ISERROR(VLOOKUP($A116,Bestellungen!$6:$1048576,MATCH(Kasse!L$5,Bestellungen!$A$5:$X$5,0),0))=FALSE,SUMIF(Kalkulation!$A$6:$A$40,Kasse!L$5&amp;"*",Kalkulation!$C$6:$C$40)*VLOOKUP($A116,Bestellungen!$6:$1048576,MATCH(Kasse!L$5,Bestellungen!$A$5:$X$5,0),0),"")</f>
        <v/>
      </c>
      <c r="M116" s="26" t="str">
        <f>IF(ISERROR(VLOOKUP($A116,Bestellungen!$6:$1048576,MATCH(Kasse!M$5,Bestellungen!$A$5:$X$5,0),0))=FALSE,SUMIF(Kalkulation!$A$6:$A$40,Kasse!M$5&amp;"*",Kalkulation!$C$6:$C$40)*VLOOKUP($A116,Bestellungen!$6:$1048576,MATCH(Kasse!M$5,Bestellungen!$A$5:$X$5,0),0),"")</f>
        <v/>
      </c>
      <c r="N116" s="26" t="str">
        <f>IF(ISERROR(VLOOKUP($A116,Bestellungen!$6:$1048576,MATCH(Kasse!N$5,Bestellungen!$A$5:$X$5,0),0))=FALSE,SUMIF(Kalkulation!$A$6:$A$40,Kasse!N$5&amp;"*",Kalkulation!$C$6:$C$40)*VLOOKUP($A116,Bestellungen!$6:$1048576,MATCH(Kasse!N$5,Bestellungen!$A$5:$X$5,0),0),"")</f>
        <v/>
      </c>
      <c r="O116" s="26" t="str">
        <f>IF(ISERROR(VLOOKUP($A116,Bestellungen!$6:$1048576,MATCH(Kasse!O$5,Bestellungen!$A$5:$X$5,0),0))=FALSE,SUMIF(Kalkulation!$A$6:$A$40,Kasse!O$5&amp;"*",Kalkulation!$C$6:$C$40)*VLOOKUP($A116,Bestellungen!$6:$1048576,MATCH(Kasse!O$5,Bestellungen!$A$5:$X$5,0),0),"")</f>
        <v/>
      </c>
      <c r="P116" s="26" t="str">
        <f>IF(ISERROR(VLOOKUP($A116,Bestellungen!$6:$1048576,MATCH(Kasse!P$5,Bestellungen!$A$5:$X$5,0),0))=FALSE,SUMIF(Kalkulation!$A$6:$A$40,Kasse!P$5&amp;"*",Kalkulation!$C$6:$C$40)*VLOOKUP($A116,Bestellungen!$6:$1048576,MATCH(Kasse!P$5,Bestellungen!$A$5:$X$5,0),0),"")</f>
        <v/>
      </c>
      <c r="Q116" s="26" t="str">
        <f>IF(ISERROR(VLOOKUP($A116,Bestellungen!$6:$1048576,MATCH(Kasse!Q$5,Bestellungen!$A$5:$X$5,0),0))=FALSE,SUMIF(Kalkulation!$A$6:$A$40,Kasse!Q$5&amp;"*",Kalkulation!$C$6:$C$40)*VLOOKUP($A116,Bestellungen!$6:$1048576,MATCH(Kasse!Q$5,Bestellungen!$A$5:$X$5,0),0),"")</f>
        <v/>
      </c>
      <c r="R116" s="26" t="str">
        <f>IF(ISERROR(VLOOKUP($A116,Bestellungen!$6:$1048576,MATCH(Kasse!R$5,Bestellungen!$A$5:$X$5,0),0))=FALSE,SUMIF(Kalkulation!$A$6:$A$40,Kasse!R$5&amp;"*",Kalkulation!$C$6:$C$40)*VLOOKUP($A116,Bestellungen!$6:$1048576,MATCH(Kasse!R$5,Bestellungen!$A$5:$X$5,0),0),"")</f>
        <v/>
      </c>
      <c r="S116" s="26" t="str">
        <f>IF(ISERROR(VLOOKUP($A116,Bestellungen!$6:$1048576,MATCH(Kasse!S$5,Bestellungen!$A$5:$X$5,0),0))=FALSE,SUMIF(Kalkulation!$A$6:$A$40,Kasse!S$5&amp;"*",Kalkulation!$C$6:$C$40)*VLOOKUP($A116,Bestellungen!$6:$1048576,MATCH(Kasse!S$5,Bestellungen!$A$5:$X$5,0),0),"")</f>
        <v/>
      </c>
      <c r="T116" s="26" t="str">
        <f>IF(ISERROR(VLOOKUP($A116,Bestellungen!$6:$1048576,MATCH(Kasse!T$5,Bestellungen!$A$5:$X$5,0),0))=FALSE,SUMIF(Kalkulation!$A$6:$A$40,Kasse!T$5&amp;"*",Kalkulation!$C$6:$C$40)*VLOOKUP($A116,Bestellungen!$6:$1048576,MATCH(Kasse!T$5,Bestellungen!$A$5:$X$5,0),0),"")</f>
        <v/>
      </c>
      <c r="U116" s="26" t="str">
        <f t="shared" si="2"/>
        <v/>
      </c>
      <c r="W116" s="26" t="str">
        <f t="shared" si="3"/>
        <v/>
      </c>
      <c r="X116" s="26"/>
      <c r="Y116" s="26"/>
      <c r="Z116" s="26"/>
      <c r="AA116" s="26"/>
    </row>
    <row r="117" spans="1:27" x14ac:dyDescent="0.25">
      <c r="A117" t="str">
        <f>IF(LEN(Bestellungen!$A117)&gt;0,Bestellungen!$A117,"")</f>
        <v/>
      </c>
      <c r="B117" s="26" t="str">
        <f>IF(ISERROR(VLOOKUP($A117,Bestellungen!$6:$1048576,MATCH(Kasse!B$5,Bestellungen!$A$5:$X$5,0),0))=FALSE,SUMIF(Kalkulation!$A$6:$A$40,Kasse!B$5&amp;"*",Kalkulation!$C$6:$C$40)*VLOOKUP($A117,Bestellungen!$6:$1048576,MATCH(Kasse!B$5,Bestellungen!$A$5:$X$5,0),0),"")</f>
        <v/>
      </c>
      <c r="C117" s="26" t="str">
        <f>IF(ISERROR(VLOOKUP($A117,Bestellungen!$6:$1048576,MATCH(Kasse!C$5,Bestellungen!$A$5:$X$5,0),0))=FALSE,SUMIF(Kalkulation!$A$6:$A$40,Kasse!C$5&amp;"*",Kalkulation!$C$6:$C$40)*VLOOKUP($A117,Bestellungen!$6:$1048576,MATCH(Kasse!C$5,Bestellungen!$A$5:$X$5,0),0),"")</f>
        <v/>
      </c>
      <c r="D117" s="26" t="str">
        <f>IF(ISERROR(VLOOKUP($A117,Bestellungen!$6:$1048576,MATCH(Kasse!D$5,Bestellungen!$A$5:$X$5,0),0))=FALSE,SUMIF(Kalkulation!$A$6:$A$40,Kasse!D$5&amp;"*",Kalkulation!$C$6:$C$40)*VLOOKUP($A117,Bestellungen!$6:$1048576,MATCH(Kasse!D$5,Bestellungen!$A$5:$X$5,0),0),"")</f>
        <v/>
      </c>
      <c r="E117" s="26" t="str">
        <f>IF(ISERROR(VLOOKUP($A117,Bestellungen!$6:$1048576,MATCH(Kasse!E$5,Bestellungen!$A$5:$X$5,0),0))=FALSE,SUMIF(Kalkulation!$A$6:$A$40,Kasse!E$5&amp;"*",Kalkulation!$C$6:$C$40)*VLOOKUP($A117,Bestellungen!$6:$1048576,MATCH(Kasse!E$5,Bestellungen!$A$5:$X$5,0),0),"")</f>
        <v/>
      </c>
      <c r="F117" s="26" t="str">
        <f>IF(ISERROR(VLOOKUP($A117,Bestellungen!$6:$1048576,MATCH(Kasse!F$5,Bestellungen!$A$5:$X$5,0),0))=FALSE,SUMIF(Kalkulation!$A$6:$A$40,Kasse!F$5&amp;"*",Kalkulation!$C$6:$C$40)*VLOOKUP($A117,Bestellungen!$6:$1048576,MATCH(Kasse!F$5,Bestellungen!$A$5:$X$5,0),0),"")</f>
        <v/>
      </c>
      <c r="G117" s="26" t="str">
        <f>IF(ISERROR(VLOOKUP($A117,Bestellungen!$6:$1048576,MATCH(Kasse!G$5,Bestellungen!$A$5:$X$5,0),0))=FALSE,SUMIF(Kalkulation!$A$6:$A$40,Kasse!G$5&amp;"*",Kalkulation!$C$6:$C$40)*VLOOKUP($A117,Bestellungen!$6:$1048576,MATCH(Kasse!G$5,Bestellungen!$A$5:$X$5,0),0),"")</f>
        <v/>
      </c>
      <c r="H117" s="26" t="str">
        <f>IF(ISERROR(VLOOKUP($A117,Bestellungen!$6:$1048576,MATCH(Kasse!H$5,Bestellungen!$A$5:$X$5,0),0))=FALSE,SUMIF(Kalkulation!$A$6:$A$40,Kasse!H$5&amp;"*",Kalkulation!$C$6:$C$40)*VLOOKUP($A117,Bestellungen!$6:$1048576,MATCH(Kasse!H$5,Bestellungen!$A$5:$X$5,0),0),"")</f>
        <v/>
      </c>
      <c r="I117" s="26" t="str">
        <f>IF(ISERROR(VLOOKUP($A117,Bestellungen!$6:$1048576,MATCH(Kasse!I$5,Bestellungen!$A$5:$X$5,0),0))=FALSE,SUMIF(Kalkulation!$A$6:$A$40,Kasse!I$5&amp;"*",Kalkulation!$C$6:$C$40)*VLOOKUP($A117,Bestellungen!$6:$1048576,MATCH(Kasse!I$5,Bestellungen!$A$5:$X$5,0),0),"")</f>
        <v/>
      </c>
      <c r="J117" s="26" t="str">
        <f>IF(ISERROR(VLOOKUP($A117,Bestellungen!$6:$1048576,MATCH(Kasse!J$5,Bestellungen!$A$5:$X$5,0),0))=FALSE,SUMIF(Kalkulation!$A$6:$A$40,Kasse!J$5&amp;"*",Kalkulation!$C$6:$C$40)*VLOOKUP($A117,Bestellungen!$6:$1048576,MATCH(Kasse!J$5,Bestellungen!$A$5:$X$5,0),0),"")</f>
        <v/>
      </c>
      <c r="K117" s="26" t="str">
        <f>IF(ISERROR(VLOOKUP($A117,Bestellungen!$6:$1048576,MATCH(Kasse!K$5,Bestellungen!$A$5:$X$5,0),0))=FALSE,SUMIF(Kalkulation!$A$6:$A$40,Kasse!K$5&amp;"*",Kalkulation!$C$6:$C$40)*VLOOKUP($A117,Bestellungen!$6:$1048576,MATCH(Kasse!K$5,Bestellungen!$A$5:$X$5,0),0),"")</f>
        <v/>
      </c>
      <c r="L117" s="26" t="str">
        <f>IF(ISERROR(VLOOKUP($A117,Bestellungen!$6:$1048576,MATCH(Kasse!L$5,Bestellungen!$A$5:$X$5,0),0))=FALSE,SUMIF(Kalkulation!$A$6:$A$40,Kasse!L$5&amp;"*",Kalkulation!$C$6:$C$40)*VLOOKUP($A117,Bestellungen!$6:$1048576,MATCH(Kasse!L$5,Bestellungen!$A$5:$X$5,0),0),"")</f>
        <v/>
      </c>
      <c r="M117" s="26" t="str">
        <f>IF(ISERROR(VLOOKUP($A117,Bestellungen!$6:$1048576,MATCH(Kasse!M$5,Bestellungen!$A$5:$X$5,0),0))=FALSE,SUMIF(Kalkulation!$A$6:$A$40,Kasse!M$5&amp;"*",Kalkulation!$C$6:$C$40)*VLOOKUP($A117,Bestellungen!$6:$1048576,MATCH(Kasse!M$5,Bestellungen!$A$5:$X$5,0),0),"")</f>
        <v/>
      </c>
      <c r="N117" s="26" t="str">
        <f>IF(ISERROR(VLOOKUP($A117,Bestellungen!$6:$1048576,MATCH(Kasse!N$5,Bestellungen!$A$5:$X$5,0),0))=FALSE,SUMIF(Kalkulation!$A$6:$A$40,Kasse!N$5&amp;"*",Kalkulation!$C$6:$C$40)*VLOOKUP($A117,Bestellungen!$6:$1048576,MATCH(Kasse!N$5,Bestellungen!$A$5:$X$5,0),0),"")</f>
        <v/>
      </c>
      <c r="O117" s="26" t="str">
        <f>IF(ISERROR(VLOOKUP($A117,Bestellungen!$6:$1048576,MATCH(Kasse!O$5,Bestellungen!$A$5:$X$5,0),0))=FALSE,SUMIF(Kalkulation!$A$6:$A$40,Kasse!O$5&amp;"*",Kalkulation!$C$6:$C$40)*VLOOKUP($A117,Bestellungen!$6:$1048576,MATCH(Kasse!O$5,Bestellungen!$A$5:$X$5,0),0),"")</f>
        <v/>
      </c>
      <c r="P117" s="26" t="str">
        <f>IF(ISERROR(VLOOKUP($A117,Bestellungen!$6:$1048576,MATCH(Kasse!P$5,Bestellungen!$A$5:$X$5,0),0))=FALSE,SUMIF(Kalkulation!$A$6:$A$40,Kasse!P$5&amp;"*",Kalkulation!$C$6:$C$40)*VLOOKUP($A117,Bestellungen!$6:$1048576,MATCH(Kasse!P$5,Bestellungen!$A$5:$X$5,0),0),"")</f>
        <v/>
      </c>
      <c r="Q117" s="26" t="str">
        <f>IF(ISERROR(VLOOKUP($A117,Bestellungen!$6:$1048576,MATCH(Kasse!Q$5,Bestellungen!$A$5:$X$5,0),0))=FALSE,SUMIF(Kalkulation!$A$6:$A$40,Kasse!Q$5&amp;"*",Kalkulation!$C$6:$C$40)*VLOOKUP($A117,Bestellungen!$6:$1048576,MATCH(Kasse!Q$5,Bestellungen!$A$5:$X$5,0),0),"")</f>
        <v/>
      </c>
      <c r="R117" s="26" t="str">
        <f>IF(ISERROR(VLOOKUP($A117,Bestellungen!$6:$1048576,MATCH(Kasse!R$5,Bestellungen!$A$5:$X$5,0),0))=FALSE,SUMIF(Kalkulation!$A$6:$A$40,Kasse!R$5&amp;"*",Kalkulation!$C$6:$C$40)*VLOOKUP($A117,Bestellungen!$6:$1048576,MATCH(Kasse!R$5,Bestellungen!$A$5:$X$5,0),0),"")</f>
        <v/>
      </c>
      <c r="S117" s="26" t="str">
        <f>IF(ISERROR(VLOOKUP($A117,Bestellungen!$6:$1048576,MATCH(Kasse!S$5,Bestellungen!$A$5:$X$5,0),0))=FALSE,SUMIF(Kalkulation!$A$6:$A$40,Kasse!S$5&amp;"*",Kalkulation!$C$6:$C$40)*VLOOKUP($A117,Bestellungen!$6:$1048576,MATCH(Kasse!S$5,Bestellungen!$A$5:$X$5,0),0),"")</f>
        <v/>
      </c>
      <c r="T117" s="26" t="str">
        <f>IF(ISERROR(VLOOKUP($A117,Bestellungen!$6:$1048576,MATCH(Kasse!T$5,Bestellungen!$A$5:$X$5,0),0))=FALSE,SUMIF(Kalkulation!$A$6:$A$40,Kasse!T$5&amp;"*",Kalkulation!$C$6:$C$40)*VLOOKUP($A117,Bestellungen!$6:$1048576,MATCH(Kasse!T$5,Bestellungen!$A$5:$X$5,0),0),"")</f>
        <v/>
      </c>
      <c r="U117" s="26" t="str">
        <f t="shared" si="2"/>
        <v/>
      </c>
      <c r="W117" s="26" t="str">
        <f t="shared" si="3"/>
        <v/>
      </c>
      <c r="X117" s="26"/>
      <c r="Y117" s="26"/>
      <c r="Z117" s="26"/>
      <c r="AA117" s="26"/>
    </row>
    <row r="118" spans="1:27" x14ac:dyDescent="0.25">
      <c r="A118" t="str">
        <f>IF(LEN(Bestellungen!$A118)&gt;0,Bestellungen!$A118,"")</f>
        <v/>
      </c>
      <c r="B118" s="26" t="str">
        <f>IF(ISERROR(VLOOKUP($A118,Bestellungen!$6:$1048576,MATCH(Kasse!B$5,Bestellungen!$A$5:$X$5,0),0))=FALSE,SUMIF(Kalkulation!$A$6:$A$40,Kasse!B$5&amp;"*",Kalkulation!$C$6:$C$40)*VLOOKUP($A118,Bestellungen!$6:$1048576,MATCH(Kasse!B$5,Bestellungen!$A$5:$X$5,0),0),"")</f>
        <v/>
      </c>
      <c r="C118" s="26" t="str">
        <f>IF(ISERROR(VLOOKUP($A118,Bestellungen!$6:$1048576,MATCH(Kasse!C$5,Bestellungen!$A$5:$X$5,0),0))=FALSE,SUMIF(Kalkulation!$A$6:$A$40,Kasse!C$5&amp;"*",Kalkulation!$C$6:$C$40)*VLOOKUP($A118,Bestellungen!$6:$1048576,MATCH(Kasse!C$5,Bestellungen!$A$5:$X$5,0),0),"")</f>
        <v/>
      </c>
      <c r="D118" s="26" t="str">
        <f>IF(ISERROR(VLOOKUP($A118,Bestellungen!$6:$1048576,MATCH(Kasse!D$5,Bestellungen!$A$5:$X$5,0),0))=FALSE,SUMIF(Kalkulation!$A$6:$A$40,Kasse!D$5&amp;"*",Kalkulation!$C$6:$C$40)*VLOOKUP($A118,Bestellungen!$6:$1048576,MATCH(Kasse!D$5,Bestellungen!$A$5:$X$5,0),0),"")</f>
        <v/>
      </c>
      <c r="E118" s="26" t="str">
        <f>IF(ISERROR(VLOOKUP($A118,Bestellungen!$6:$1048576,MATCH(Kasse!E$5,Bestellungen!$A$5:$X$5,0),0))=FALSE,SUMIF(Kalkulation!$A$6:$A$40,Kasse!E$5&amp;"*",Kalkulation!$C$6:$C$40)*VLOOKUP($A118,Bestellungen!$6:$1048576,MATCH(Kasse!E$5,Bestellungen!$A$5:$X$5,0),0),"")</f>
        <v/>
      </c>
      <c r="F118" s="26" t="str">
        <f>IF(ISERROR(VLOOKUP($A118,Bestellungen!$6:$1048576,MATCH(Kasse!F$5,Bestellungen!$A$5:$X$5,0),0))=FALSE,SUMIF(Kalkulation!$A$6:$A$40,Kasse!F$5&amp;"*",Kalkulation!$C$6:$C$40)*VLOOKUP($A118,Bestellungen!$6:$1048576,MATCH(Kasse!F$5,Bestellungen!$A$5:$X$5,0),0),"")</f>
        <v/>
      </c>
      <c r="G118" s="26" t="str">
        <f>IF(ISERROR(VLOOKUP($A118,Bestellungen!$6:$1048576,MATCH(Kasse!G$5,Bestellungen!$A$5:$X$5,0),0))=FALSE,SUMIF(Kalkulation!$A$6:$A$40,Kasse!G$5&amp;"*",Kalkulation!$C$6:$C$40)*VLOOKUP($A118,Bestellungen!$6:$1048576,MATCH(Kasse!G$5,Bestellungen!$A$5:$X$5,0),0),"")</f>
        <v/>
      </c>
      <c r="H118" s="26" t="str">
        <f>IF(ISERROR(VLOOKUP($A118,Bestellungen!$6:$1048576,MATCH(Kasse!H$5,Bestellungen!$A$5:$X$5,0),0))=FALSE,SUMIF(Kalkulation!$A$6:$A$40,Kasse!H$5&amp;"*",Kalkulation!$C$6:$C$40)*VLOOKUP($A118,Bestellungen!$6:$1048576,MATCH(Kasse!H$5,Bestellungen!$A$5:$X$5,0),0),"")</f>
        <v/>
      </c>
      <c r="I118" s="26" t="str">
        <f>IF(ISERROR(VLOOKUP($A118,Bestellungen!$6:$1048576,MATCH(Kasse!I$5,Bestellungen!$A$5:$X$5,0),0))=FALSE,SUMIF(Kalkulation!$A$6:$A$40,Kasse!I$5&amp;"*",Kalkulation!$C$6:$C$40)*VLOOKUP($A118,Bestellungen!$6:$1048576,MATCH(Kasse!I$5,Bestellungen!$A$5:$X$5,0),0),"")</f>
        <v/>
      </c>
      <c r="J118" s="26" t="str">
        <f>IF(ISERROR(VLOOKUP($A118,Bestellungen!$6:$1048576,MATCH(Kasse!J$5,Bestellungen!$A$5:$X$5,0),0))=FALSE,SUMIF(Kalkulation!$A$6:$A$40,Kasse!J$5&amp;"*",Kalkulation!$C$6:$C$40)*VLOOKUP($A118,Bestellungen!$6:$1048576,MATCH(Kasse!J$5,Bestellungen!$A$5:$X$5,0),0),"")</f>
        <v/>
      </c>
      <c r="K118" s="26" t="str">
        <f>IF(ISERROR(VLOOKUP($A118,Bestellungen!$6:$1048576,MATCH(Kasse!K$5,Bestellungen!$A$5:$X$5,0),0))=FALSE,SUMIF(Kalkulation!$A$6:$A$40,Kasse!K$5&amp;"*",Kalkulation!$C$6:$C$40)*VLOOKUP($A118,Bestellungen!$6:$1048576,MATCH(Kasse!K$5,Bestellungen!$A$5:$X$5,0),0),"")</f>
        <v/>
      </c>
      <c r="L118" s="26" t="str">
        <f>IF(ISERROR(VLOOKUP($A118,Bestellungen!$6:$1048576,MATCH(Kasse!L$5,Bestellungen!$A$5:$X$5,0),0))=FALSE,SUMIF(Kalkulation!$A$6:$A$40,Kasse!L$5&amp;"*",Kalkulation!$C$6:$C$40)*VLOOKUP($A118,Bestellungen!$6:$1048576,MATCH(Kasse!L$5,Bestellungen!$A$5:$X$5,0),0),"")</f>
        <v/>
      </c>
      <c r="M118" s="26" t="str">
        <f>IF(ISERROR(VLOOKUP($A118,Bestellungen!$6:$1048576,MATCH(Kasse!M$5,Bestellungen!$A$5:$X$5,0),0))=FALSE,SUMIF(Kalkulation!$A$6:$A$40,Kasse!M$5&amp;"*",Kalkulation!$C$6:$C$40)*VLOOKUP($A118,Bestellungen!$6:$1048576,MATCH(Kasse!M$5,Bestellungen!$A$5:$X$5,0),0),"")</f>
        <v/>
      </c>
      <c r="N118" s="26" t="str">
        <f>IF(ISERROR(VLOOKUP($A118,Bestellungen!$6:$1048576,MATCH(Kasse!N$5,Bestellungen!$A$5:$X$5,0),0))=FALSE,SUMIF(Kalkulation!$A$6:$A$40,Kasse!N$5&amp;"*",Kalkulation!$C$6:$C$40)*VLOOKUP($A118,Bestellungen!$6:$1048576,MATCH(Kasse!N$5,Bestellungen!$A$5:$X$5,0),0),"")</f>
        <v/>
      </c>
      <c r="O118" s="26" t="str">
        <f>IF(ISERROR(VLOOKUP($A118,Bestellungen!$6:$1048576,MATCH(Kasse!O$5,Bestellungen!$A$5:$X$5,0),0))=FALSE,SUMIF(Kalkulation!$A$6:$A$40,Kasse!O$5&amp;"*",Kalkulation!$C$6:$C$40)*VLOOKUP($A118,Bestellungen!$6:$1048576,MATCH(Kasse!O$5,Bestellungen!$A$5:$X$5,0),0),"")</f>
        <v/>
      </c>
      <c r="P118" s="26" t="str">
        <f>IF(ISERROR(VLOOKUP($A118,Bestellungen!$6:$1048576,MATCH(Kasse!P$5,Bestellungen!$A$5:$X$5,0),0))=FALSE,SUMIF(Kalkulation!$A$6:$A$40,Kasse!P$5&amp;"*",Kalkulation!$C$6:$C$40)*VLOOKUP($A118,Bestellungen!$6:$1048576,MATCH(Kasse!P$5,Bestellungen!$A$5:$X$5,0),0),"")</f>
        <v/>
      </c>
      <c r="Q118" s="26" t="str">
        <f>IF(ISERROR(VLOOKUP($A118,Bestellungen!$6:$1048576,MATCH(Kasse!Q$5,Bestellungen!$A$5:$X$5,0),0))=FALSE,SUMIF(Kalkulation!$A$6:$A$40,Kasse!Q$5&amp;"*",Kalkulation!$C$6:$C$40)*VLOOKUP($A118,Bestellungen!$6:$1048576,MATCH(Kasse!Q$5,Bestellungen!$A$5:$X$5,0),0),"")</f>
        <v/>
      </c>
      <c r="R118" s="26" t="str">
        <f>IF(ISERROR(VLOOKUP($A118,Bestellungen!$6:$1048576,MATCH(Kasse!R$5,Bestellungen!$A$5:$X$5,0),0))=FALSE,SUMIF(Kalkulation!$A$6:$A$40,Kasse!R$5&amp;"*",Kalkulation!$C$6:$C$40)*VLOOKUP($A118,Bestellungen!$6:$1048576,MATCH(Kasse!R$5,Bestellungen!$A$5:$X$5,0),0),"")</f>
        <v/>
      </c>
      <c r="S118" s="26" t="str">
        <f>IF(ISERROR(VLOOKUP($A118,Bestellungen!$6:$1048576,MATCH(Kasse!S$5,Bestellungen!$A$5:$X$5,0),0))=FALSE,SUMIF(Kalkulation!$A$6:$A$40,Kasse!S$5&amp;"*",Kalkulation!$C$6:$C$40)*VLOOKUP($A118,Bestellungen!$6:$1048576,MATCH(Kasse!S$5,Bestellungen!$A$5:$X$5,0),0),"")</f>
        <v/>
      </c>
      <c r="T118" s="26" t="str">
        <f>IF(ISERROR(VLOOKUP($A118,Bestellungen!$6:$1048576,MATCH(Kasse!T$5,Bestellungen!$A$5:$X$5,0),0))=FALSE,SUMIF(Kalkulation!$A$6:$A$40,Kasse!T$5&amp;"*",Kalkulation!$C$6:$C$40)*VLOOKUP($A118,Bestellungen!$6:$1048576,MATCH(Kasse!T$5,Bestellungen!$A$5:$X$5,0),0),"")</f>
        <v/>
      </c>
      <c r="U118" s="26" t="str">
        <f t="shared" si="2"/>
        <v/>
      </c>
      <c r="W118" s="26" t="str">
        <f t="shared" si="3"/>
        <v/>
      </c>
      <c r="X118" s="26"/>
      <c r="Y118" s="26"/>
      <c r="Z118" s="26"/>
      <c r="AA118" s="26"/>
    </row>
    <row r="119" spans="1:27" x14ac:dyDescent="0.25">
      <c r="A119" t="str">
        <f>IF(LEN(Bestellungen!$A119)&gt;0,Bestellungen!$A119,"")</f>
        <v/>
      </c>
      <c r="B119" s="26" t="str">
        <f>IF(ISERROR(VLOOKUP($A119,Bestellungen!$6:$1048576,MATCH(Kasse!B$5,Bestellungen!$A$5:$X$5,0),0))=FALSE,SUMIF(Kalkulation!$A$6:$A$40,Kasse!B$5&amp;"*",Kalkulation!$C$6:$C$40)*VLOOKUP($A119,Bestellungen!$6:$1048576,MATCH(Kasse!B$5,Bestellungen!$A$5:$X$5,0),0),"")</f>
        <v/>
      </c>
      <c r="C119" s="26" t="str">
        <f>IF(ISERROR(VLOOKUP($A119,Bestellungen!$6:$1048576,MATCH(Kasse!C$5,Bestellungen!$A$5:$X$5,0),0))=FALSE,SUMIF(Kalkulation!$A$6:$A$40,Kasse!C$5&amp;"*",Kalkulation!$C$6:$C$40)*VLOOKUP($A119,Bestellungen!$6:$1048576,MATCH(Kasse!C$5,Bestellungen!$A$5:$X$5,0),0),"")</f>
        <v/>
      </c>
      <c r="D119" s="26" t="str">
        <f>IF(ISERROR(VLOOKUP($A119,Bestellungen!$6:$1048576,MATCH(Kasse!D$5,Bestellungen!$A$5:$X$5,0),0))=FALSE,SUMIF(Kalkulation!$A$6:$A$40,Kasse!D$5&amp;"*",Kalkulation!$C$6:$C$40)*VLOOKUP($A119,Bestellungen!$6:$1048576,MATCH(Kasse!D$5,Bestellungen!$A$5:$X$5,0),0),"")</f>
        <v/>
      </c>
      <c r="E119" s="26" t="str">
        <f>IF(ISERROR(VLOOKUP($A119,Bestellungen!$6:$1048576,MATCH(Kasse!E$5,Bestellungen!$A$5:$X$5,0),0))=FALSE,SUMIF(Kalkulation!$A$6:$A$40,Kasse!E$5&amp;"*",Kalkulation!$C$6:$C$40)*VLOOKUP($A119,Bestellungen!$6:$1048576,MATCH(Kasse!E$5,Bestellungen!$A$5:$X$5,0),0),"")</f>
        <v/>
      </c>
      <c r="F119" s="26" t="str">
        <f>IF(ISERROR(VLOOKUP($A119,Bestellungen!$6:$1048576,MATCH(Kasse!F$5,Bestellungen!$A$5:$X$5,0),0))=FALSE,SUMIF(Kalkulation!$A$6:$A$40,Kasse!F$5&amp;"*",Kalkulation!$C$6:$C$40)*VLOOKUP($A119,Bestellungen!$6:$1048576,MATCH(Kasse!F$5,Bestellungen!$A$5:$X$5,0),0),"")</f>
        <v/>
      </c>
      <c r="G119" s="26" t="str">
        <f>IF(ISERROR(VLOOKUP($A119,Bestellungen!$6:$1048576,MATCH(Kasse!G$5,Bestellungen!$A$5:$X$5,0),0))=FALSE,SUMIF(Kalkulation!$A$6:$A$40,Kasse!G$5&amp;"*",Kalkulation!$C$6:$C$40)*VLOOKUP($A119,Bestellungen!$6:$1048576,MATCH(Kasse!G$5,Bestellungen!$A$5:$X$5,0),0),"")</f>
        <v/>
      </c>
      <c r="H119" s="26" t="str">
        <f>IF(ISERROR(VLOOKUP($A119,Bestellungen!$6:$1048576,MATCH(Kasse!H$5,Bestellungen!$A$5:$X$5,0),0))=FALSE,SUMIF(Kalkulation!$A$6:$A$40,Kasse!H$5&amp;"*",Kalkulation!$C$6:$C$40)*VLOOKUP($A119,Bestellungen!$6:$1048576,MATCH(Kasse!H$5,Bestellungen!$A$5:$X$5,0),0),"")</f>
        <v/>
      </c>
      <c r="I119" s="26" t="str">
        <f>IF(ISERROR(VLOOKUP($A119,Bestellungen!$6:$1048576,MATCH(Kasse!I$5,Bestellungen!$A$5:$X$5,0),0))=FALSE,SUMIF(Kalkulation!$A$6:$A$40,Kasse!I$5&amp;"*",Kalkulation!$C$6:$C$40)*VLOOKUP($A119,Bestellungen!$6:$1048576,MATCH(Kasse!I$5,Bestellungen!$A$5:$X$5,0),0),"")</f>
        <v/>
      </c>
      <c r="J119" s="26" t="str">
        <f>IF(ISERROR(VLOOKUP($A119,Bestellungen!$6:$1048576,MATCH(Kasse!J$5,Bestellungen!$A$5:$X$5,0),0))=FALSE,SUMIF(Kalkulation!$A$6:$A$40,Kasse!J$5&amp;"*",Kalkulation!$C$6:$C$40)*VLOOKUP($A119,Bestellungen!$6:$1048576,MATCH(Kasse!J$5,Bestellungen!$A$5:$X$5,0),0),"")</f>
        <v/>
      </c>
      <c r="K119" s="26" t="str">
        <f>IF(ISERROR(VLOOKUP($A119,Bestellungen!$6:$1048576,MATCH(Kasse!K$5,Bestellungen!$A$5:$X$5,0),0))=FALSE,SUMIF(Kalkulation!$A$6:$A$40,Kasse!K$5&amp;"*",Kalkulation!$C$6:$C$40)*VLOOKUP($A119,Bestellungen!$6:$1048576,MATCH(Kasse!K$5,Bestellungen!$A$5:$X$5,0),0),"")</f>
        <v/>
      </c>
      <c r="L119" s="26" t="str">
        <f>IF(ISERROR(VLOOKUP($A119,Bestellungen!$6:$1048576,MATCH(Kasse!L$5,Bestellungen!$A$5:$X$5,0),0))=FALSE,SUMIF(Kalkulation!$A$6:$A$40,Kasse!L$5&amp;"*",Kalkulation!$C$6:$C$40)*VLOOKUP($A119,Bestellungen!$6:$1048576,MATCH(Kasse!L$5,Bestellungen!$A$5:$X$5,0),0),"")</f>
        <v/>
      </c>
      <c r="M119" s="26" t="str">
        <f>IF(ISERROR(VLOOKUP($A119,Bestellungen!$6:$1048576,MATCH(Kasse!M$5,Bestellungen!$A$5:$X$5,0),0))=FALSE,SUMIF(Kalkulation!$A$6:$A$40,Kasse!M$5&amp;"*",Kalkulation!$C$6:$C$40)*VLOOKUP($A119,Bestellungen!$6:$1048576,MATCH(Kasse!M$5,Bestellungen!$A$5:$X$5,0),0),"")</f>
        <v/>
      </c>
      <c r="N119" s="26" t="str">
        <f>IF(ISERROR(VLOOKUP($A119,Bestellungen!$6:$1048576,MATCH(Kasse!N$5,Bestellungen!$A$5:$X$5,0),0))=FALSE,SUMIF(Kalkulation!$A$6:$A$40,Kasse!N$5&amp;"*",Kalkulation!$C$6:$C$40)*VLOOKUP($A119,Bestellungen!$6:$1048576,MATCH(Kasse!N$5,Bestellungen!$A$5:$X$5,0),0),"")</f>
        <v/>
      </c>
      <c r="O119" s="26" t="str">
        <f>IF(ISERROR(VLOOKUP($A119,Bestellungen!$6:$1048576,MATCH(Kasse!O$5,Bestellungen!$A$5:$X$5,0),0))=FALSE,SUMIF(Kalkulation!$A$6:$A$40,Kasse!O$5&amp;"*",Kalkulation!$C$6:$C$40)*VLOOKUP($A119,Bestellungen!$6:$1048576,MATCH(Kasse!O$5,Bestellungen!$A$5:$X$5,0),0),"")</f>
        <v/>
      </c>
      <c r="P119" s="26" t="str">
        <f>IF(ISERROR(VLOOKUP($A119,Bestellungen!$6:$1048576,MATCH(Kasse!P$5,Bestellungen!$A$5:$X$5,0),0))=FALSE,SUMIF(Kalkulation!$A$6:$A$40,Kasse!P$5&amp;"*",Kalkulation!$C$6:$C$40)*VLOOKUP($A119,Bestellungen!$6:$1048576,MATCH(Kasse!P$5,Bestellungen!$A$5:$X$5,0),0),"")</f>
        <v/>
      </c>
      <c r="Q119" s="26" t="str">
        <f>IF(ISERROR(VLOOKUP($A119,Bestellungen!$6:$1048576,MATCH(Kasse!Q$5,Bestellungen!$A$5:$X$5,0),0))=FALSE,SUMIF(Kalkulation!$A$6:$A$40,Kasse!Q$5&amp;"*",Kalkulation!$C$6:$C$40)*VLOOKUP($A119,Bestellungen!$6:$1048576,MATCH(Kasse!Q$5,Bestellungen!$A$5:$X$5,0),0),"")</f>
        <v/>
      </c>
      <c r="R119" s="26" t="str">
        <f>IF(ISERROR(VLOOKUP($A119,Bestellungen!$6:$1048576,MATCH(Kasse!R$5,Bestellungen!$A$5:$X$5,0),0))=FALSE,SUMIF(Kalkulation!$A$6:$A$40,Kasse!R$5&amp;"*",Kalkulation!$C$6:$C$40)*VLOOKUP($A119,Bestellungen!$6:$1048576,MATCH(Kasse!R$5,Bestellungen!$A$5:$X$5,0),0),"")</f>
        <v/>
      </c>
      <c r="S119" s="26" t="str">
        <f>IF(ISERROR(VLOOKUP($A119,Bestellungen!$6:$1048576,MATCH(Kasse!S$5,Bestellungen!$A$5:$X$5,0),0))=FALSE,SUMIF(Kalkulation!$A$6:$A$40,Kasse!S$5&amp;"*",Kalkulation!$C$6:$C$40)*VLOOKUP($A119,Bestellungen!$6:$1048576,MATCH(Kasse!S$5,Bestellungen!$A$5:$X$5,0),0),"")</f>
        <v/>
      </c>
      <c r="T119" s="26" t="str">
        <f>IF(ISERROR(VLOOKUP($A119,Bestellungen!$6:$1048576,MATCH(Kasse!T$5,Bestellungen!$A$5:$X$5,0),0))=FALSE,SUMIF(Kalkulation!$A$6:$A$40,Kasse!T$5&amp;"*",Kalkulation!$C$6:$C$40)*VLOOKUP($A119,Bestellungen!$6:$1048576,MATCH(Kasse!T$5,Bestellungen!$A$5:$X$5,0),0),"")</f>
        <v/>
      </c>
      <c r="U119" s="26" t="str">
        <f t="shared" si="2"/>
        <v/>
      </c>
      <c r="W119" s="26" t="str">
        <f t="shared" si="3"/>
        <v/>
      </c>
      <c r="X119" s="26"/>
      <c r="Y119" s="26"/>
      <c r="Z119" s="26"/>
      <c r="AA119" s="26"/>
    </row>
    <row r="120" spans="1:27" x14ac:dyDescent="0.25">
      <c r="A120" t="str">
        <f>IF(LEN(Bestellungen!$A120)&gt;0,Bestellungen!$A120,"")</f>
        <v/>
      </c>
      <c r="B120" s="26" t="str">
        <f>IF(ISERROR(VLOOKUP($A120,Bestellungen!$6:$1048576,MATCH(Kasse!B$5,Bestellungen!$A$5:$X$5,0),0))=FALSE,SUMIF(Kalkulation!$A$6:$A$40,Kasse!B$5&amp;"*",Kalkulation!$C$6:$C$40)*VLOOKUP($A120,Bestellungen!$6:$1048576,MATCH(Kasse!B$5,Bestellungen!$A$5:$X$5,0),0),"")</f>
        <v/>
      </c>
      <c r="C120" s="26" t="str">
        <f>IF(ISERROR(VLOOKUP($A120,Bestellungen!$6:$1048576,MATCH(Kasse!C$5,Bestellungen!$A$5:$X$5,0),0))=FALSE,SUMIF(Kalkulation!$A$6:$A$40,Kasse!C$5&amp;"*",Kalkulation!$C$6:$C$40)*VLOOKUP($A120,Bestellungen!$6:$1048576,MATCH(Kasse!C$5,Bestellungen!$A$5:$X$5,0),0),"")</f>
        <v/>
      </c>
      <c r="D120" s="26" t="str">
        <f>IF(ISERROR(VLOOKUP($A120,Bestellungen!$6:$1048576,MATCH(Kasse!D$5,Bestellungen!$A$5:$X$5,0),0))=FALSE,SUMIF(Kalkulation!$A$6:$A$40,Kasse!D$5&amp;"*",Kalkulation!$C$6:$C$40)*VLOOKUP($A120,Bestellungen!$6:$1048576,MATCH(Kasse!D$5,Bestellungen!$A$5:$X$5,0),0),"")</f>
        <v/>
      </c>
      <c r="E120" s="26" t="str">
        <f>IF(ISERROR(VLOOKUP($A120,Bestellungen!$6:$1048576,MATCH(Kasse!E$5,Bestellungen!$A$5:$X$5,0),0))=FALSE,SUMIF(Kalkulation!$A$6:$A$40,Kasse!E$5&amp;"*",Kalkulation!$C$6:$C$40)*VLOOKUP($A120,Bestellungen!$6:$1048576,MATCH(Kasse!E$5,Bestellungen!$A$5:$X$5,0),0),"")</f>
        <v/>
      </c>
      <c r="F120" s="26" t="str">
        <f>IF(ISERROR(VLOOKUP($A120,Bestellungen!$6:$1048576,MATCH(Kasse!F$5,Bestellungen!$A$5:$X$5,0),0))=FALSE,SUMIF(Kalkulation!$A$6:$A$40,Kasse!F$5&amp;"*",Kalkulation!$C$6:$C$40)*VLOOKUP($A120,Bestellungen!$6:$1048576,MATCH(Kasse!F$5,Bestellungen!$A$5:$X$5,0),0),"")</f>
        <v/>
      </c>
      <c r="G120" s="26" t="str">
        <f>IF(ISERROR(VLOOKUP($A120,Bestellungen!$6:$1048576,MATCH(Kasse!G$5,Bestellungen!$A$5:$X$5,0),0))=FALSE,SUMIF(Kalkulation!$A$6:$A$40,Kasse!G$5&amp;"*",Kalkulation!$C$6:$C$40)*VLOOKUP($A120,Bestellungen!$6:$1048576,MATCH(Kasse!G$5,Bestellungen!$A$5:$X$5,0),0),"")</f>
        <v/>
      </c>
      <c r="H120" s="26" t="str">
        <f>IF(ISERROR(VLOOKUP($A120,Bestellungen!$6:$1048576,MATCH(Kasse!H$5,Bestellungen!$A$5:$X$5,0),0))=FALSE,SUMIF(Kalkulation!$A$6:$A$40,Kasse!H$5&amp;"*",Kalkulation!$C$6:$C$40)*VLOOKUP($A120,Bestellungen!$6:$1048576,MATCH(Kasse!H$5,Bestellungen!$A$5:$X$5,0),0),"")</f>
        <v/>
      </c>
      <c r="I120" s="26" t="str">
        <f>IF(ISERROR(VLOOKUP($A120,Bestellungen!$6:$1048576,MATCH(Kasse!I$5,Bestellungen!$A$5:$X$5,0),0))=FALSE,SUMIF(Kalkulation!$A$6:$A$40,Kasse!I$5&amp;"*",Kalkulation!$C$6:$C$40)*VLOOKUP($A120,Bestellungen!$6:$1048576,MATCH(Kasse!I$5,Bestellungen!$A$5:$X$5,0),0),"")</f>
        <v/>
      </c>
      <c r="J120" s="26" t="str">
        <f>IF(ISERROR(VLOOKUP($A120,Bestellungen!$6:$1048576,MATCH(Kasse!J$5,Bestellungen!$A$5:$X$5,0),0))=FALSE,SUMIF(Kalkulation!$A$6:$A$40,Kasse!J$5&amp;"*",Kalkulation!$C$6:$C$40)*VLOOKUP($A120,Bestellungen!$6:$1048576,MATCH(Kasse!J$5,Bestellungen!$A$5:$X$5,0),0),"")</f>
        <v/>
      </c>
      <c r="K120" s="26" t="str">
        <f>IF(ISERROR(VLOOKUP($A120,Bestellungen!$6:$1048576,MATCH(Kasse!K$5,Bestellungen!$A$5:$X$5,0),0))=FALSE,SUMIF(Kalkulation!$A$6:$A$40,Kasse!K$5&amp;"*",Kalkulation!$C$6:$C$40)*VLOOKUP($A120,Bestellungen!$6:$1048576,MATCH(Kasse!K$5,Bestellungen!$A$5:$X$5,0),0),"")</f>
        <v/>
      </c>
      <c r="L120" s="26" t="str">
        <f>IF(ISERROR(VLOOKUP($A120,Bestellungen!$6:$1048576,MATCH(Kasse!L$5,Bestellungen!$A$5:$X$5,0),0))=FALSE,SUMIF(Kalkulation!$A$6:$A$40,Kasse!L$5&amp;"*",Kalkulation!$C$6:$C$40)*VLOOKUP($A120,Bestellungen!$6:$1048576,MATCH(Kasse!L$5,Bestellungen!$A$5:$X$5,0),0),"")</f>
        <v/>
      </c>
      <c r="M120" s="26" t="str">
        <f>IF(ISERROR(VLOOKUP($A120,Bestellungen!$6:$1048576,MATCH(Kasse!M$5,Bestellungen!$A$5:$X$5,0),0))=FALSE,SUMIF(Kalkulation!$A$6:$A$40,Kasse!M$5&amp;"*",Kalkulation!$C$6:$C$40)*VLOOKUP($A120,Bestellungen!$6:$1048576,MATCH(Kasse!M$5,Bestellungen!$A$5:$X$5,0),0),"")</f>
        <v/>
      </c>
      <c r="N120" s="26" t="str">
        <f>IF(ISERROR(VLOOKUP($A120,Bestellungen!$6:$1048576,MATCH(Kasse!N$5,Bestellungen!$A$5:$X$5,0),0))=FALSE,SUMIF(Kalkulation!$A$6:$A$40,Kasse!N$5&amp;"*",Kalkulation!$C$6:$C$40)*VLOOKUP($A120,Bestellungen!$6:$1048576,MATCH(Kasse!N$5,Bestellungen!$A$5:$X$5,0),0),"")</f>
        <v/>
      </c>
      <c r="O120" s="26" t="str">
        <f>IF(ISERROR(VLOOKUP($A120,Bestellungen!$6:$1048576,MATCH(Kasse!O$5,Bestellungen!$A$5:$X$5,0),0))=FALSE,SUMIF(Kalkulation!$A$6:$A$40,Kasse!O$5&amp;"*",Kalkulation!$C$6:$C$40)*VLOOKUP($A120,Bestellungen!$6:$1048576,MATCH(Kasse!O$5,Bestellungen!$A$5:$X$5,0),0),"")</f>
        <v/>
      </c>
      <c r="P120" s="26" t="str">
        <f>IF(ISERROR(VLOOKUP($A120,Bestellungen!$6:$1048576,MATCH(Kasse!P$5,Bestellungen!$A$5:$X$5,0),0))=FALSE,SUMIF(Kalkulation!$A$6:$A$40,Kasse!P$5&amp;"*",Kalkulation!$C$6:$C$40)*VLOOKUP($A120,Bestellungen!$6:$1048576,MATCH(Kasse!P$5,Bestellungen!$A$5:$X$5,0),0),"")</f>
        <v/>
      </c>
      <c r="Q120" s="26" t="str">
        <f>IF(ISERROR(VLOOKUP($A120,Bestellungen!$6:$1048576,MATCH(Kasse!Q$5,Bestellungen!$A$5:$X$5,0),0))=FALSE,SUMIF(Kalkulation!$A$6:$A$40,Kasse!Q$5&amp;"*",Kalkulation!$C$6:$C$40)*VLOOKUP($A120,Bestellungen!$6:$1048576,MATCH(Kasse!Q$5,Bestellungen!$A$5:$X$5,0),0),"")</f>
        <v/>
      </c>
      <c r="R120" s="26" t="str">
        <f>IF(ISERROR(VLOOKUP($A120,Bestellungen!$6:$1048576,MATCH(Kasse!R$5,Bestellungen!$A$5:$X$5,0),0))=FALSE,SUMIF(Kalkulation!$A$6:$A$40,Kasse!R$5&amp;"*",Kalkulation!$C$6:$C$40)*VLOOKUP($A120,Bestellungen!$6:$1048576,MATCH(Kasse!R$5,Bestellungen!$A$5:$X$5,0),0),"")</f>
        <v/>
      </c>
      <c r="S120" s="26" t="str">
        <f>IF(ISERROR(VLOOKUP($A120,Bestellungen!$6:$1048576,MATCH(Kasse!S$5,Bestellungen!$A$5:$X$5,0),0))=FALSE,SUMIF(Kalkulation!$A$6:$A$40,Kasse!S$5&amp;"*",Kalkulation!$C$6:$C$40)*VLOOKUP($A120,Bestellungen!$6:$1048576,MATCH(Kasse!S$5,Bestellungen!$A$5:$X$5,0),0),"")</f>
        <v/>
      </c>
      <c r="T120" s="26" t="str">
        <f>IF(ISERROR(VLOOKUP($A120,Bestellungen!$6:$1048576,MATCH(Kasse!T$5,Bestellungen!$A$5:$X$5,0),0))=FALSE,SUMIF(Kalkulation!$A$6:$A$40,Kasse!T$5&amp;"*",Kalkulation!$C$6:$C$40)*VLOOKUP($A120,Bestellungen!$6:$1048576,MATCH(Kasse!T$5,Bestellungen!$A$5:$X$5,0),0),"")</f>
        <v/>
      </c>
      <c r="U120" s="26" t="str">
        <f t="shared" si="2"/>
        <v/>
      </c>
      <c r="W120" s="26" t="str">
        <f t="shared" si="3"/>
        <v/>
      </c>
      <c r="X120" s="26"/>
      <c r="Y120" s="26"/>
      <c r="Z120" s="26"/>
      <c r="AA120" s="26"/>
    </row>
    <row r="121" spans="1:27" x14ac:dyDescent="0.25">
      <c r="A121" t="str">
        <f>IF(LEN(Bestellungen!$A121)&gt;0,Bestellungen!$A121,"")</f>
        <v/>
      </c>
      <c r="B121" s="26" t="str">
        <f>IF(ISERROR(VLOOKUP($A121,Bestellungen!$6:$1048576,MATCH(Kasse!B$5,Bestellungen!$A$5:$X$5,0),0))=FALSE,SUMIF(Kalkulation!$A$6:$A$40,Kasse!B$5&amp;"*",Kalkulation!$C$6:$C$40)*VLOOKUP($A121,Bestellungen!$6:$1048576,MATCH(Kasse!B$5,Bestellungen!$A$5:$X$5,0),0),"")</f>
        <v/>
      </c>
      <c r="C121" s="26" t="str">
        <f>IF(ISERROR(VLOOKUP($A121,Bestellungen!$6:$1048576,MATCH(Kasse!C$5,Bestellungen!$A$5:$X$5,0),0))=FALSE,SUMIF(Kalkulation!$A$6:$A$40,Kasse!C$5&amp;"*",Kalkulation!$C$6:$C$40)*VLOOKUP($A121,Bestellungen!$6:$1048576,MATCH(Kasse!C$5,Bestellungen!$A$5:$X$5,0),0),"")</f>
        <v/>
      </c>
      <c r="D121" s="26" t="str">
        <f>IF(ISERROR(VLOOKUP($A121,Bestellungen!$6:$1048576,MATCH(Kasse!D$5,Bestellungen!$A$5:$X$5,0),0))=FALSE,SUMIF(Kalkulation!$A$6:$A$40,Kasse!D$5&amp;"*",Kalkulation!$C$6:$C$40)*VLOOKUP($A121,Bestellungen!$6:$1048576,MATCH(Kasse!D$5,Bestellungen!$A$5:$X$5,0),0),"")</f>
        <v/>
      </c>
      <c r="E121" s="26" t="str">
        <f>IF(ISERROR(VLOOKUP($A121,Bestellungen!$6:$1048576,MATCH(Kasse!E$5,Bestellungen!$A$5:$X$5,0),0))=FALSE,SUMIF(Kalkulation!$A$6:$A$40,Kasse!E$5&amp;"*",Kalkulation!$C$6:$C$40)*VLOOKUP($A121,Bestellungen!$6:$1048576,MATCH(Kasse!E$5,Bestellungen!$A$5:$X$5,0),0),"")</f>
        <v/>
      </c>
      <c r="F121" s="26" t="str">
        <f>IF(ISERROR(VLOOKUP($A121,Bestellungen!$6:$1048576,MATCH(Kasse!F$5,Bestellungen!$A$5:$X$5,0),0))=FALSE,SUMIF(Kalkulation!$A$6:$A$40,Kasse!F$5&amp;"*",Kalkulation!$C$6:$C$40)*VLOOKUP($A121,Bestellungen!$6:$1048576,MATCH(Kasse!F$5,Bestellungen!$A$5:$X$5,0),0),"")</f>
        <v/>
      </c>
      <c r="G121" s="26" t="str">
        <f>IF(ISERROR(VLOOKUP($A121,Bestellungen!$6:$1048576,MATCH(Kasse!G$5,Bestellungen!$A$5:$X$5,0),0))=FALSE,SUMIF(Kalkulation!$A$6:$A$40,Kasse!G$5&amp;"*",Kalkulation!$C$6:$C$40)*VLOOKUP($A121,Bestellungen!$6:$1048576,MATCH(Kasse!G$5,Bestellungen!$A$5:$X$5,0),0),"")</f>
        <v/>
      </c>
      <c r="H121" s="26" t="str">
        <f>IF(ISERROR(VLOOKUP($A121,Bestellungen!$6:$1048576,MATCH(Kasse!H$5,Bestellungen!$A$5:$X$5,0),0))=FALSE,SUMIF(Kalkulation!$A$6:$A$40,Kasse!H$5&amp;"*",Kalkulation!$C$6:$C$40)*VLOOKUP($A121,Bestellungen!$6:$1048576,MATCH(Kasse!H$5,Bestellungen!$A$5:$X$5,0),0),"")</f>
        <v/>
      </c>
      <c r="I121" s="26" t="str">
        <f>IF(ISERROR(VLOOKUP($A121,Bestellungen!$6:$1048576,MATCH(Kasse!I$5,Bestellungen!$A$5:$X$5,0),0))=FALSE,SUMIF(Kalkulation!$A$6:$A$40,Kasse!I$5&amp;"*",Kalkulation!$C$6:$C$40)*VLOOKUP($A121,Bestellungen!$6:$1048576,MATCH(Kasse!I$5,Bestellungen!$A$5:$X$5,0),0),"")</f>
        <v/>
      </c>
      <c r="J121" s="26" t="str">
        <f>IF(ISERROR(VLOOKUP($A121,Bestellungen!$6:$1048576,MATCH(Kasse!J$5,Bestellungen!$A$5:$X$5,0),0))=FALSE,SUMIF(Kalkulation!$A$6:$A$40,Kasse!J$5&amp;"*",Kalkulation!$C$6:$C$40)*VLOOKUP($A121,Bestellungen!$6:$1048576,MATCH(Kasse!J$5,Bestellungen!$A$5:$X$5,0),0),"")</f>
        <v/>
      </c>
      <c r="K121" s="26" t="str">
        <f>IF(ISERROR(VLOOKUP($A121,Bestellungen!$6:$1048576,MATCH(Kasse!K$5,Bestellungen!$A$5:$X$5,0),0))=FALSE,SUMIF(Kalkulation!$A$6:$A$40,Kasse!K$5&amp;"*",Kalkulation!$C$6:$C$40)*VLOOKUP($A121,Bestellungen!$6:$1048576,MATCH(Kasse!K$5,Bestellungen!$A$5:$X$5,0),0),"")</f>
        <v/>
      </c>
      <c r="L121" s="26" t="str">
        <f>IF(ISERROR(VLOOKUP($A121,Bestellungen!$6:$1048576,MATCH(Kasse!L$5,Bestellungen!$A$5:$X$5,0),0))=FALSE,SUMIF(Kalkulation!$A$6:$A$40,Kasse!L$5&amp;"*",Kalkulation!$C$6:$C$40)*VLOOKUP($A121,Bestellungen!$6:$1048576,MATCH(Kasse!L$5,Bestellungen!$A$5:$X$5,0),0),"")</f>
        <v/>
      </c>
      <c r="M121" s="26" t="str">
        <f>IF(ISERROR(VLOOKUP($A121,Bestellungen!$6:$1048576,MATCH(Kasse!M$5,Bestellungen!$A$5:$X$5,0),0))=FALSE,SUMIF(Kalkulation!$A$6:$A$40,Kasse!M$5&amp;"*",Kalkulation!$C$6:$C$40)*VLOOKUP($A121,Bestellungen!$6:$1048576,MATCH(Kasse!M$5,Bestellungen!$A$5:$X$5,0),0),"")</f>
        <v/>
      </c>
      <c r="N121" s="26" t="str">
        <f>IF(ISERROR(VLOOKUP($A121,Bestellungen!$6:$1048576,MATCH(Kasse!N$5,Bestellungen!$A$5:$X$5,0),0))=FALSE,SUMIF(Kalkulation!$A$6:$A$40,Kasse!N$5&amp;"*",Kalkulation!$C$6:$C$40)*VLOOKUP($A121,Bestellungen!$6:$1048576,MATCH(Kasse!N$5,Bestellungen!$A$5:$X$5,0),0),"")</f>
        <v/>
      </c>
      <c r="O121" s="26" t="str">
        <f>IF(ISERROR(VLOOKUP($A121,Bestellungen!$6:$1048576,MATCH(Kasse!O$5,Bestellungen!$A$5:$X$5,0),0))=FALSE,SUMIF(Kalkulation!$A$6:$A$40,Kasse!O$5&amp;"*",Kalkulation!$C$6:$C$40)*VLOOKUP($A121,Bestellungen!$6:$1048576,MATCH(Kasse!O$5,Bestellungen!$A$5:$X$5,0),0),"")</f>
        <v/>
      </c>
      <c r="P121" s="26" t="str">
        <f>IF(ISERROR(VLOOKUP($A121,Bestellungen!$6:$1048576,MATCH(Kasse!P$5,Bestellungen!$A$5:$X$5,0),0))=FALSE,SUMIF(Kalkulation!$A$6:$A$40,Kasse!P$5&amp;"*",Kalkulation!$C$6:$C$40)*VLOOKUP($A121,Bestellungen!$6:$1048576,MATCH(Kasse!P$5,Bestellungen!$A$5:$X$5,0),0),"")</f>
        <v/>
      </c>
      <c r="Q121" s="26" t="str">
        <f>IF(ISERROR(VLOOKUP($A121,Bestellungen!$6:$1048576,MATCH(Kasse!Q$5,Bestellungen!$A$5:$X$5,0),0))=FALSE,SUMIF(Kalkulation!$A$6:$A$40,Kasse!Q$5&amp;"*",Kalkulation!$C$6:$C$40)*VLOOKUP($A121,Bestellungen!$6:$1048576,MATCH(Kasse!Q$5,Bestellungen!$A$5:$X$5,0),0),"")</f>
        <v/>
      </c>
      <c r="R121" s="26" t="str">
        <f>IF(ISERROR(VLOOKUP($A121,Bestellungen!$6:$1048576,MATCH(Kasse!R$5,Bestellungen!$A$5:$X$5,0),0))=FALSE,SUMIF(Kalkulation!$A$6:$A$40,Kasse!R$5&amp;"*",Kalkulation!$C$6:$C$40)*VLOOKUP($A121,Bestellungen!$6:$1048576,MATCH(Kasse!R$5,Bestellungen!$A$5:$X$5,0),0),"")</f>
        <v/>
      </c>
      <c r="S121" s="26" t="str">
        <f>IF(ISERROR(VLOOKUP($A121,Bestellungen!$6:$1048576,MATCH(Kasse!S$5,Bestellungen!$A$5:$X$5,0),0))=FALSE,SUMIF(Kalkulation!$A$6:$A$40,Kasse!S$5&amp;"*",Kalkulation!$C$6:$C$40)*VLOOKUP($A121,Bestellungen!$6:$1048576,MATCH(Kasse!S$5,Bestellungen!$A$5:$X$5,0),0),"")</f>
        <v/>
      </c>
      <c r="T121" s="26" t="str">
        <f>IF(ISERROR(VLOOKUP($A121,Bestellungen!$6:$1048576,MATCH(Kasse!T$5,Bestellungen!$A$5:$X$5,0),0))=FALSE,SUMIF(Kalkulation!$A$6:$A$40,Kasse!T$5&amp;"*",Kalkulation!$C$6:$C$40)*VLOOKUP($A121,Bestellungen!$6:$1048576,MATCH(Kasse!T$5,Bestellungen!$A$5:$X$5,0),0),"")</f>
        <v/>
      </c>
      <c r="U121" s="26" t="str">
        <f t="shared" si="2"/>
        <v/>
      </c>
      <c r="W121" s="26" t="str">
        <f t="shared" si="3"/>
        <v/>
      </c>
      <c r="X121" s="26"/>
      <c r="Y121" s="26"/>
      <c r="Z121" s="26"/>
      <c r="AA121" s="26"/>
    </row>
    <row r="122" spans="1:27" x14ac:dyDescent="0.25">
      <c r="A122" t="str">
        <f>IF(LEN(Bestellungen!$A122)&gt;0,Bestellungen!$A122,"")</f>
        <v/>
      </c>
      <c r="B122" s="26" t="str">
        <f>IF(ISERROR(VLOOKUP($A122,Bestellungen!$6:$1048576,MATCH(Kasse!B$5,Bestellungen!$A$5:$X$5,0),0))=FALSE,SUMIF(Kalkulation!$A$6:$A$40,Kasse!B$5&amp;"*",Kalkulation!$C$6:$C$40)*VLOOKUP($A122,Bestellungen!$6:$1048576,MATCH(Kasse!B$5,Bestellungen!$A$5:$X$5,0),0),"")</f>
        <v/>
      </c>
      <c r="C122" s="26" t="str">
        <f>IF(ISERROR(VLOOKUP($A122,Bestellungen!$6:$1048576,MATCH(Kasse!C$5,Bestellungen!$A$5:$X$5,0),0))=FALSE,SUMIF(Kalkulation!$A$6:$A$40,Kasse!C$5&amp;"*",Kalkulation!$C$6:$C$40)*VLOOKUP($A122,Bestellungen!$6:$1048576,MATCH(Kasse!C$5,Bestellungen!$A$5:$X$5,0),0),"")</f>
        <v/>
      </c>
      <c r="D122" s="26" t="str">
        <f>IF(ISERROR(VLOOKUP($A122,Bestellungen!$6:$1048576,MATCH(Kasse!D$5,Bestellungen!$A$5:$X$5,0),0))=FALSE,SUMIF(Kalkulation!$A$6:$A$40,Kasse!D$5&amp;"*",Kalkulation!$C$6:$C$40)*VLOOKUP($A122,Bestellungen!$6:$1048576,MATCH(Kasse!D$5,Bestellungen!$A$5:$X$5,0),0),"")</f>
        <v/>
      </c>
      <c r="E122" s="26" t="str">
        <f>IF(ISERROR(VLOOKUP($A122,Bestellungen!$6:$1048576,MATCH(Kasse!E$5,Bestellungen!$A$5:$X$5,0),0))=FALSE,SUMIF(Kalkulation!$A$6:$A$40,Kasse!E$5&amp;"*",Kalkulation!$C$6:$C$40)*VLOOKUP($A122,Bestellungen!$6:$1048576,MATCH(Kasse!E$5,Bestellungen!$A$5:$X$5,0),0),"")</f>
        <v/>
      </c>
      <c r="F122" s="26" t="str">
        <f>IF(ISERROR(VLOOKUP($A122,Bestellungen!$6:$1048576,MATCH(Kasse!F$5,Bestellungen!$A$5:$X$5,0),0))=FALSE,SUMIF(Kalkulation!$A$6:$A$40,Kasse!F$5&amp;"*",Kalkulation!$C$6:$C$40)*VLOOKUP($A122,Bestellungen!$6:$1048576,MATCH(Kasse!F$5,Bestellungen!$A$5:$X$5,0),0),"")</f>
        <v/>
      </c>
      <c r="G122" s="26" t="str">
        <f>IF(ISERROR(VLOOKUP($A122,Bestellungen!$6:$1048576,MATCH(Kasse!G$5,Bestellungen!$A$5:$X$5,0),0))=FALSE,SUMIF(Kalkulation!$A$6:$A$40,Kasse!G$5&amp;"*",Kalkulation!$C$6:$C$40)*VLOOKUP($A122,Bestellungen!$6:$1048576,MATCH(Kasse!G$5,Bestellungen!$A$5:$X$5,0),0),"")</f>
        <v/>
      </c>
      <c r="H122" s="26" t="str">
        <f>IF(ISERROR(VLOOKUP($A122,Bestellungen!$6:$1048576,MATCH(Kasse!H$5,Bestellungen!$A$5:$X$5,0),0))=FALSE,SUMIF(Kalkulation!$A$6:$A$40,Kasse!H$5&amp;"*",Kalkulation!$C$6:$C$40)*VLOOKUP($A122,Bestellungen!$6:$1048576,MATCH(Kasse!H$5,Bestellungen!$A$5:$X$5,0),0),"")</f>
        <v/>
      </c>
      <c r="I122" s="26" t="str">
        <f>IF(ISERROR(VLOOKUP($A122,Bestellungen!$6:$1048576,MATCH(Kasse!I$5,Bestellungen!$A$5:$X$5,0),0))=FALSE,SUMIF(Kalkulation!$A$6:$A$40,Kasse!I$5&amp;"*",Kalkulation!$C$6:$C$40)*VLOOKUP($A122,Bestellungen!$6:$1048576,MATCH(Kasse!I$5,Bestellungen!$A$5:$X$5,0),0),"")</f>
        <v/>
      </c>
      <c r="J122" s="26" t="str">
        <f>IF(ISERROR(VLOOKUP($A122,Bestellungen!$6:$1048576,MATCH(Kasse!J$5,Bestellungen!$A$5:$X$5,0),0))=FALSE,SUMIF(Kalkulation!$A$6:$A$40,Kasse!J$5&amp;"*",Kalkulation!$C$6:$C$40)*VLOOKUP($A122,Bestellungen!$6:$1048576,MATCH(Kasse!J$5,Bestellungen!$A$5:$X$5,0),0),"")</f>
        <v/>
      </c>
      <c r="K122" s="26" t="str">
        <f>IF(ISERROR(VLOOKUP($A122,Bestellungen!$6:$1048576,MATCH(Kasse!K$5,Bestellungen!$A$5:$X$5,0),0))=FALSE,SUMIF(Kalkulation!$A$6:$A$40,Kasse!K$5&amp;"*",Kalkulation!$C$6:$C$40)*VLOOKUP($A122,Bestellungen!$6:$1048576,MATCH(Kasse!K$5,Bestellungen!$A$5:$X$5,0),0),"")</f>
        <v/>
      </c>
      <c r="L122" s="26" t="str">
        <f>IF(ISERROR(VLOOKUP($A122,Bestellungen!$6:$1048576,MATCH(Kasse!L$5,Bestellungen!$A$5:$X$5,0),0))=FALSE,SUMIF(Kalkulation!$A$6:$A$40,Kasse!L$5&amp;"*",Kalkulation!$C$6:$C$40)*VLOOKUP($A122,Bestellungen!$6:$1048576,MATCH(Kasse!L$5,Bestellungen!$A$5:$X$5,0),0),"")</f>
        <v/>
      </c>
      <c r="M122" s="26" t="str">
        <f>IF(ISERROR(VLOOKUP($A122,Bestellungen!$6:$1048576,MATCH(Kasse!M$5,Bestellungen!$A$5:$X$5,0),0))=FALSE,SUMIF(Kalkulation!$A$6:$A$40,Kasse!M$5&amp;"*",Kalkulation!$C$6:$C$40)*VLOOKUP($A122,Bestellungen!$6:$1048576,MATCH(Kasse!M$5,Bestellungen!$A$5:$X$5,0),0),"")</f>
        <v/>
      </c>
      <c r="N122" s="26" t="str">
        <f>IF(ISERROR(VLOOKUP($A122,Bestellungen!$6:$1048576,MATCH(Kasse!N$5,Bestellungen!$A$5:$X$5,0),0))=FALSE,SUMIF(Kalkulation!$A$6:$A$40,Kasse!N$5&amp;"*",Kalkulation!$C$6:$C$40)*VLOOKUP($A122,Bestellungen!$6:$1048576,MATCH(Kasse!N$5,Bestellungen!$A$5:$X$5,0),0),"")</f>
        <v/>
      </c>
      <c r="O122" s="26" t="str">
        <f>IF(ISERROR(VLOOKUP($A122,Bestellungen!$6:$1048576,MATCH(Kasse!O$5,Bestellungen!$A$5:$X$5,0),0))=FALSE,SUMIF(Kalkulation!$A$6:$A$40,Kasse!O$5&amp;"*",Kalkulation!$C$6:$C$40)*VLOOKUP($A122,Bestellungen!$6:$1048576,MATCH(Kasse!O$5,Bestellungen!$A$5:$X$5,0),0),"")</f>
        <v/>
      </c>
      <c r="P122" s="26" t="str">
        <f>IF(ISERROR(VLOOKUP($A122,Bestellungen!$6:$1048576,MATCH(Kasse!P$5,Bestellungen!$A$5:$X$5,0),0))=FALSE,SUMIF(Kalkulation!$A$6:$A$40,Kasse!P$5&amp;"*",Kalkulation!$C$6:$C$40)*VLOOKUP($A122,Bestellungen!$6:$1048576,MATCH(Kasse!P$5,Bestellungen!$A$5:$X$5,0),0),"")</f>
        <v/>
      </c>
      <c r="Q122" s="26" t="str">
        <f>IF(ISERROR(VLOOKUP($A122,Bestellungen!$6:$1048576,MATCH(Kasse!Q$5,Bestellungen!$A$5:$X$5,0),0))=FALSE,SUMIF(Kalkulation!$A$6:$A$40,Kasse!Q$5&amp;"*",Kalkulation!$C$6:$C$40)*VLOOKUP($A122,Bestellungen!$6:$1048576,MATCH(Kasse!Q$5,Bestellungen!$A$5:$X$5,0),0),"")</f>
        <v/>
      </c>
      <c r="R122" s="26" t="str">
        <f>IF(ISERROR(VLOOKUP($A122,Bestellungen!$6:$1048576,MATCH(Kasse!R$5,Bestellungen!$A$5:$X$5,0),0))=FALSE,SUMIF(Kalkulation!$A$6:$A$40,Kasse!R$5&amp;"*",Kalkulation!$C$6:$C$40)*VLOOKUP($A122,Bestellungen!$6:$1048576,MATCH(Kasse!R$5,Bestellungen!$A$5:$X$5,0),0),"")</f>
        <v/>
      </c>
      <c r="S122" s="26" t="str">
        <f>IF(ISERROR(VLOOKUP($A122,Bestellungen!$6:$1048576,MATCH(Kasse!S$5,Bestellungen!$A$5:$X$5,0),0))=FALSE,SUMIF(Kalkulation!$A$6:$A$40,Kasse!S$5&amp;"*",Kalkulation!$C$6:$C$40)*VLOOKUP($A122,Bestellungen!$6:$1048576,MATCH(Kasse!S$5,Bestellungen!$A$5:$X$5,0),0),"")</f>
        <v/>
      </c>
      <c r="T122" s="26" t="str">
        <f>IF(ISERROR(VLOOKUP($A122,Bestellungen!$6:$1048576,MATCH(Kasse!T$5,Bestellungen!$A$5:$X$5,0),0))=FALSE,SUMIF(Kalkulation!$A$6:$A$40,Kasse!T$5&amp;"*",Kalkulation!$C$6:$C$40)*VLOOKUP($A122,Bestellungen!$6:$1048576,MATCH(Kasse!T$5,Bestellungen!$A$5:$X$5,0),0),"")</f>
        <v/>
      </c>
      <c r="U122" s="26" t="str">
        <f t="shared" si="2"/>
        <v/>
      </c>
      <c r="W122" s="26" t="str">
        <f t="shared" si="3"/>
        <v/>
      </c>
      <c r="X122" s="26"/>
      <c r="Y122" s="26"/>
      <c r="Z122" s="26"/>
      <c r="AA122" s="26"/>
    </row>
    <row r="123" spans="1:27" x14ac:dyDescent="0.25">
      <c r="A123" t="str">
        <f>IF(LEN(Bestellungen!$A123)&gt;0,Bestellungen!$A123,"")</f>
        <v/>
      </c>
      <c r="B123" s="26" t="str">
        <f>IF(ISERROR(VLOOKUP($A123,Bestellungen!$6:$1048576,MATCH(Kasse!B$5,Bestellungen!$A$5:$X$5,0),0))=FALSE,SUMIF(Kalkulation!$A$6:$A$40,Kasse!B$5&amp;"*",Kalkulation!$C$6:$C$40)*VLOOKUP($A123,Bestellungen!$6:$1048576,MATCH(Kasse!B$5,Bestellungen!$A$5:$X$5,0),0),"")</f>
        <v/>
      </c>
      <c r="C123" s="26" t="str">
        <f>IF(ISERROR(VLOOKUP($A123,Bestellungen!$6:$1048576,MATCH(Kasse!C$5,Bestellungen!$A$5:$X$5,0),0))=FALSE,SUMIF(Kalkulation!$A$6:$A$40,Kasse!C$5&amp;"*",Kalkulation!$C$6:$C$40)*VLOOKUP($A123,Bestellungen!$6:$1048576,MATCH(Kasse!C$5,Bestellungen!$A$5:$X$5,0),0),"")</f>
        <v/>
      </c>
      <c r="D123" s="26" t="str">
        <f>IF(ISERROR(VLOOKUP($A123,Bestellungen!$6:$1048576,MATCH(Kasse!D$5,Bestellungen!$A$5:$X$5,0),0))=FALSE,SUMIF(Kalkulation!$A$6:$A$40,Kasse!D$5&amp;"*",Kalkulation!$C$6:$C$40)*VLOOKUP($A123,Bestellungen!$6:$1048576,MATCH(Kasse!D$5,Bestellungen!$A$5:$X$5,0),0),"")</f>
        <v/>
      </c>
      <c r="E123" s="26" t="str">
        <f>IF(ISERROR(VLOOKUP($A123,Bestellungen!$6:$1048576,MATCH(Kasse!E$5,Bestellungen!$A$5:$X$5,0),0))=FALSE,SUMIF(Kalkulation!$A$6:$A$40,Kasse!E$5&amp;"*",Kalkulation!$C$6:$C$40)*VLOOKUP($A123,Bestellungen!$6:$1048576,MATCH(Kasse!E$5,Bestellungen!$A$5:$X$5,0),0),"")</f>
        <v/>
      </c>
      <c r="F123" s="26" t="str">
        <f>IF(ISERROR(VLOOKUP($A123,Bestellungen!$6:$1048576,MATCH(Kasse!F$5,Bestellungen!$A$5:$X$5,0),0))=FALSE,SUMIF(Kalkulation!$A$6:$A$40,Kasse!F$5&amp;"*",Kalkulation!$C$6:$C$40)*VLOOKUP($A123,Bestellungen!$6:$1048576,MATCH(Kasse!F$5,Bestellungen!$A$5:$X$5,0),0),"")</f>
        <v/>
      </c>
      <c r="G123" s="26" t="str">
        <f>IF(ISERROR(VLOOKUP($A123,Bestellungen!$6:$1048576,MATCH(Kasse!G$5,Bestellungen!$A$5:$X$5,0),0))=FALSE,SUMIF(Kalkulation!$A$6:$A$40,Kasse!G$5&amp;"*",Kalkulation!$C$6:$C$40)*VLOOKUP($A123,Bestellungen!$6:$1048576,MATCH(Kasse!G$5,Bestellungen!$A$5:$X$5,0),0),"")</f>
        <v/>
      </c>
      <c r="H123" s="26" t="str">
        <f>IF(ISERROR(VLOOKUP($A123,Bestellungen!$6:$1048576,MATCH(Kasse!H$5,Bestellungen!$A$5:$X$5,0),0))=FALSE,SUMIF(Kalkulation!$A$6:$A$40,Kasse!H$5&amp;"*",Kalkulation!$C$6:$C$40)*VLOOKUP($A123,Bestellungen!$6:$1048576,MATCH(Kasse!H$5,Bestellungen!$A$5:$X$5,0),0),"")</f>
        <v/>
      </c>
      <c r="I123" s="26" t="str">
        <f>IF(ISERROR(VLOOKUP($A123,Bestellungen!$6:$1048576,MATCH(Kasse!I$5,Bestellungen!$A$5:$X$5,0),0))=FALSE,SUMIF(Kalkulation!$A$6:$A$40,Kasse!I$5&amp;"*",Kalkulation!$C$6:$C$40)*VLOOKUP($A123,Bestellungen!$6:$1048576,MATCH(Kasse!I$5,Bestellungen!$A$5:$X$5,0),0),"")</f>
        <v/>
      </c>
      <c r="J123" s="26" t="str">
        <f>IF(ISERROR(VLOOKUP($A123,Bestellungen!$6:$1048576,MATCH(Kasse!J$5,Bestellungen!$A$5:$X$5,0),0))=FALSE,SUMIF(Kalkulation!$A$6:$A$40,Kasse!J$5&amp;"*",Kalkulation!$C$6:$C$40)*VLOOKUP($A123,Bestellungen!$6:$1048576,MATCH(Kasse!J$5,Bestellungen!$A$5:$X$5,0),0),"")</f>
        <v/>
      </c>
      <c r="K123" s="26" t="str">
        <f>IF(ISERROR(VLOOKUP($A123,Bestellungen!$6:$1048576,MATCH(Kasse!K$5,Bestellungen!$A$5:$X$5,0),0))=FALSE,SUMIF(Kalkulation!$A$6:$A$40,Kasse!K$5&amp;"*",Kalkulation!$C$6:$C$40)*VLOOKUP($A123,Bestellungen!$6:$1048576,MATCH(Kasse!K$5,Bestellungen!$A$5:$X$5,0),0),"")</f>
        <v/>
      </c>
      <c r="L123" s="26" t="str">
        <f>IF(ISERROR(VLOOKUP($A123,Bestellungen!$6:$1048576,MATCH(Kasse!L$5,Bestellungen!$A$5:$X$5,0),0))=FALSE,SUMIF(Kalkulation!$A$6:$A$40,Kasse!L$5&amp;"*",Kalkulation!$C$6:$C$40)*VLOOKUP($A123,Bestellungen!$6:$1048576,MATCH(Kasse!L$5,Bestellungen!$A$5:$X$5,0),0),"")</f>
        <v/>
      </c>
      <c r="M123" s="26" t="str">
        <f>IF(ISERROR(VLOOKUP($A123,Bestellungen!$6:$1048576,MATCH(Kasse!M$5,Bestellungen!$A$5:$X$5,0),0))=FALSE,SUMIF(Kalkulation!$A$6:$A$40,Kasse!M$5&amp;"*",Kalkulation!$C$6:$C$40)*VLOOKUP($A123,Bestellungen!$6:$1048576,MATCH(Kasse!M$5,Bestellungen!$A$5:$X$5,0),0),"")</f>
        <v/>
      </c>
      <c r="N123" s="26" t="str">
        <f>IF(ISERROR(VLOOKUP($A123,Bestellungen!$6:$1048576,MATCH(Kasse!N$5,Bestellungen!$A$5:$X$5,0),0))=FALSE,SUMIF(Kalkulation!$A$6:$A$40,Kasse!N$5&amp;"*",Kalkulation!$C$6:$C$40)*VLOOKUP($A123,Bestellungen!$6:$1048576,MATCH(Kasse!N$5,Bestellungen!$A$5:$X$5,0),0),"")</f>
        <v/>
      </c>
      <c r="O123" s="26" t="str">
        <f>IF(ISERROR(VLOOKUP($A123,Bestellungen!$6:$1048576,MATCH(Kasse!O$5,Bestellungen!$A$5:$X$5,0),0))=FALSE,SUMIF(Kalkulation!$A$6:$A$40,Kasse!O$5&amp;"*",Kalkulation!$C$6:$C$40)*VLOOKUP($A123,Bestellungen!$6:$1048576,MATCH(Kasse!O$5,Bestellungen!$A$5:$X$5,0),0),"")</f>
        <v/>
      </c>
      <c r="P123" s="26" t="str">
        <f>IF(ISERROR(VLOOKUP($A123,Bestellungen!$6:$1048576,MATCH(Kasse!P$5,Bestellungen!$A$5:$X$5,0),0))=FALSE,SUMIF(Kalkulation!$A$6:$A$40,Kasse!P$5&amp;"*",Kalkulation!$C$6:$C$40)*VLOOKUP($A123,Bestellungen!$6:$1048576,MATCH(Kasse!P$5,Bestellungen!$A$5:$X$5,0),0),"")</f>
        <v/>
      </c>
      <c r="Q123" s="26" t="str">
        <f>IF(ISERROR(VLOOKUP($A123,Bestellungen!$6:$1048576,MATCH(Kasse!Q$5,Bestellungen!$A$5:$X$5,0),0))=FALSE,SUMIF(Kalkulation!$A$6:$A$40,Kasse!Q$5&amp;"*",Kalkulation!$C$6:$C$40)*VLOOKUP($A123,Bestellungen!$6:$1048576,MATCH(Kasse!Q$5,Bestellungen!$A$5:$X$5,0),0),"")</f>
        <v/>
      </c>
      <c r="R123" s="26" t="str">
        <f>IF(ISERROR(VLOOKUP($A123,Bestellungen!$6:$1048576,MATCH(Kasse!R$5,Bestellungen!$A$5:$X$5,0),0))=FALSE,SUMIF(Kalkulation!$A$6:$A$40,Kasse!R$5&amp;"*",Kalkulation!$C$6:$C$40)*VLOOKUP($A123,Bestellungen!$6:$1048576,MATCH(Kasse!R$5,Bestellungen!$A$5:$X$5,0),0),"")</f>
        <v/>
      </c>
      <c r="S123" s="26" t="str">
        <f>IF(ISERROR(VLOOKUP($A123,Bestellungen!$6:$1048576,MATCH(Kasse!S$5,Bestellungen!$A$5:$X$5,0),0))=FALSE,SUMIF(Kalkulation!$A$6:$A$40,Kasse!S$5&amp;"*",Kalkulation!$C$6:$C$40)*VLOOKUP($A123,Bestellungen!$6:$1048576,MATCH(Kasse!S$5,Bestellungen!$A$5:$X$5,0),0),"")</f>
        <v/>
      </c>
      <c r="T123" s="26" t="str">
        <f>IF(ISERROR(VLOOKUP($A123,Bestellungen!$6:$1048576,MATCH(Kasse!T$5,Bestellungen!$A$5:$X$5,0),0))=FALSE,SUMIF(Kalkulation!$A$6:$A$40,Kasse!T$5&amp;"*",Kalkulation!$C$6:$C$40)*VLOOKUP($A123,Bestellungen!$6:$1048576,MATCH(Kasse!T$5,Bestellungen!$A$5:$X$5,0),0),"")</f>
        <v/>
      </c>
      <c r="U123" s="26" t="str">
        <f t="shared" si="2"/>
        <v/>
      </c>
      <c r="W123" s="26" t="str">
        <f t="shared" si="3"/>
        <v/>
      </c>
      <c r="X123" s="26"/>
      <c r="Y123" s="26"/>
      <c r="Z123" s="26"/>
      <c r="AA123" s="26"/>
    </row>
    <row r="124" spans="1:27" x14ac:dyDescent="0.25">
      <c r="A124" t="str">
        <f>IF(LEN(Bestellungen!$A124)&gt;0,Bestellungen!$A124,"")</f>
        <v/>
      </c>
      <c r="B124" s="26" t="str">
        <f>IF(ISERROR(VLOOKUP($A124,Bestellungen!$6:$1048576,MATCH(Kasse!B$5,Bestellungen!$A$5:$X$5,0),0))=FALSE,SUMIF(Kalkulation!$A$6:$A$40,Kasse!B$5&amp;"*",Kalkulation!$C$6:$C$40)*VLOOKUP($A124,Bestellungen!$6:$1048576,MATCH(Kasse!B$5,Bestellungen!$A$5:$X$5,0),0),"")</f>
        <v/>
      </c>
      <c r="C124" s="26" t="str">
        <f>IF(ISERROR(VLOOKUP($A124,Bestellungen!$6:$1048576,MATCH(Kasse!C$5,Bestellungen!$A$5:$X$5,0),0))=FALSE,SUMIF(Kalkulation!$A$6:$A$40,Kasse!C$5&amp;"*",Kalkulation!$C$6:$C$40)*VLOOKUP($A124,Bestellungen!$6:$1048576,MATCH(Kasse!C$5,Bestellungen!$A$5:$X$5,0),0),"")</f>
        <v/>
      </c>
      <c r="D124" s="26" t="str">
        <f>IF(ISERROR(VLOOKUP($A124,Bestellungen!$6:$1048576,MATCH(Kasse!D$5,Bestellungen!$A$5:$X$5,0),0))=FALSE,SUMIF(Kalkulation!$A$6:$A$40,Kasse!D$5&amp;"*",Kalkulation!$C$6:$C$40)*VLOOKUP($A124,Bestellungen!$6:$1048576,MATCH(Kasse!D$5,Bestellungen!$A$5:$X$5,0),0),"")</f>
        <v/>
      </c>
      <c r="E124" s="26" t="str">
        <f>IF(ISERROR(VLOOKUP($A124,Bestellungen!$6:$1048576,MATCH(Kasse!E$5,Bestellungen!$A$5:$X$5,0),0))=FALSE,SUMIF(Kalkulation!$A$6:$A$40,Kasse!E$5&amp;"*",Kalkulation!$C$6:$C$40)*VLOOKUP($A124,Bestellungen!$6:$1048576,MATCH(Kasse!E$5,Bestellungen!$A$5:$X$5,0),0),"")</f>
        <v/>
      </c>
      <c r="F124" s="26" t="str">
        <f>IF(ISERROR(VLOOKUP($A124,Bestellungen!$6:$1048576,MATCH(Kasse!F$5,Bestellungen!$A$5:$X$5,0),0))=FALSE,SUMIF(Kalkulation!$A$6:$A$40,Kasse!F$5&amp;"*",Kalkulation!$C$6:$C$40)*VLOOKUP($A124,Bestellungen!$6:$1048576,MATCH(Kasse!F$5,Bestellungen!$A$5:$X$5,0),0),"")</f>
        <v/>
      </c>
      <c r="G124" s="26" t="str">
        <f>IF(ISERROR(VLOOKUP($A124,Bestellungen!$6:$1048576,MATCH(Kasse!G$5,Bestellungen!$A$5:$X$5,0),0))=FALSE,SUMIF(Kalkulation!$A$6:$A$40,Kasse!G$5&amp;"*",Kalkulation!$C$6:$C$40)*VLOOKUP($A124,Bestellungen!$6:$1048576,MATCH(Kasse!G$5,Bestellungen!$A$5:$X$5,0),0),"")</f>
        <v/>
      </c>
      <c r="H124" s="26" t="str">
        <f>IF(ISERROR(VLOOKUP($A124,Bestellungen!$6:$1048576,MATCH(Kasse!H$5,Bestellungen!$A$5:$X$5,0),0))=FALSE,SUMIF(Kalkulation!$A$6:$A$40,Kasse!H$5&amp;"*",Kalkulation!$C$6:$C$40)*VLOOKUP($A124,Bestellungen!$6:$1048576,MATCH(Kasse!H$5,Bestellungen!$A$5:$X$5,0),0),"")</f>
        <v/>
      </c>
      <c r="I124" s="26" t="str">
        <f>IF(ISERROR(VLOOKUP($A124,Bestellungen!$6:$1048576,MATCH(Kasse!I$5,Bestellungen!$A$5:$X$5,0),0))=FALSE,SUMIF(Kalkulation!$A$6:$A$40,Kasse!I$5&amp;"*",Kalkulation!$C$6:$C$40)*VLOOKUP($A124,Bestellungen!$6:$1048576,MATCH(Kasse!I$5,Bestellungen!$A$5:$X$5,0),0),"")</f>
        <v/>
      </c>
      <c r="J124" s="26" t="str">
        <f>IF(ISERROR(VLOOKUP($A124,Bestellungen!$6:$1048576,MATCH(Kasse!J$5,Bestellungen!$A$5:$X$5,0),0))=FALSE,SUMIF(Kalkulation!$A$6:$A$40,Kasse!J$5&amp;"*",Kalkulation!$C$6:$C$40)*VLOOKUP($A124,Bestellungen!$6:$1048576,MATCH(Kasse!J$5,Bestellungen!$A$5:$X$5,0),0),"")</f>
        <v/>
      </c>
      <c r="K124" s="26" t="str">
        <f>IF(ISERROR(VLOOKUP($A124,Bestellungen!$6:$1048576,MATCH(Kasse!K$5,Bestellungen!$A$5:$X$5,0),0))=FALSE,SUMIF(Kalkulation!$A$6:$A$40,Kasse!K$5&amp;"*",Kalkulation!$C$6:$C$40)*VLOOKUP($A124,Bestellungen!$6:$1048576,MATCH(Kasse!K$5,Bestellungen!$A$5:$X$5,0),0),"")</f>
        <v/>
      </c>
      <c r="L124" s="26" t="str">
        <f>IF(ISERROR(VLOOKUP($A124,Bestellungen!$6:$1048576,MATCH(Kasse!L$5,Bestellungen!$A$5:$X$5,0),0))=FALSE,SUMIF(Kalkulation!$A$6:$A$40,Kasse!L$5&amp;"*",Kalkulation!$C$6:$C$40)*VLOOKUP($A124,Bestellungen!$6:$1048576,MATCH(Kasse!L$5,Bestellungen!$A$5:$X$5,0),0),"")</f>
        <v/>
      </c>
      <c r="M124" s="26" t="str">
        <f>IF(ISERROR(VLOOKUP($A124,Bestellungen!$6:$1048576,MATCH(Kasse!M$5,Bestellungen!$A$5:$X$5,0),0))=FALSE,SUMIF(Kalkulation!$A$6:$A$40,Kasse!M$5&amp;"*",Kalkulation!$C$6:$C$40)*VLOOKUP($A124,Bestellungen!$6:$1048576,MATCH(Kasse!M$5,Bestellungen!$A$5:$X$5,0),0),"")</f>
        <v/>
      </c>
      <c r="N124" s="26" t="str">
        <f>IF(ISERROR(VLOOKUP($A124,Bestellungen!$6:$1048576,MATCH(Kasse!N$5,Bestellungen!$A$5:$X$5,0),0))=FALSE,SUMIF(Kalkulation!$A$6:$A$40,Kasse!N$5&amp;"*",Kalkulation!$C$6:$C$40)*VLOOKUP($A124,Bestellungen!$6:$1048576,MATCH(Kasse!N$5,Bestellungen!$A$5:$X$5,0),0),"")</f>
        <v/>
      </c>
      <c r="O124" s="26" t="str">
        <f>IF(ISERROR(VLOOKUP($A124,Bestellungen!$6:$1048576,MATCH(Kasse!O$5,Bestellungen!$A$5:$X$5,0),0))=FALSE,SUMIF(Kalkulation!$A$6:$A$40,Kasse!O$5&amp;"*",Kalkulation!$C$6:$C$40)*VLOOKUP($A124,Bestellungen!$6:$1048576,MATCH(Kasse!O$5,Bestellungen!$A$5:$X$5,0),0),"")</f>
        <v/>
      </c>
      <c r="P124" s="26" t="str">
        <f>IF(ISERROR(VLOOKUP($A124,Bestellungen!$6:$1048576,MATCH(Kasse!P$5,Bestellungen!$A$5:$X$5,0),0))=FALSE,SUMIF(Kalkulation!$A$6:$A$40,Kasse!P$5&amp;"*",Kalkulation!$C$6:$C$40)*VLOOKUP($A124,Bestellungen!$6:$1048576,MATCH(Kasse!P$5,Bestellungen!$A$5:$X$5,0),0),"")</f>
        <v/>
      </c>
      <c r="Q124" s="26" t="str">
        <f>IF(ISERROR(VLOOKUP($A124,Bestellungen!$6:$1048576,MATCH(Kasse!Q$5,Bestellungen!$A$5:$X$5,0),0))=FALSE,SUMIF(Kalkulation!$A$6:$A$40,Kasse!Q$5&amp;"*",Kalkulation!$C$6:$C$40)*VLOOKUP($A124,Bestellungen!$6:$1048576,MATCH(Kasse!Q$5,Bestellungen!$A$5:$X$5,0),0),"")</f>
        <v/>
      </c>
      <c r="R124" s="26" t="str">
        <f>IF(ISERROR(VLOOKUP($A124,Bestellungen!$6:$1048576,MATCH(Kasse!R$5,Bestellungen!$A$5:$X$5,0),0))=FALSE,SUMIF(Kalkulation!$A$6:$A$40,Kasse!R$5&amp;"*",Kalkulation!$C$6:$C$40)*VLOOKUP($A124,Bestellungen!$6:$1048576,MATCH(Kasse!R$5,Bestellungen!$A$5:$X$5,0),0),"")</f>
        <v/>
      </c>
      <c r="S124" s="26" t="str">
        <f>IF(ISERROR(VLOOKUP($A124,Bestellungen!$6:$1048576,MATCH(Kasse!S$5,Bestellungen!$A$5:$X$5,0),0))=FALSE,SUMIF(Kalkulation!$A$6:$A$40,Kasse!S$5&amp;"*",Kalkulation!$C$6:$C$40)*VLOOKUP($A124,Bestellungen!$6:$1048576,MATCH(Kasse!S$5,Bestellungen!$A$5:$X$5,0),0),"")</f>
        <v/>
      </c>
      <c r="T124" s="26" t="str">
        <f>IF(ISERROR(VLOOKUP($A124,Bestellungen!$6:$1048576,MATCH(Kasse!T$5,Bestellungen!$A$5:$X$5,0),0))=FALSE,SUMIF(Kalkulation!$A$6:$A$40,Kasse!T$5&amp;"*",Kalkulation!$C$6:$C$40)*VLOOKUP($A124,Bestellungen!$6:$1048576,MATCH(Kasse!T$5,Bestellungen!$A$5:$X$5,0),0),"")</f>
        <v/>
      </c>
      <c r="U124" s="26" t="str">
        <f t="shared" si="2"/>
        <v/>
      </c>
      <c r="W124" s="26" t="str">
        <f t="shared" si="3"/>
        <v/>
      </c>
      <c r="X124" s="26"/>
      <c r="Y124" s="26"/>
      <c r="Z124" s="26"/>
      <c r="AA124" s="26"/>
    </row>
    <row r="125" spans="1:27" x14ac:dyDescent="0.25">
      <c r="A125" t="str">
        <f>IF(LEN(Bestellungen!$A125)&gt;0,Bestellungen!$A125,"")</f>
        <v/>
      </c>
      <c r="B125" s="26" t="str">
        <f>IF(ISERROR(VLOOKUP($A125,Bestellungen!$6:$1048576,MATCH(Kasse!B$5,Bestellungen!$A$5:$X$5,0),0))=FALSE,SUMIF(Kalkulation!$A$6:$A$40,Kasse!B$5&amp;"*",Kalkulation!$C$6:$C$40)*VLOOKUP($A125,Bestellungen!$6:$1048576,MATCH(Kasse!B$5,Bestellungen!$A$5:$X$5,0),0),"")</f>
        <v/>
      </c>
      <c r="C125" s="26" t="str">
        <f>IF(ISERROR(VLOOKUP($A125,Bestellungen!$6:$1048576,MATCH(Kasse!C$5,Bestellungen!$A$5:$X$5,0),0))=FALSE,SUMIF(Kalkulation!$A$6:$A$40,Kasse!C$5&amp;"*",Kalkulation!$C$6:$C$40)*VLOOKUP($A125,Bestellungen!$6:$1048576,MATCH(Kasse!C$5,Bestellungen!$A$5:$X$5,0),0),"")</f>
        <v/>
      </c>
      <c r="D125" s="26" t="str">
        <f>IF(ISERROR(VLOOKUP($A125,Bestellungen!$6:$1048576,MATCH(Kasse!D$5,Bestellungen!$A$5:$X$5,0),0))=FALSE,SUMIF(Kalkulation!$A$6:$A$40,Kasse!D$5&amp;"*",Kalkulation!$C$6:$C$40)*VLOOKUP($A125,Bestellungen!$6:$1048576,MATCH(Kasse!D$5,Bestellungen!$A$5:$X$5,0),0),"")</f>
        <v/>
      </c>
      <c r="E125" s="26" t="str">
        <f>IF(ISERROR(VLOOKUP($A125,Bestellungen!$6:$1048576,MATCH(Kasse!E$5,Bestellungen!$A$5:$X$5,0),0))=FALSE,SUMIF(Kalkulation!$A$6:$A$40,Kasse!E$5&amp;"*",Kalkulation!$C$6:$C$40)*VLOOKUP($A125,Bestellungen!$6:$1048576,MATCH(Kasse!E$5,Bestellungen!$A$5:$X$5,0),0),"")</f>
        <v/>
      </c>
      <c r="F125" s="26" t="str">
        <f>IF(ISERROR(VLOOKUP($A125,Bestellungen!$6:$1048576,MATCH(Kasse!F$5,Bestellungen!$A$5:$X$5,0),0))=FALSE,SUMIF(Kalkulation!$A$6:$A$40,Kasse!F$5&amp;"*",Kalkulation!$C$6:$C$40)*VLOOKUP($A125,Bestellungen!$6:$1048576,MATCH(Kasse!F$5,Bestellungen!$A$5:$X$5,0),0),"")</f>
        <v/>
      </c>
      <c r="G125" s="26" t="str">
        <f>IF(ISERROR(VLOOKUP($A125,Bestellungen!$6:$1048576,MATCH(Kasse!G$5,Bestellungen!$A$5:$X$5,0),0))=FALSE,SUMIF(Kalkulation!$A$6:$A$40,Kasse!G$5&amp;"*",Kalkulation!$C$6:$C$40)*VLOOKUP($A125,Bestellungen!$6:$1048576,MATCH(Kasse!G$5,Bestellungen!$A$5:$X$5,0),0),"")</f>
        <v/>
      </c>
      <c r="H125" s="26" t="str">
        <f>IF(ISERROR(VLOOKUP($A125,Bestellungen!$6:$1048576,MATCH(Kasse!H$5,Bestellungen!$A$5:$X$5,0),0))=FALSE,SUMIF(Kalkulation!$A$6:$A$40,Kasse!H$5&amp;"*",Kalkulation!$C$6:$C$40)*VLOOKUP($A125,Bestellungen!$6:$1048576,MATCH(Kasse!H$5,Bestellungen!$A$5:$X$5,0),0),"")</f>
        <v/>
      </c>
      <c r="I125" s="26" t="str">
        <f>IF(ISERROR(VLOOKUP($A125,Bestellungen!$6:$1048576,MATCH(Kasse!I$5,Bestellungen!$A$5:$X$5,0),0))=FALSE,SUMIF(Kalkulation!$A$6:$A$40,Kasse!I$5&amp;"*",Kalkulation!$C$6:$C$40)*VLOOKUP($A125,Bestellungen!$6:$1048576,MATCH(Kasse!I$5,Bestellungen!$A$5:$X$5,0),0),"")</f>
        <v/>
      </c>
      <c r="J125" s="26" t="str">
        <f>IF(ISERROR(VLOOKUP($A125,Bestellungen!$6:$1048576,MATCH(Kasse!J$5,Bestellungen!$A$5:$X$5,0),0))=FALSE,SUMIF(Kalkulation!$A$6:$A$40,Kasse!J$5&amp;"*",Kalkulation!$C$6:$C$40)*VLOOKUP($A125,Bestellungen!$6:$1048576,MATCH(Kasse!J$5,Bestellungen!$A$5:$X$5,0),0),"")</f>
        <v/>
      </c>
      <c r="K125" s="26" t="str">
        <f>IF(ISERROR(VLOOKUP($A125,Bestellungen!$6:$1048576,MATCH(Kasse!K$5,Bestellungen!$A$5:$X$5,0),0))=FALSE,SUMIF(Kalkulation!$A$6:$A$40,Kasse!K$5&amp;"*",Kalkulation!$C$6:$C$40)*VLOOKUP($A125,Bestellungen!$6:$1048576,MATCH(Kasse!K$5,Bestellungen!$A$5:$X$5,0),0),"")</f>
        <v/>
      </c>
      <c r="L125" s="26" t="str">
        <f>IF(ISERROR(VLOOKUP($A125,Bestellungen!$6:$1048576,MATCH(Kasse!L$5,Bestellungen!$A$5:$X$5,0),0))=FALSE,SUMIF(Kalkulation!$A$6:$A$40,Kasse!L$5&amp;"*",Kalkulation!$C$6:$C$40)*VLOOKUP($A125,Bestellungen!$6:$1048576,MATCH(Kasse!L$5,Bestellungen!$A$5:$X$5,0),0),"")</f>
        <v/>
      </c>
      <c r="M125" s="26" t="str">
        <f>IF(ISERROR(VLOOKUP($A125,Bestellungen!$6:$1048576,MATCH(Kasse!M$5,Bestellungen!$A$5:$X$5,0),0))=FALSE,SUMIF(Kalkulation!$A$6:$A$40,Kasse!M$5&amp;"*",Kalkulation!$C$6:$C$40)*VLOOKUP($A125,Bestellungen!$6:$1048576,MATCH(Kasse!M$5,Bestellungen!$A$5:$X$5,0),0),"")</f>
        <v/>
      </c>
      <c r="N125" s="26" t="str">
        <f>IF(ISERROR(VLOOKUP($A125,Bestellungen!$6:$1048576,MATCH(Kasse!N$5,Bestellungen!$A$5:$X$5,0),0))=FALSE,SUMIF(Kalkulation!$A$6:$A$40,Kasse!N$5&amp;"*",Kalkulation!$C$6:$C$40)*VLOOKUP($A125,Bestellungen!$6:$1048576,MATCH(Kasse!N$5,Bestellungen!$A$5:$X$5,0),0),"")</f>
        <v/>
      </c>
      <c r="O125" s="26" t="str">
        <f>IF(ISERROR(VLOOKUP($A125,Bestellungen!$6:$1048576,MATCH(Kasse!O$5,Bestellungen!$A$5:$X$5,0),0))=FALSE,SUMIF(Kalkulation!$A$6:$A$40,Kasse!O$5&amp;"*",Kalkulation!$C$6:$C$40)*VLOOKUP($A125,Bestellungen!$6:$1048576,MATCH(Kasse!O$5,Bestellungen!$A$5:$X$5,0),0),"")</f>
        <v/>
      </c>
      <c r="P125" s="26" t="str">
        <f>IF(ISERROR(VLOOKUP($A125,Bestellungen!$6:$1048576,MATCH(Kasse!P$5,Bestellungen!$A$5:$X$5,0),0))=FALSE,SUMIF(Kalkulation!$A$6:$A$40,Kasse!P$5&amp;"*",Kalkulation!$C$6:$C$40)*VLOOKUP($A125,Bestellungen!$6:$1048576,MATCH(Kasse!P$5,Bestellungen!$A$5:$X$5,0),0),"")</f>
        <v/>
      </c>
      <c r="Q125" s="26" t="str">
        <f>IF(ISERROR(VLOOKUP($A125,Bestellungen!$6:$1048576,MATCH(Kasse!Q$5,Bestellungen!$A$5:$X$5,0),0))=FALSE,SUMIF(Kalkulation!$A$6:$A$40,Kasse!Q$5&amp;"*",Kalkulation!$C$6:$C$40)*VLOOKUP($A125,Bestellungen!$6:$1048576,MATCH(Kasse!Q$5,Bestellungen!$A$5:$X$5,0),0),"")</f>
        <v/>
      </c>
      <c r="R125" s="26" t="str">
        <f>IF(ISERROR(VLOOKUP($A125,Bestellungen!$6:$1048576,MATCH(Kasse!R$5,Bestellungen!$A$5:$X$5,0),0))=FALSE,SUMIF(Kalkulation!$A$6:$A$40,Kasse!R$5&amp;"*",Kalkulation!$C$6:$C$40)*VLOOKUP($A125,Bestellungen!$6:$1048576,MATCH(Kasse!R$5,Bestellungen!$A$5:$X$5,0),0),"")</f>
        <v/>
      </c>
      <c r="S125" s="26" t="str">
        <f>IF(ISERROR(VLOOKUP($A125,Bestellungen!$6:$1048576,MATCH(Kasse!S$5,Bestellungen!$A$5:$X$5,0),0))=FALSE,SUMIF(Kalkulation!$A$6:$A$40,Kasse!S$5&amp;"*",Kalkulation!$C$6:$C$40)*VLOOKUP($A125,Bestellungen!$6:$1048576,MATCH(Kasse!S$5,Bestellungen!$A$5:$X$5,0),0),"")</f>
        <v/>
      </c>
      <c r="T125" s="26" t="str">
        <f>IF(ISERROR(VLOOKUP($A125,Bestellungen!$6:$1048576,MATCH(Kasse!T$5,Bestellungen!$A$5:$X$5,0),0))=FALSE,SUMIF(Kalkulation!$A$6:$A$40,Kasse!T$5&amp;"*",Kalkulation!$C$6:$C$40)*VLOOKUP($A125,Bestellungen!$6:$1048576,MATCH(Kasse!T$5,Bestellungen!$A$5:$X$5,0),0),"")</f>
        <v/>
      </c>
      <c r="U125" s="26" t="str">
        <f t="shared" si="2"/>
        <v/>
      </c>
      <c r="W125" s="26" t="str">
        <f t="shared" si="3"/>
        <v/>
      </c>
      <c r="X125" s="26"/>
      <c r="Y125" s="26"/>
      <c r="Z125" s="26"/>
      <c r="AA125" s="26"/>
    </row>
    <row r="126" spans="1:27" x14ac:dyDescent="0.25">
      <c r="A126" t="str">
        <f>IF(LEN(Bestellungen!$A126)&gt;0,Bestellungen!$A126,"")</f>
        <v/>
      </c>
      <c r="B126" s="26" t="str">
        <f>IF(ISERROR(VLOOKUP($A126,Bestellungen!$6:$1048576,MATCH(Kasse!B$5,Bestellungen!$A$5:$X$5,0),0))=FALSE,SUMIF(Kalkulation!$A$6:$A$40,Kasse!B$5&amp;"*",Kalkulation!$C$6:$C$40)*VLOOKUP($A126,Bestellungen!$6:$1048576,MATCH(Kasse!B$5,Bestellungen!$A$5:$X$5,0),0),"")</f>
        <v/>
      </c>
      <c r="C126" s="26" t="str">
        <f>IF(ISERROR(VLOOKUP($A126,Bestellungen!$6:$1048576,MATCH(Kasse!C$5,Bestellungen!$A$5:$X$5,0),0))=FALSE,SUMIF(Kalkulation!$A$6:$A$40,Kasse!C$5&amp;"*",Kalkulation!$C$6:$C$40)*VLOOKUP($A126,Bestellungen!$6:$1048576,MATCH(Kasse!C$5,Bestellungen!$A$5:$X$5,0),0),"")</f>
        <v/>
      </c>
      <c r="D126" s="26" t="str">
        <f>IF(ISERROR(VLOOKUP($A126,Bestellungen!$6:$1048576,MATCH(Kasse!D$5,Bestellungen!$A$5:$X$5,0),0))=FALSE,SUMIF(Kalkulation!$A$6:$A$40,Kasse!D$5&amp;"*",Kalkulation!$C$6:$C$40)*VLOOKUP($A126,Bestellungen!$6:$1048576,MATCH(Kasse!D$5,Bestellungen!$A$5:$X$5,0),0),"")</f>
        <v/>
      </c>
      <c r="E126" s="26" t="str">
        <f>IF(ISERROR(VLOOKUP($A126,Bestellungen!$6:$1048576,MATCH(Kasse!E$5,Bestellungen!$A$5:$X$5,0),0))=FALSE,SUMIF(Kalkulation!$A$6:$A$40,Kasse!E$5&amp;"*",Kalkulation!$C$6:$C$40)*VLOOKUP($A126,Bestellungen!$6:$1048576,MATCH(Kasse!E$5,Bestellungen!$A$5:$X$5,0),0),"")</f>
        <v/>
      </c>
      <c r="F126" s="26" t="str">
        <f>IF(ISERROR(VLOOKUP($A126,Bestellungen!$6:$1048576,MATCH(Kasse!F$5,Bestellungen!$A$5:$X$5,0),0))=FALSE,SUMIF(Kalkulation!$A$6:$A$40,Kasse!F$5&amp;"*",Kalkulation!$C$6:$C$40)*VLOOKUP($A126,Bestellungen!$6:$1048576,MATCH(Kasse!F$5,Bestellungen!$A$5:$X$5,0),0),"")</f>
        <v/>
      </c>
      <c r="G126" s="26" t="str">
        <f>IF(ISERROR(VLOOKUP($A126,Bestellungen!$6:$1048576,MATCH(Kasse!G$5,Bestellungen!$A$5:$X$5,0),0))=FALSE,SUMIF(Kalkulation!$A$6:$A$40,Kasse!G$5&amp;"*",Kalkulation!$C$6:$C$40)*VLOOKUP($A126,Bestellungen!$6:$1048576,MATCH(Kasse!G$5,Bestellungen!$A$5:$X$5,0),0),"")</f>
        <v/>
      </c>
      <c r="H126" s="26" t="str">
        <f>IF(ISERROR(VLOOKUP($A126,Bestellungen!$6:$1048576,MATCH(Kasse!H$5,Bestellungen!$A$5:$X$5,0),0))=FALSE,SUMIF(Kalkulation!$A$6:$A$40,Kasse!H$5&amp;"*",Kalkulation!$C$6:$C$40)*VLOOKUP($A126,Bestellungen!$6:$1048576,MATCH(Kasse!H$5,Bestellungen!$A$5:$X$5,0),0),"")</f>
        <v/>
      </c>
      <c r="I126" s="26" t="str">
        <f>IF(ISERROR(VLOOKUP($A126,Bestellungen!$6:$1048576,MATCH(Kasse!I$5,Bestellungen!$A$5:$X$5,0),0))=FALSE,SUMIF(Kalkulation!$A$6:$A$40,Kasse!I$5&amp;"*",Kalkulation!$C$6:$C$40)*VLOOKUP($A126,Bestellungen!$6:$1048576,MATCH(Kasse!I$5,Bestellungen!$A$5:$X$5,0),0),"")</f>
        <v/>
      </c>
      <c r="J126" s="26" t="str">
        <f>IF(ISERROR(VLOOKUP($A126,Bestellungen!$6:$1048576,MATCH(Kasse!J$5,Bestellungen!$A$5:$X$5,0),0))=FALSE,SUMIF(Kalkulation!$A$6:$A$40,Kasse!J$5&amp;"*",Kalkulation!$C$6:$C$40)*VLOOKUP($A126,Bestellungen!$6:$1048576,MATCH(Kasse!J$5,Bestellungen!$A$5:$X$5,0),0),"")</f>
        <v/>
      </c>
      <c r="K126" s="26" t="str">
        <f>IF(ISERROR(VLOOKUP($A126,Bestellungen!$6:$1048576,MATCH(Kasse!K$5,Bestellungen!$A$5:$X$5,0),0))=FALSE,SUMIF(Kalkulation!$A$6:$A$40,Kasse!K$5&amp;"*",Kalkulation!$C$6:$C$40)*VLOOKUP($A126,Bestellungen!$6:$1048576,MATCH(Kasse!K$5,Bestellungen!$A$5:$X$5,0),0),"")</f>
        <v/>
      </c>
      <c r="L126" s="26" t="str">
        <f>IF(ISERROR(VLOOKUP($A126,Bestellungen!$6:$1048576,MATCH(Kasse!L$5,Bestellungen!$A$5:$X$5,0),0))=FALSE,SUMIF(Kalkulation!$A$6:$A$40,Kasse!L$5&amp;"*",Kalkulation!$C$6:$C$40)*VLOOKUP($A126,Bestellungen!$6:$1048576,MATCH(Kasse!L$5,Bestellungen!$A$5:$X$5,0),0),"")</f>
        <v/>
      </c>
      <c r="M126" s="26" t="str">
        <f>IF(ISERROR(VLOOKUP($A126,Bestellungen!$6:$1048576,MATCH(Kasse!M$5,Bestellungen!$A$5:$X$5,0),0))=FALSE,SUMIF(Kalkulation!$A$6:$A$40,Kasse!M$5&amp;"*",Kalkulation!$C$6:$C$40)*VLOOKUP($A126,Bestellungen!$6:$1048576,MATCH(Kasse!M$5,Bestellungen!$A$5:$X$5,0),0),"")</f>
        <v/>
      </c>
      <c r="N126" s="26" t="str">
        <f>IF(ISERROR(VLOOKUP($A126,Bestellungen!$6:$1048576,MATCH(Kasse!N$5,Bestellungen!$A$5:$X$5,0),0))=FALSE,SUMIF(Kalkulation!$A$6:$A$40,Kasse!N$5&amp;"*",Kalkulation!$C$6:$C$40)*VLOOKUP($A126,Bestellungen!$6:$1048576,MATCH(Kasse!N$5,Bestellungen!$A$5:$X$5,0),0),"")</f>
        <v/>
      </c>
      <c r="O126" s="26" t="str">
        <f>IF(ISERROR(VLOOKUP($A126,Bestellungen!$6:$1048576,MATCH(Kasse!O$5,Bestellungen!$A$5:$X$5,0),0))=FALSE,SUMIF(Kalkulation!$A$6:$A$40,Kasse!O$5&amp;"*",Kalkulation!$C$6:$C$40)*VLOOKUP($A126,Bestellungen!$6:$1048576,MATCH(Kasse!O$5,Bestellungen!$A$5:$X$5,0),0),"")</f>
        <v/>
      </c>
      <c r="P126" s="26" t="str">
        <f>IF(ISERROR(VLOOKUP($A126,Bestellungen!$6:$1048576,MATCH(Kasse!P$5,Bestellungen!$A$5:$X$5,0),0))=FALSE,SUMIF(Kalkulation!$A$6:$A$40,Kasse!P$5&amp;"*",Kalkulation!$C$6:$C$40)*VLOOKUP($A126,Bestellungen!$6:$1048576,MATCH(Kasse!P$5,Bestellungen!$A$5:$X$5,0),0),"")</f>
        <v/>
      </c>
      <c r="Q126" s="26" t="str">
        <f>IF(ISERROR(VLOOKUP($A126,Bestellungen!$6:$1048576,MATCH(Kasse!Q$5,Bestellungen!$A$5:$X$5,0),0))=FALSE,SUMIF(Kalkulation!$A$6:$A$40,Kasse!Q$5&amp;"*",Kalkulation!$C$6:$C$40)*VLOOKUP($A126,Bestellungen!$6:$1048576,MATCH(Kasse!Q$5,Bestellungen!$A$5:$X$5,0),0),"")</f>
        <v/>
      </c>
      <c r="R126" s="26" t="str">
        <f>IF(ISERROR(VLOOKUP($A126,Bestellungen!$6:$1048576,MATCH(Kasse!R$5,Bestellungen!$A$5:$X$5,0),0))=FALSE,SUMIF(Kalkulation!$A$6:$A$40,Kasse!R$5&amp;"*",Kalkulation!$C$6:$C$40)*VLOOKUP($A126,Bestellungen!$6:$1048576,MATCH(Kasse!R$5,Bestellungen!$A$5:$X$5,0),0),"")</f>
        <v/>
      </c>
      <c r="S126" s="26" t="str">
        <f>IF(ISERROR(VLOOKUP($A126,Bestellungen!$6:$1048576,MATCH(Kasse!S$5,Bestellungen!$A$5:$X$5,0),0))=FALSE,SUMIF(Kalkulation!$A$6:$A$40,Kasse!S$5&amp;"*",Kalkulation!$C$6:$C$40)*VLOOKUP($A126,Bestellungen!$6:$1048576,MATCH(Kasse!S$5,Bestellungen!$A$5:$X$5,0),0),"")</f>
        <v/>
      </c>
      <c r="T126" s="26" t="str">
        <f>IF(ISERROR(VLOOKUP($A126,Bestellungen!$6:$1048576,MATCH(Kasse!T$5,Bestellungen!$A$5:$X$5,0),0))=FALSE,SUMIF(Kalkulation!$A$6:$A$40,Kasse!T$5&amp;"*",Kalkulation!$C$6:$C$40)*VLOOKUP($A126,Bestellungen!$6:$1048576,MATCH(Kasse!T$5,Bestellungen!$A$5:$X$5,0),0),"")</f>
        <v/>
      </c>
      <c r="U126" s="26" t="str">
        <f t="shared" si="2"/>
        <v/>
      </c>
      <c r="W126" s="26" t="str">
        <f t="shared" si="3"/>
        <v/>
      </c>
      <c r="X126" s="26"/>
      <c r="Y126" s="26"/>
      <c r="Z126" s="26"/>
      <c r="AA126" s="26"/>
    </row>
    <row r="127" spans="1:27" x14ac:dyDescent="0.25">
      <c r="A127" t="str">
        <f>IF(LEN(Bestellungen!$A127)&gt;0,Bestellungen!$A127,"")</f>
        <v/>
      </c>
      <c r="B127" s="26" t="str">
        <f>IF(ISERROR(VLOOKUP($A127,Bestellungen!$6:$1048576,MATCH(Kasse!B$5,Bestellungen!$A$5:$X$5,0),0))=FALSE,SUMIF(Kalkulation!$A$6:$A$40,Kasse!B$5&amp;"*",Kalkulation!$C$6:$C$40)*VLOOKUP($A127,Bestellungen!$6:$1048576,MATCH(Kasse!B$5,Bestellungen!$A$5:$X$5,0),0),"")</f>
        <v/>
      </c>
      <c r="C127" s="26" t="str">
        <f>IF(ISERROR(VLOOKUP($A127,Bestellungen!$6:$1048576,MATCH(Kasse!C$5,Bestellungen!$A$5:$X$5,0),0))=FALSE,SUMIF(Kalkulation!$A$6:$A$40,Kasse!C$5&amp;"*",Kalkulation!$C$6:$C$40)*VLOOKUP($A127,Bestellungen!$6:$1048576,MATCH(Kasse!C$5,Bestellungen!$A$5:$X$5,0),0),"")</f>
        <v/>
      </c>
      <c r="D127" s="26" t="str">
        <f>IF(ISERROR(VLOOKUP($A127,Bestellungen!$6:$1048576,MATCH(Kasse!D$5,Bestellungen!$A$5:$X$5,0),0))=FALSE,SUMIF(Kalkulation!$A$6:$A$40,Kasse!D$5&amp;"*",Kalkulation!$C$6:$C$40)*VLOOKUP($A127,Bestellungen!$6:$1048576,MATCH(Kasse!D$5,Bestellungen!$A$5:$X$5,0),0),"")</f>
        <v/>
      </c>
      <c r="E127" s="26" t="str">
        <f>IF(ISERROR(VLOOKUP($A127,Bestellungen!$6:$1048576,MATCH(Kasse!E$5,Bestellungen!$A$5:$X$5,0),0))=FALSE,SUMIF(Kalkulation!$A$6:$A$40,Kasse!E$5&amp;"*",Kalkulation!$C$6:$C$40)*VLOOKUP($A127,Bestellungen!$6:$1048576,MATCH(Kasse!E$5,Bestellungen!$A$5:$X$5,0),0),"")</f>
        <v/>
      </c>
      <c r="F127" s="26" t="str">
        <f>IF(ISERROR(VLOOKUP($A127,Bestellungen!$6:$1048576,MATCH(Kasse!F$5,Bestellungen!$A$5:$X$5,0),0))=FALSE,SUMIF(Kalkulation!$A$6:$A$40,Kasse!F$5&amp;"*",Kalkulation!$C$6:$C$40)*VLOOKUP($A127,Bestellungen!$6:$1048576,MATCH(Kasse!F$5,Bestellungen!$A$5:$X$5,0),0),"")</f>
        <v/>
      </c>
      <c r="G127" s="26" t="str">
        <f>IF(ISERROR(VLOOKUP($A127,Bestellungen!$6:$1048576,MATCH(Kasse!G$5,Bestellungen!$A$5:$X$5,0),0))=FALSE,SUMIF(Kalkulation!$A$6:$A$40,Kasse!G$5&amp;"*",Kalkulation!$C$6:$C$40)*VLOOKUP($A127,Bestellungen!$6:$1048576,MATCH(Kasse!G$5,Bestellungen!$A$5:$X$5,0),0),"")</f>
        <v/>
      </c>
      <c r="H127" s="26" t="str">
        <f>IF(ISERROR(VLOOKUP($A127,Bestellungen!$6:$1048576,MATCH(Kasse!H$5,Bestellungen!$A$5:$X$5,0),0))=FALSE,SUMIF(Kalkulation!$A$6:$A$40,Kasse!H$5&amp;"*",Kalkulation!$C$6:$C$40)*VLOOKUP($A127,Bestellungen!$6:$1048576,MATCH(Kasse!H$5,Bestellungen!$A$5:$X$5,0),0),"")</f>
        <v/>
      </c>
      <c r="I127" s="26" t="str">
        <f>IF(ISERROR(VLOOKUP($A127,Bestellungen!$6:$1048576,MATCH(Kasse!I$5,Bestellungen!$A$5:$X$5,0),0))=FALSE,SUMIF(Kalkulation!$A$6:$A$40,Kasse!I$5&amp;"*",Kalkulation!$C$6:$C$40)*VLOOKUP($A127,Bestellungen!$6:$1048576,MATCH(Kasse!I$5,Bestellungen!$A$5:$X$5,0),0),"")</f>
        <v/>
      </c>
      <c r="J127" s="26" t="str">
        <f>IF(ISERROR(VLOOKUP($A127,Bestellungen!$6:$1048576,MATCH(Kasse!J$5,Bestellungen!$A$5:$X$5,0),0))=FALSE,SUMIF(Kalkulation!$A$6:$A$40,Kasse!J$5&amp;"*",Kalkulation!$C$6:$C$40)*VLOOKUP($A127,Bestellungen!$6:$1048576,MATCH(Kasse!J$5,Bestellungen!$A$5:$X$5,0),0),"")</f>
        <v/>
      </c>
      <c r="K127" s="26" t="str">
        <f>IF(ISERROR(VLOOKUP($A127,Bestellungen!$6:$1048576,MATCH(Kasse!K$5,Bestellungen!$A$5:$X$5,0),0))=FALSE,SUMIF(Kalkulation!$A$6:$A$40,Kasse!K$5&amp;"*",Kalkulation!$C$6:$C$40)*VLOOKUP($A127,Bestellungen!$6:$1048576,MATCH(Kasse!K$5,Bestellungen!$A$5:$X$5,0),0),"")</f>
        <v/>
      </c>
      <c r="L127" s="26" t="str">
        <f>IF(ISERROR(VLOOKUP($A127,Bestellungen!$6:$1048576,MATCH(Kasse!L$5,Bestellungen!$A$5:$X$5,0),0))=FALSE,SUMIF(Kalkulation!$A$6:$A$40,Kasse!L$5&amp;"*",Kalkulation!$C$6:$C$40)*VLOOKUP($A127,Bestellungen!$6:$1048576,MATCH(Kasse!L$5,Bestellungen!$A$5:$X$5,0),0),"")</f>
        <v/>
      </c>
      <c r="M127" s="26" t="str">
        <f>IF(ISERROR(VLOOKUP($A127,Bestellungen!$6:$1048576,MATCH(Kasse!M$5,Bestellungen!$A$5:$X$5,0),0))=FALSE,SUMIF(Kalkulation!$A$6:$A$40,Kasse!M$5&amp;"*",Kalkulation!$C$6:$C$40)*VLOOKUP($A127,Bestellungen!$6:$1048576,MATCH(Kasse!M$5,Bestellungen!$A$5:$X$5,0),0),"")</f>
        <v/>
      </c>
      <c r="N127" s="26" t="str">
        <f>IF(ISERROR(VLOOKUP($A127,Bestellungen!$6:$1048576,MATCH(Kasse!N$5,Bestellungen!$A$5:$X$5,0),0))=FALSE,SUMIF(Kalkulation!$A$6:$A$40,Kasse!N$5&amp;"*",Kalkulation!$C$6:$C$40)*VLOOKUP($A127,Bestellungen!$6:$1048576,MATCH(Kasse!N$5,Bestellungen!$A$5:$X$5,0),0),"")</f>
        <v/>
      </c>
      <c r="O127" s="26" t="str">
        <f>IF(ISERROR(VLOOKUP($A127,Bestellungen!$6:$1048576,MATCH(Kasse!O$5,Bestellungen!$A$5:$X$5,0),0))=FALSE,SUMIF(Kalkulation!$A$6:$A$40,Kasse!O$5&amp;"*",Kalkulation!$C$6:$C$40)*VLOOKUP($A127,Bestellungen!$6:$1048576,MATCH(Kasse!O$5,Bestellungen!$A$5:$X$5,0),0),"")</f>
        <v/>
      </c>
      <c r="P127" s="26" t="str">
        <f>IF(ISERROR(VLOOKUP($A127,Bestellungen!$6:$1048576,MATCH(Kasse!P$5,Bestellungen!$A$5:$X$5,0),0))=FALSE,SUMIF(Kalkulation!$A$6:$A$40,Kasse!P$5&amp;"*",Kalkulation!$C$6:$C$40)*VLOOKUP($A127,Bestellungen!$6:$1048576,MATCH(Kasse!P$5,Bestellungen!$A$5:$X$5,0),0),"")</f>
        <v/>
      </c>
      <c r="Q127" s="26" t="str">
        <f>IF(ISERROR(VLOOKUP($A127,Bestellungen!$6:$1048576,MATCH(Kasse!Q$5,Bestellungen!$A$5:$X$5,0),0))=FALSE,SUMIF(Kalkulation!$A$6:$A$40,Kasse!Q$5&amp;"*",Kalkulation!$C$6:$C$40)*VLOOKUP($A127,Bestellungen!$6:$1048576,MATCH(Kasse!Q$5,Bestellungen!$A$5:$X$5,0),0),"")</f>
        <v/>
      </c>
      <c r="R127" s="26" t="str">
        <f>IF(ISERROR(VLOOKUP($A127,Bestellungen!$6:$1048576,MATCH(Kasse!R$5,Bestellungen!$A$5:$X$5,0),0))=FALSE,SUMIF(Kalkulation!$A$6:$A$40,Kasse!R$5&amp;"*",Kalkulation!$C$6:$C$40)*VLOOKUP($A127,Bestellungen!$6:$1048576,MATCH(Kasse!R$5,Bestellungen!$A$5:$X$5,0),0),"")</f>
        <v/>
      </c>
      <c r="S127" s="26" t="str">
        <f>IF(ISERROR(VLOOKUP($A127,Bestellungen!$6:$1048576,MATCH(Kasse!S$5,Bestellungen!$A$5:$X$5,0),0))=FALSE,SUMIF(Kalkulation!$A$6:$A$40,Kasse!S$5&amp;"*",Kalkulation!$C$6:$C$40)*VLOOKUP($A127,Bestellungen!$6:$1048576,MATCH(Kasse!S$5,Bestellungen!$A$5:$X$5,0),0),"")</f>
        <v/>
      </c>
      <c r="T127" s="26" t="str">
        <f>IF(ISERROR(VLOOKUP($A127,Bestellungen!$6:$1048576,MATCH(Kasse!T$5,Bestellungen!$A$5:$X$5,0),0))=FALSE,SUMIF(Kalkulation!$A$6:$A$40,Kasse!T$5&amp;"*",Kalkulation!$C$6:$C$40)*VLOOKUP($A127,Bestellungen!$6:$1048576,MATCH(Kasse!T$5,Bestellungen!$A$5:$X$5,0),0),"")</f>
        <v/>
      </c>
      <c r="U127" s="26" t="str">
        <f t="shared" si="2"/>
        <v/>
      </c>
      <c r="W127" s="26" t="str">
        <f t="shared" si="3"/>
        <v/>
      </c>
      <c r="X127" s="26"/>
      <c r="Y127" s="26"/>
      <c r="Z127" s="26"/>
      <c r="AA127" s="26"/>
    </row>
    <row r="128" spans="1:27" x14ac:dyDescent="0.25">
      <c r="A128" t="str">
        <f>IF(LEN(Bestellungen!$A128)&gt;0,Bestellungen!$A128,"")</f>
        <v/>
      </c>
      <c r="B128" s="26" t="str">
        <f>IF(ISERROR(VLOOKUP($A128,Bestellungen!$6:$1048576,MATCH(Kasse!B$5,Bestellungen!$A$5:$X$5,0),0))=FALSE,SUMIF(Kalkulation!$A$6:$A$40,Kasse!B$5&amp;"*",Kalkulation!$C$6:$C$40)*VLOOKUP($A128,Bestellungen!$6:$1048576,MATCH(Kasse!B$5,Bestellungen!$A$5:$X$5,0),0),"")</f>
        <v/>
      </c>
      <c r="C128" s="26" t="str">
        <f>IF(ISERROR(VLOOKUP($A128,Bestellungen!$6:$1048576,MATCH(Kasse!C$5,Bestellungen!$A$5:$X$5,0),0))=FALSE,SUMIF(Kalkulation!$A$6:$A$40,Kasse!C$5&amp;"*",Kalkulation!$C$6:$C$40)*VLOOKUP($A128,Bestellungen!$6:$1048576,MATCH(Kasse!C$5,Bestellungen!$A$5:$X$5,0),0),"")</f>
        <v/>
      </c>
      <c r="D128" s="26" t="str">
        <f>IF(ISERROR(VLOOKUP($A128,Bestellungen!$6:$1048576,MATCH(Kasse!D$5,Bestellungen!$A$5:$X$5,0),0))=FALSE,SUMIF(Kalkulation!$A$6:$A$40,Kasse!D$5&amp;"*",Kalkulation!$C$6:$C$40)*VLOOKUP($A128,Bestellungen!$6:$1048576,MATCH(Kasse!D$5,Bestellungen!$A$5:$X$5,0),0),"")</f>
        <v/>
      </c>
      <c r="E128" s="26" t="str">
        <f>IF(ISERROR(VLOOKUP($A128,Bestellungen!$6:$1048576,MATCH(Kasse!E$5,Bestellungen!$A$5:$X$5,0),0))=FALSE,SUMIF(Kalkulation!$A$6:$A$40,Kasse!E$5&amp;"*",Kalkulation!$C$6:$C$40)*VLOOKUP($A128,Bestellungen!$6:$1048576,MATCH(Kasse!E$5,Bestellungen!$A$5:$X$5,0),0),"")</f>
        <v/>
      </c>
      <c r="F128" s="26" t="str">
        <f>IF(ISERROR(VLOOKUP($A128,Bestellungen!$6:$1048576,MATCH(Kasse!F$5,Bestellungen!$A$5:$X$5,0),0))=FALSE,SUMIF(Kalkulation!$A$6:$A$40,Kasse!F$5&amp;"*",Kalkulation!$C$6:$C$40)*VLOOKUP($A128,Bestellungen!$6:$1048576,MATCH(Kasse!F$5,Bestellungen!$A$5:$X$5,0),0),"")</f>
        <v/>
      </c>
      <c r="G128" s="26" t="str">
        <f>IF(ISERROR(VLOOKUP($A128,Bestellungen!$6:$1048576,MATCH(Kasse!G$5,Bestellungen!$A$5:$X$5,0),0))=FALSE,SUMIF(Kalkulation!$A$6:$A$40,Kasse!G$5&amp;"*",Kalkulation!$C$6:$C$40)*VLOOKUP($A128,Bestellungen!$6:$1048576,MATCH(Kasse!G$5,Bestellungen!$A$5:$X$5,0),0),"")</f>
        <v/>
      </c>
      <c r="H128" s="26" t="str">
        <f>IF(ISERROR(VLOOKUP($A128,Bestellungen!$6:$1048576,MATCH(Kasse!H$5,Bestellungen!$A$5:$X$5,0),0))=FALSE,SUMIF(Kalkulation!$A$6:$A$40,Kasse!H$5&amp;"*",Kalkulation!$C$6:$C$40)*VLOOKUP($A128,Bestellungen!$6:$1048576,MATCH(Kasse!H$5,Bestellungen!$A$5:$X$5,0),0),"")</f>
        <v/>
      </c>
      <c r="I128" s="26" t="str">
        <f>IF(ISERROR(VLOOKUP($A128,Bestellungen!$6:$1048576,MATCH(Kasse!I$5,Bestellungen!$A$5:$X$5,0),0))=FALSE,SUMIF(Kalkulation!$A$6:$A$40,Kasse!I$5&amp;"*",Kalkulation!$C$6:$C$40)*VLOOKUP($A128,Bestellungen!$6:$1048576,MATCH(Kasse!I$5,Bestellungen!$A$5:$X$5,0),0),"")</f>
        <v/>
      </c>
      <c r="J128" s="26" t="str">
        <f>IF(ISERROR(VLOOKUP($A128,Bestellungen!$6:$1048576,MATCH(Kasse!J$5,Bestellungen!$A$5:$X$5,0),0))=FALSE,SUMIF(Kalkulation!$A$6:$A$40,Kasse!J$5&amp;"*",Kalkulation!$C$6:$C$40)*VLOOKUP($A128,Bestellungen!$6:$1048576,MATCH(Kasse!J$5,Bestellungen!$A$5:$X$5,0),0),"")</f>
        <v/>
      </c>
      <c r="K128" s="26" t="str">
        <f>IF(ISERROR(VLOOKUP($A128,Bestellungen!$6:$1048576,MATCH(Kasse!K$5,Bestellungen!$A$5:$X$5,0),0))=FALSE,SUMIF(Kalkulation!$A$6:$A$40,Kasse!K$5&amp;"*",Kalkulation!$C$6:$C$40)*VLOOKUP($A128,Bestellungen!$6:$1048576,MATCH(Kasse!K$5,Bestellungen!$A$5:$X$5,0),0),"")</f>
        <v/>
      </c>
      <c r="L128" s="26" t="str">
        <f>IF(ISERROR(VLOOKUP($A128,Bestellungen!$6:$1048576,MATCH(Kasse!L$5,Bestellungen!$A$5:$X$5,0),0))=FALSE,SUMIF(Kalkulation!$A$6:$A$40,Kasse!L$5&amp;"*",Kalkulation!$C$6:$C$40)*VLOOKUP($A128,Bestellungen!$6:$1048576,MATCH(Kasse!L$5,Bestellungen!$A$5:$X$5,0),0),"")</f>
        <v/>
      </c>
      <c r="M128" s="26" t="str">
        <f>IF(ISERROR(VLOOKUP($A128,Bestellungen!$6:$1048576,MATCH(Kasse!M$5,Bestellungen!$A$5:$X$5,0),0))=FALSE,SUMIF(Kalkulation!$A$6:$A$40,Kasse!M$5&amp;"*",Kalkulation!$C$6:$C$40)*VLOOKUP($A128,Bestellungen!$6:$1048576,MATCH(Kasse!M$5,Bestellungen!$A$5:$X$5,0),0),"")</f>
        <v/>
      </c>
      <c r="N128" s="26" t="str">
        <f>IF(ISERROR(VLOOKUP($A128,Bestellungen!$6:$1048576,MATCH(Kasse!N$5,Bestellungen!$A$5:$X$5,0),0))=FALSE,SUMIF(Kalkulation!$A$6:$A$40,Kasse!N$5&amp;"*",Kalkulation!$C$6:$C$40)*VLOOKUP($A128,Bestellungen!$6:$1048576,MATCH(Kasse!N$5,Bestellungen!$A$5:$X$5,0),0),"")</f>
        <v/>
      </c>
      <c r="O128" s="26" t="str">
        <f>IF(ISERROR(VLOOKUP($A128,Bestellungen!$6:$1048576,MATCH(Kasse!O$5,Bestellungen!$A$5:$X$5,0),0))=FALSE,SUMIF(Kalkulation!$A$6:$A$40,Kasse!O$5&amp;"*",Kalkulation!$C$6:$C$40)*VLOOKUP($A128,Bestellungen!$6:$1048576,MATCH(Kasse!O$5,Bestellungen!$A$5:$X$5,0),0),"")</f>
        <v/>
      </c>
      <c r="P128" s="26" t="str">
        <f>IF(ISERROR(VLOOKUP($A128,Bestellungen!$6:$1048576,MATCH(Kasse!P$5,Bestellungen!$A$5:$X$5,0),0))=FALSE,SUMIF(Kalkulation!$A$6:$A$40,Kasse!P$5&amp;"*",Kalkulation!$C$6:$C$40)*VLOOKUP($A128,Bestellungen!$6:$1048576,MATCH(Kasse!P$5,Bestellungen!$A$5:$X$5,0),0),"")</f>
        <v/>
      </c>
      <c r="Q128" s="26" t="str">
        <f>IF(ISERROR(VLOOKUP($A128,Bestellungen!$6:$1048576,MATCH(Kasse!Q$5,Bestellungen!$A$5:$X$5,0),0))=FALSE,SUMIF(Kalkulation!$A$6:$A$40,Kasse!Q$5&amp;"*",Kalkulation!$C$6:$C$40)*VLOOKUP($A128,Bestellungen!$6:$1048576,MATCH(Kasse!Q$5,Bestellungen!$A$5:$X$5,0),0),"")</f>
        <v/>
      </c>
      <c r="R128" s="26" t="str">
        <f>IF(ISERROR(VLOOKUP($A128,Bestellungen!$6:$1048576,MATCH(Kasse!R$5,Bestellungen!$A$5:$X$5,0),0))=FALSE,SUMIF(Kalkulation!$A$6:$A$40,Kasse!R$5&amp;"*",Kalkulation!$C$6:$C$40)*VLOOKUP($A128,Bestellungen!$6:$1048576,MATCH(Kasse!R$5,Bestellungen!$A$5:$X$5,0),0),"")</f>
        <v/>
      </c>
      <c r="S128" s="26" t="str">
        <f>IF(ISERROR(VLOOKUP($A128,Bestellungen!$6:$1048576,MATCH(Kasse!S$5,Bestellungen!$A$5:$X$5,0),0))=FALSE,SUMIF(Kalkulation!$A$6:$A$40,Kasse!S$5&amp;"*",Kalkulation!$C$6:$C$40)*VLOOKUP($A128,Bestellungen!$6:$1048576,MATCH(Kasse!S$5,Bestellungen!$A$5:$X$5,0),0),"")</f>
        <v/>
      </c>
      <c r="T128" s="26" t="str">
        <f>IF(ISERROR(VLOOKUP($A128,Bestellungen!$6:$1048576,MATCH(Kasse!T$5,Bestellungen!$A$5:$X$5,0),0))=FALSE,SUMIF(Kalkulation!$A$6:$A$40,Kasse!T$5&amp;"*",Kalkulation!$C$6:$C$40)*VLOOKUP($A128,Bestellungen!$6:$1048576,MATCH(Kasse!T$5,Bestellungen!$A$5:$X$5,0),0),"")</f>
        <v/>
      </c>
      <c r="U128" s="26" t="str">
        <f t="shared" si="2"/>
        <v/>
      </c>
      <c r="W128" s="26" t="str">
        <f t="shared" si="3"/>
        <v/>
      </c>
      <c r="X128" s="26"/>
      <c r="Y128" s="26"/>
      <c r="Z128" s="26"/>
      <c r="AA128" s="26"/>
    </row>
    <row r="129" spans="1:27" x14ac:dyDescent="0.25">
      <c r="A129" t="str">
        <f>IF(LEN(Bestellungen!$A129)&gt;0,Bestellungen!$A129,"")</f>
        <v/>
      </c>
      <c r="B129" s="26" t="str">
        <f>IF(ISERROR(VLOOKUP($A129,Bestellungen!$6:$1048576,MATCH(Kasse!B$5,Bestellungen!$A$5:$X$5,0),0))=FALSE,SUMIF(Kalkulation!$A$6:$A$40,Kasse!B$5&amp;"*",Kalkulation!$C$6:$C$40)*VLOOKUP($A129,Bestellungen!$6:$1048576,MATCH(Kasse!B$5,Bestellungen!$A$5:$X$5,0),0),"")</f>
        <v/>
      </c>
      <c r="C129" s="26" t="str">
        <f>IF(ISERROR(VLOOKUP($A129,Bestellungen!$6:$1048576,MATCH(Kasse!C$5,Bestellungen!$A$5:$X$5,0),0))=FALSE,SUMIF(Kalkulation!$A$6:$A$40,Kasse!C$5&amp;"*",Kalkulation!$C$6:$C$40)*VLOOKUP($A129,Bestellungen!$6:$1048576,MATCH(Kasse!C$5,Bestellungen!$A$5:$X$5,0),0),"")</f>
        <v/>
      </c>
      <c r="D129" s="26" t="str">
        <f>IF(ISERROR(VLOOKUP($A129,Bestellungen!$6:$1048576,MATCH(Kasse!D$5,Bestellungen!$A$5:$X$5,0),0))=FALSE,SUMIF(Kalkulation!$A$6:$A$40,Kasse!D$5&amp;"*",Kalkulation!$C$6:$C$40)*VLOOKUP($A129,Bestellungen!$6:$1048576,MATCH(Kasse!D$5,Bestellungen!$A$5:$X$5,0),0),"")</f>
        <v/>
      </c>
      <c r="E129" s="26" t="str">
        <f>IF(ISERROR(VLOOKUP($A129,Bestellungen!$6:$1048576,MATCH(Kasse!E$5,Bestellungen!$A$5:$X$5,0),0))=FALSE,SUMIF(Kalkulation!$A$6:$A$40,Kasse!E$5&amp;"*",Kalkulation!$C$6:$C$40)*VLOOKUP($A129,Bestellungen!$6:$1048576,MATCH(Kasse!E$5,Bestellungen!$A$5:$X$5,0),0),"")</f>
        <v/>
      </c>
      <c r="F129" s="26" t="str">
        <f>IF(ISERROR(VLOOKUP($A129,Bestellungen!$6:$1048576,MATCH(Kasse!F$5,Bestellungen!$A$5:$X$5,0),0))=FALSE,SUMIF(Kalkulation!$A$6:$A$40,Kasse!F$5&amp;"*",Kalkulation!$C$6:$C$40)*VLOOKUP($A129,Bestellungen!$6:$1048576,MATCH(Kasse!F$5,Bestellungen!$A$5:$X$5,0),0),"")</f>
        <v/>
      </c>
      <c r="G129" s="26" t="str">
        <f>IF(ISERROR(VLOOKUP($A129,Bestellungen!$6:$1048576,MATCH(Kasse!G$5,Bestellungen!$A$5:$X$5,0),0))=FALSE,SUMIF(Kalkulation!$A$6:$A$40,Kasse!G$5&amp;"*",Kalkulation!$C$6:$C$40)*VLOOKUP($A129,Bestellungen!$6:$1048576,MATCH(Kasse!G$5,Bestellungen!$A$5:$X$5,0),0),"")</f>
        <v/>
      </c>
      <c r="H129" s="26" t="str">
        <f>IF(ISERROR(VLOOKUP($A129,Bestellungen!$6:$1048576,MATCH(Kasse!H$5,Bestellungen!$A$5:$X$5,0),0))=FALSE,SUMIF(Kalkulation!$A$6:$A$40,Kasse!H$5&amp;"*",Kalkulation!$C$6:$C$40)*VLOOKUP($A129,Bestellungen!$6:$1048576,MATCH(Kasse!H$5,Bestellungen!$A$5:$X$5,0),0),"")</f>
        <v/>
      </c>
      <c r="I129" s="26" t="str">
        <f>IF(ISERROR(VLOOKUP($A129,Bestellungen!$6:$1048576,MATCH(Kasse!I$5,Bestellungen!$A$5:$X$5,0),0))=FALSE,SUMIF(Kalkulation!$A$6:$A$40,Kasse!I$5&amp;"*",Kalkulation!$C$6:$C$40)*VLOOKUP($A129,Bestellungen!$6:$1048576,MATCH(Kasse!I$5,Bestellungen!$A$5:$X$5,0),0),"")</f>
        <v/>
      </c>
      <c r="J129" s="26" t="str">
        <f>IF(ISERROR(VLOOKUP($A129,Bestellungen!$6:$1048576,MATCH(Kasse!J$5,Bestellungen!$A$5:$X$5,0),0))=FALSE,SUMIF(Kalkulation!$A$6:$A$40,Kasse!J$5&amp;"*",Kalkulation!$C$6:$C$40)*VLOOKUP($A129,Bestellungen!$6:$1048576,MATCH(Kasse!J$5,Bestellungen!$A$5:$X$5,0),0),"")</f>
        <v/>
      </c>
      <c r="K129" s="26" t="str">
        <f>IF(ISERROR(VLOOKUP($A129,Bestellungen!$6:$1048576,MATCH(Kasse!K$5,Bestellungen!$A$5:$X$5,0),0))=FALSE,SUMIF(Kalkulation!$A$6:$A$40,Kasse!K$5&amp;"*",Kalkulation!$C$6:$C$40)*VLOOKUP($A129,Bestellungen!$6:$1048576,MATCH(Kasse!K$5,Bestellungen!$A$5:$X$5,0),0),"")</f>
        <v/>
      </c>
      <c r="L129" s="26" t="str">
        <f>IF(ISERROR(VLOOKUP($A129,Bestellungen!$6:$1048576,MATCH(Kasse!L$5,Bestellungen!$A$5:$X$5,0),0))=FALSE,SUMIF(Kalkulation!$A$6:$A$40,Kasse!L$5&amp;"*",Kalkulation!$C$6:$C$40)*VLOOKUP($A129,Bestellungen!$6:$1048576,MATCH(Kasse!L$5,Bestellungen!$A$5:$X$5,0),0),"")</f>
        <v/>
      </c>
      <c r="M129" s="26" t="str">
        <f>IF(ISERROR(VLOOKUP($A129,Bestellungen!$6:$1048576,MATCH(Kasse!M$5,Bestellungen!$A$5:$X$5,0),0))=FALSE,SUMIF(Kalkulation!$A$6:$A$40,Kasse!M$5&amp;"*",Kalkulation!$C$6:$C$40)*VLOOKUP($A129,Bestellungen!$6:$1048576,MATCH(Kasse!M$5,Bestellungen!$A$5:$X$5,0),0),"")</f>
        <v/>
      </c>
      <c r="N129" s="26" t="str">
        <f>IF(ISERROR(VLOOKUP($A129,Bestellungen!$6:$1048576,MATCH(Kasse!N$5,Bestellungen!$A$5:$X$5,0),0))=FALSE,SUMIF(Kalkulation!$A$6:$A$40,Kasse!N$5&amp;"*",Kalkulation!$C$6:$C$40)*VLOOKUP($A129,Bestellungen!$6:$1048576,MATCH(Kasse!N$5,Bestellungen!$A$5:$X$5,0),0),"")</f>
        <v/>
      </c>
      <c r="O129" s="26" t="str">
        <f>IF(ISERROR(VLOOKUP($A129,Bestellungen!$6:$1048576,MATCH(Kasse!O$5,Bestellungen!$A$5:$X$5,0),0))=FALSE,SUMIF(Kalkulation!$A$6:$A$40,Kasse!O$5&amp;"*",Kalkulation!$C$6:$C$40)*VLOOKUP($A129,Bestellungen!$6:$1048576,MATCH(Kasse!O$5,Bestellungen!$A$5:$X$5,0),0),"")</f>
        <v/>
      </c>
      <c r="P129" s="26" t="str">
        <f>IF(ISERROR(VLOOKUP($A129,Bestellungen!$6:$1048576,MATCH(Kasse!P$5,Bestellungen!$A$5:$X$5,0),0))=FALSE,SUMIF(Kalkulation!$A$6:$A$40,Kasse!P$5&amp;"*",Kalkulation!$C$6:$C$40)*VLOOKUP($A129,Bestellungen!$6:$1048576,MATCH(Kasse!P$5,Bestellungen!$A$5:$X$5,0),0),"")</f>
        <v/>
      </c>
      <c r="Q129" s="26" t="str">
        <f>IF(ISERROR(VLOOKUP($A129,Bestellungen!$6:$1048576,MATCH(Kasse!Q$5,Bestellungen!$A$5:$X$5,0),0))=FALSE,SUMIF(Kalkulation!$A$6:$A$40,Kasse!Q$5&amp;"*",Kalkulation!$C$6:$C$40)*VLOOKUP($A129,Bestellungen!$6:$1048576,MATCH(Kasse!Q$5,Bestellungen!$A$5:$X$5,0),0),"")</f>
        <v/>
      </c>
      <c r="R129" s="26" t="str">
        <f>IF(ISERROR(VLOOKUP($A129,Bestellungen!$6:$1048576,MATCH(Kasse!R$5,Bestellungen!$A$5:$X$5,0),0))=FALSE,SUMIF(Kalkulation!$A$6:$A$40,Kasse!R$5&amp;"*",Kalkulation!$C$6:$C$40)*VLOOKUP($A129,Bestellungen!$6:$1048576,MATCH(Kasse!R$5,Bestellungen!$A$5:$X$5,0),0),"")</f>
        <v/>
      </c>
      <c r="S129" s="26" t="str">
        <f>IF(ISERROR(VLOOKUP($A129,Bestellungen!$6:$1048576,MATCH(Kasse!S$5,Bestellungen!$A$5:$X$5,0),0))=FALSE,SUMIF(Kalkulation!$A$6:$A$40,Kasse!S$5&amp;"*",Kalkulation!$C$6:$C$40)*VLOOKUP($A129,Bestellungen!$6:$1048576,MATCH(Kasse!S$5,Bestellungen!$A$5:$X$5,0),0),"")</f>
        <v/>
      </c>
      <c r="T129" s="26" t="str">
        <f>IF(ISERROR(VLOOKUP($A129,Bestellungen!$6:$1048576,MATCH(Kasse!T$5,Bestellungen!$A$5:$X$5,0),0))=FALSE,SUMIF(Kalkulation!$A$6:$A$40,Kasse!T$5&amp;"*",Kalkulation!$C$6:$C$40)*VLOOKUP($A129,Bestellungen!$6:$1048576,MATCH(Kasse!T$5,Bestellungen!$A$5:$X$5,0),0),"")</f>
        <v/>
      </c>
      <c r="U129" s="26" t="str">
        <f t="shared" si="2"/>
        <v/>
      </c>
      <c r="W129" s="26" t="str">
        <f t="shared" si="3"/>
        <v/>
      </c>
      <c r="X129" s="26"/>
      <c r="Y129" s="26"/>
      <c r="Z129" s="26"/>
      <c r="AA129" s="26"/>
    </row>
    <row r="130" spans="1:27" x14ac:dyDescent="0.25">
      <c r="A130" t="str">
        <f>IF(LEN(Bestellungen!$A130)&gt;0,Bestellungen!$A130,"")</f>
        <v/>
      </c>
      <c r="B130" s="26" t="str">
        <f>IF(ISERROR(VLOOKUP($A130,Bestellungen!$6:$1048576,MATCH(Kasse!B$5,Bestellungen!$A$5:$X$5,0),0))=FALSE,SUMIF(Kalkulation!$A$6:$A$40,Kasse!B$5&amp;"*",Kalkulation!$C$6:$C$40)*VLOOKUP($A130,Bestellungen!$6:$1048576,MATCH(Kasse!B$5,Bestellungen!$A$5:$X$5,0),0),"")</f>
        <v/>
      </c>
      <c r="C130" s="26" t="str">
        <f>IF(ISERROR(VLOOKUP($A130,Bestellungen!$6:$1048576,MATCH(Kasse!C$5,Bestellungen!$A$5:$X$5,0),0))=FALSE,SUMIF(Kalkulation!$A$6:$A$40,Kasse!C$5&amp;"*",Kalkulation!$C$6:$C$40)*VLOOKUP($A130,Bestellungen!$6:$1048576,MATCH(Kasse!C$5,Bestellungen!$A$5:$X$5,0),0),"")</f>
        <v/>
      </c>
      <c r="D130" s="26" t="str">
        <f>IF(ISERROR(VLOOKUP($A130,Bestellungen!$6:$1048576,MATCH(Kasse!D$5,Bestellungen!$A$5:$X$5,0),0))=FALSE,SUMIF(Kalkulation!$A$6:$A$40,Kasse!D$5&amp;"*",Kalkulation!$C$6:$C$40)*VLOOKUP($A130,Bestellungen!$6:$1048576,MATCH(Kasse!D$5,Bestellungen!$A$5:$X$5,0),0),"")</f>
        <v/>
      </c>
      <c r="E130" s="26" t="str">
        <f>IF(ISERROR(VLOOKUP($A130,Bestellungen!$6:$1048576,MATCH(Kasse!E$5,Bestellungen!$A$5:$X$5,0),0))=FALSE,SUMIF(Kalkulation!$A$6:$A$40,Kasse!E$5&amp;"*",Kalkulation!$C$6:$C$40)*VLOOKUP($A130,Bestellungen!$6:$1048576,MATCH(Kasse!E$5,Bestellungen!$A$5:$X$5,0),0),"")</f>
        <v/>
      </c>
      <c r="F130" s="26" t="str">
        <f>IF(ISERROR(VLOOKUP($A130,Bestellungen!$6:$1048576,MATCH(Kasse!F$5,Bestellungen!$A$5:$X$5,0),0))=FALSE,SUMIF(Kalkulation!$A$6:$A$40,Kasse!F$5&amp;"*",Kalkulation!$C$6:$C$40)*VLOOKUP($A130,Bestellungen!$6:$1048576,MATCH(Kasse!F$5,Bestellungen!$A$5:$X$5,0),0),"")</f>
        <v/>
      </c>
      <c r="G130" s="26" t="str">
        <f>IF(ISERROR(VLOOKUP($A130,Bestellungen!$6:$1048576,MATCH(Kasse!G$5,Bestellungen!$A$5:$X$5,0),0))=FALSE,SUMIF(Kalkulation!$A$6:$A$40,Kasse!G$5&amp;"*",Kalkulation!$C$6:$C$40)*VLOOKUP($A130,Bestellungen!$6:$1048576,MATCH(Kasse!G$5,Bestellungen!$A$5:$X$5,0),0),"")</f>
        <v/>
      </c>
      <c r="H130" s="26" t="str">
        <f>IF(ISERROR(VLOOKUP($A130,Bestellungen!$6:$1048576,MATCH(Kasse!H$5,Bestellungen!$A$5:$X$5,0),0))=FALSE,SUMIF(Kalkulation!$A$6:$A$40,Kasse!H$5&amp;"*",Kalkulation!$C$6:$C$40)*VLOOKUP($A130,Bestellungen!$6:$1048576,MATCH(Kasse!H$5,Bestellungen!$A$5:$X$5,0),0),"")</f>
        <v/>
      </c>
      <c r="I130" s="26" t="str">
        <f>IF(ISERROR(VLOOKUP($A130,Bestellungen!$6:$1048576,MATCH(Kasse!I$5,Bestellungen!$A$5:$X$5,0),0))=FALSE,SUMIF(Kalkulation!$A$6:$A$40,Kasse!I$5&amp;"*",Kalkulation!$C$6:$C$40)*VLOOKUP($A130,Bestellungen!$6:$1048576,MATCH(Kasse!I$5,Bestellungen!$A$5:$X$5,0),0),"")</f>
        <v/>
      </c>
      <c r="J130" s="26" t="str">
        <f>IF(ISERROR(VLOOKUP($A130,Bestellungen!$6:$1048576,MATCH(Kasse!J$5,Bestellungen!$A$5:$X$5,0),0))=FALSE,SUMIF(Kalkulation!$A$6:$A$40,Kasse!J$5&amp;"*",Kalkulation!$C$6:$C$40)*VLOOKUP($A130,Bestellungen!$6:$1048576,MATCH(Kasse!J$5,Bestellungen!$A$5:$X$5,0),0),"")</f>
        <v/>
      </c>
      <c r="K130" s="26" t="str">
        <f>IF(ISERROR(VLOOKUP($A130,Bestellungen!$6:$1048576,MATCH(Kasse!K$5,Bestellungen!$A$5:$X$5,0),0))=FALSE,SUMIF(Kalkulation!$A$6:$A$40,Kasse!K$5&amp;"*",Kalkulation!$C$6:$C$40)*VLOOKUP($A130,Bestellungen!$6:$1048576,MATCH(Kasse!K$5,Bestellungen!$A$5:$X$5,0),0),"")</f>
        <v/>
      </c>
      <c r="L130" s="26" t="str">
        <f>IF(ISERROR(VLOOKUP($A130,Bestellungen!$6:$1048576,MATCH(Kasse!L$5,Bestellungen!$A$5:$X$5,0),0))=FALSE,SUMIF(Kalkulation!$A$6:$A$40,Kasse!L$5&amp;"*",Kalkulation!$C$6:$C$40)*VLOOKUP($A130,Bestellungen!$6:$1048576,MATCH(Kasse!L$5,Bestellungen!$A$5:$X$5,0),0),"")</f>
        <v/>
      </c>
      <c r="M130" s="26" t="str">
        <f>IF(ISERROR(VLOOKUP($A130,Bestellungen!$6:$1048576,MATCH(Kasse!M$5,Bestellungen!$A$5:$X$5,0),0))=FALSE,SUMIF(Kalkulation!$A$6:$A$40,Kasse!M$5&amp;"*",Kalkulation!$C$6:$C$40)*VLOOKUP($A130,Bestellungen!$6:$1048576,MATCH(Kasse!M$5,Bestellungen!$A$5:$X$5,0),0),"")</f>
        <v/>
      </c>
      <c r="N130" s="26" t="str">
        <f>IF(ISERROR(VLOOKUP($A130,Bestellungen!$6:$1048576,MATCH(Kasse!N$5,Bestellungen!$A$5:$X$5,0),0))=FALSE,SUMIF(Kalkulation!$A$6:$A$40,Kasse!N$5&amp;"*",Kalkulation!$C$6:$C$40)*VLOOKUP($A130,Bestellungen!$6:$1048576,MATCH(Kasse!N$5,Bestellungen!$A$5:$X$5,0),0),"")</f>
        <v/>
      </c>
      <c r="O130" s="26" t="str">
        <f>IF(ISERROR(VLOOKUP($A130,Bestellungen!$6:$1048576,MATCH(Kasse!O$5,Bestellungen!$A$5:$X$5,0),0))=FALSE,SUMIF(Kalkulation!$A$6:$A$40,Kasse!O$5&amp;"*",Kalkulation!$C$6:$C$40)*VLOOKUP($A130,Bestellungen!$6:$1048576,MATCH(Kasse!O$5,Bestellungen!$A$5:$X$5,0),0),"")</f>
        <v/>
      </c>
      <c r="P130" s="26" t="str">
        <f>IF(ISERROR(VLOOKUP($A130,Bestellungen!$6:$1048576,MATCH(Kasse!P$5,Bestellungen!$A$5:$X$5,0),0))=FALSE,SUMIF(Kalkulation!$A$6:$A$40,Kasse!P$5&amp;"*",Kalkulation!$C$6:$C$40)*VLOOKUP($A130,Bestellungen!$6:$1048576,MATCH(Kasse!P$5,Bestellungen!$A$5:$X$5,0),0),"")</f>
        <v/>
      </c>
      <c r="Q130" s="26" t="str">
        <f>IF(ISERROR(VLOOKUP($A130,Bestellungen!$6:$1048576,MATCH(Kasse!Q$5,Bestellungen!$A$5:$X$5,0),0))=FALSE,SUMIF(Kalkulation!$A$6:$A$40,Kasse!Q$5&amp;"*",Kalkulation!$C$6:$C$40)*VLOOKUP($A130,Bestellungen!$6:$1048576,MATCH(Kasse!Q$5,Bestellungen!$A$5:$X$5,0),0),"")</f>
        <v/>
      </c>
      <c r="R130" s="26" t="str">
        <f>IF(ISERROR(VLOOKUP($A130,Bestellungen!$6:$1048576,MATCH(Kasse!R$5,Bestellungen!$A$5:$X$5,0),0))=FALSE,SUMIF(Kalkulation!$A$6:$A$40,Kasse!R$5&amp;"*",Kalkulation!$C$6:$C$40)*VLOOKUP($A130,Bestellungen!$6:$1048576,MATCH(Kasse!R$5,Bestellungen!$A$5:$X$5,0),0),"")</f>
        <v/>
      </c>
      <c r="S130" s="26" t="str">
        <f>IF(ISERROR(VLOOKUP($A130,Bestellungen!$6:$1048576,MATCH(Kasse!S$5,Bestellungen!$A$5:$X$5,0),0))=FALSE,SUMIF(Kalkulation!$A$6:$A$40,Kasse!S$5&amp;"*",Kalkulation!$C$6:$C$40)*VLOOKUP($A130,Bestellungen!$6:$1048576,MATCH(Kasse!S$5,Bestellungen!$A$5:$X$5,0),0),"")</f>
        <v/>
      </c>
      <c r="T130" s="26" t="str">
        <f>IF(ISERROR(VLOOKUP($A130,Bestellungen!$6:$1048576,MATCH(Kasse!T$5,Bestellungen!$A$5:$X$5,0),0))=FALSE,SUMIF(Kalkulation!$A$6:$A$40,Kasse!T$5&amp;"*",Kalkulation!$C$6:$C$40)*VLOOKUP($A130,Bestellungen!$6:$1048576,MATCH(Kasse!T$5,Bestellungen!$A$5:$X$5,0),0),"")</f>
        <v/>
      </c>
      <c r="U130" s="26" t="str">
        <f t="shared" si="2"/>
        <v/>
      </c>
      <c r="W130" s="26" t="str">
        <f t="shared" si="3"/>
        <v/>
      </c>
      <c r="X130" s="26"/>
      <c r="Y130" s="26"/>
      <c r="Z130" s="26"/>
      <c r="AA130" s="26"/>
    </row>
    <row r="131" spans="1:27" x14ac:dyDescent="0.25">
      <c r="A131" t="str">
        <f>IF(LEN(Bestellungen!$A131)&gt;0,Bestellungen!$A131,"")</f>
        <v/>
      </c>
      <c r="B131" s="26" t="str">
        <f>IF(ISERROR(VLOOKUP($A131,Bestellungen!$6:$1048576,MATCH(Kasse!B$5,Bestellungen!$A$5:$X$5,0),0))=FALSE,SUMIF(Kalkulation!$A$6:$A$40,Kasse!B$5&amp;"*",Kalkulation!$C$6:$C$40)*VLOOKUP($A131,Bestellungen!$6:$1048576,MATCH(Kasse!B$5,Bestellungen!$A$5:$X$5,0),0),"")</f>
        <v/>
      </c>
      <c r="C131" s="26" t="str">
        <f>IF(ISERROR(VLOOKUP($A131,Bestellungen!$6:$1048576,MATCH(Kasse!C$5,Bestellungen!$A$5:$X$5,0),0))=FALSE,SUMIF(Kalkulation!$A$6:$A$40,Kasse!C$5&amp;"*",Kalkulation!$C$6:$C$40)*VLOOKUP($A131,Bestellungen!$6:$1048576,MATCH(Kasse!C$5,Bestellungen!$A$5:$X$5,0),0),"")</f>
        <v/>
      </c>
      <c r="D131" s="26" t="str">
        <f>IF(ISERROR(VLOOKUP($A131,Bestellungen!$6:$1048576,MATCH(Kasse!D$5,Bestellungen!$A$5:$X$5,0),0))=FALSE,SUMIF(Kalkulation!$A$6:$A$40,Kasse!D$5&amp;"*",Kalkulation!$C$6:$C$40)*VLOOKUP($A131,Bestellungen!$6:$1048576,MATCH(Kasse!D$5,Bestellungen!$A$5:$X$5,0),0),"")</f>
        <v/>
      </c>
      <c r="E131" s="26" t="str">
        <f>IF(ISERROR(VLOOKUP($A131,Bestellungen!$6:$1048576,MATCH(Kasse!E$5,Bestellungen!$A$5:$X$5,0),0))=FALSE,SUMIF(Kalkulation!$A$6:$A$40,Kasse!E$5&amp;"*",Kalkulation!$C$6:$C$40)*VLOOKUP($A131,Bestellungen!$6:$1048576,MATCH(Kasse!E$5,Bestellungen!$A$5:$X$5,0),0),"")</f>
        <v/>
      </c>
      <c r="F131" s="26" t="str">
        <f>IF(ISERROR(VLOOKUP($A131,Bestellungen!$6:$1048576,MATCH(Kasse!F$5,Bestellungen!$A$5:$X$5,0),0))=FALSE,SUMIF(Kalkulation!$A$6:$A$40,Kasse!F$5&amp;"*",Kalkulation!$C$6:$C$40)*VLOOKUP($A131,Bestellungen!$6:$1048576,MATCH(Kasse!F$5,Bestellungen!$A$5:$X$5,0),0),"")</f>
        <v/>
      </c>
      <c r="G131" s="26" t="str">
        <f>IF(ISERROR(VLOOKUP($A131,Bestellungen!$6:$1048576,MATCH(Kasse!G$5,Bestellungen!$A$5:$X$5,0),0))=FALSE,SUMIF(Kalkulation!$A$6:$A$40,Kasse!G$5&amp;"*",Kalkulation!$C$6:$C$40)*VLOOKUP($A131,Bestellungen!$6:$1048576,MATCH(Kasse!G$5,Bestellungen!$A$5:$X$5,0),0),"")</f>
        <v/>
      </c>
      <c r="H131" s="26" t="str">
        <f>IF(ISERROR(VLOOKUP($A131,Bestellungen!$6:$1048576,MATCH(Kasse!H$5,Bestellungen!$A$5:$X$5,0),0))=FALSE,SUMIF(Kalkulation!$A$6:$A$40,Kasse!H$5&amp;"*",Kalkulation!$C$6:$C$40)*VLOOKUP($A131,Bestellungen!$6:$1048576,MATCH(Kasse!H$5,Bestellungen!$A$5:$X$5,0),0),"")</f>
        <v/>
      </c>
      <c r="I131" s="26" t="str">
        <f>IF(ISERROR(VLOOKUP($A131,Bestellungen!$6:$1048576,MATCH(Kasse!I$5,Bestellungen!$A$5:$X$5,0),0))=FALSE,SUMIF(Kalkulation!$A$6:$A$40,Kasse!I$5&amp;"*",Kalkulation!$C$6:$C$40)*VLOOKUP($A131,Bestellungen!$6:$1048576,MATCH(Kasse!I$5,Bestellungen!$A$5:$X$5,0),0),"")</f>
        <v/>
      </c>
      <c r="J131" s="26" t="str">
        <f>IF(ISERROR(VLOOKUP($A131,Bestellungen!$6:$1048576,MATCH(Kasse!J$5,Bestellungen!$A$5:$X$5,0),0))=FALSE,SUMIF(Kalkulation!$A$6:$A$40,Kasse!J$5&amp;"*",Kalkulation!$C$6:$C$40)*VLOOKUP($A131,Bestellungen!$6:$1048576,MATCH(Kasse!J$5,Bestellungen!$A$5:$X$5,0),0),"")</f>
        <v/>
      </c>
      <c r="K131" s="26" t="str">
        <f>IF(ISERROR(VLOOKUP($A131,Bestellungen!$6:$1048576,MATCH(Kasse!K$5,Bestellungen!$A$5:$X$5,0),0))=FALSE,SUMIF(Kalkulation!$A$6:$A$40,Kasse!K$5&amp;"*",Kalkulation!$C$6:$C$40)*VLOOKUP($A131,Bestellungen!$6:$1048576,MATCH(Kasse!K$5,Bestellungen!$A$5:$X$5,0),0),"")</f>
        <v/>
      </c>
      <c r="L131" s="26" t="str">
        <f>IF(ISERROR(VLOOKUP($A131,Bestellungen!$6:$1048576,MATCH(Kasse!L$5,Bestellungen!$A$5:$X$5,0),0))=FALSE,SUMIF(Kalkulation!$A$6:$A$40,Kasse!L$5&amp;"*",Kalkulation!$C$6:$C$40)*VLOOKUP($A131,Bestellungen!$6:$1048576,MATCH(Kasse!L$5,Bestellungen!$A$5:$X$5,0),0),"")</f>
        <v/>
      </c>
      <c r="M131" s="26" t="str">
        <f>IF(ISERROR(VLOOKUP($A131,Bestellungen!$6:$1048576,MATCH(Kasse!M$5,Bestellungen!$A$5:$X$5,0),0))=FALSE,SUMIF(Kalkulation!$A$6:$A$40,Kasse!M$5&amp;"*",Kalkulation!$C$6:$C$40)*VLOOKUP($A131,Bestellungen!$6:$1048576,MATCH(Kasse!M$5,Bestellungen!$A$5:$X$5,0),0),"")</f>
        <v/>
      </c>
      <c r="N131" s="26" t="str">
        <f>IF(ISERROR(VLOOKUP($A131,Bestellungen!$6:$1048576,MATCH(Kasse!N$5,Bestellungen!$A$5:$X$5,0),0))=FALSE,SUMIF(Kalkulation!$A$6:$A$40,Kasse!N$5&amp;"*",Kalkulation!$C$6:$C$40)*VLOOKUP($A131,Bestellungen!$6:$1048576,MATCH(Kasse!N$5,Bestellungen!$A$5:$X$5,0),0),"")</f>
        <v/>
      </c>
      <c r="O131" s="26" t="str">
        <f>IF(ISERROR(VLOOKUP($A131,Bestellungen!$6:$1048576,MATCH(Kasse!O$5,Bestellungen!$A$5:$X$5,0),0))=FALSE,SUMIF(Kalkulation!$A$6:$A$40,Kasse!O$5&amp;"*",Kalkulation!$C$6:$C$40)*VLOOKUP($A131,Bestellungen!$6:$1048576,MATCH(Kasse!O$5,Bestellungen!$A$5:$X$5,0),0),"")</f>
        <v/>
      </c>
      <c r="P131" s="26" t="str">
        <f>IF(ISERROR(VLOOKUP($A131,Bestellungen!$6:$1048576,MATCH(Kasse!P$5,Bestellungen!$A$5:$X$5,0),0))=FALSE,SUMIF(Kalkulation!$A$6:$A$40,Kasse!P$5&amp;"*",Kalkulation!$C$6:$C$40)*VLOOKUP($A131,Bestellungen!$6:$1048576,MATCH(Kasse!P$5,Bestellungen!$A$5:$X$5,0),0),"")</f>
        <v/>
      </c>
      <c r="Q131" s="26" t="str">
        <f>IF(ISERROR(VLOOKUP($A131,Bestellungen!$6:$1048576,MATCH(Kasse!Q$5,Bestellungen!$A$5:$X$5,0),0))=FALSE,SUMIF(Kalkulation!$A$6:$A$40,Kasse!Q$5&amp;"*",Kalkulation!$C$6:$C$40)*VLOOKUP($A131,Bestellungen!$6:$1048576,MATCH(Kasse!Q$5,Bestellungen!$A$5:$X$5,0),0),"")</f>
        <v/>
      </c>
      <c r="R131" s="26" t="str">
        <f>IF(ISERROR(VLOOKUP($A131,Bestellungen!$6:$1048576,MATCH(Kasse!R$5,Bestellungen!$A$5:$X$5,0),0))=FALSE,SUMIF(Kalkulation!$A$6:$A$40,Kasse!R$5&amp;"*",Kalkulation!$C$6:$C$40)*VLOOKUP($A131,Bestellungen!$6:$1048576,MATCH(Kasse!R$5,Bestellungen!$A$5:$X$5,0),0),"")</f>
        <v/>
      </c>
      <c r="S131" s="26" t="str">
        <f>IF(ISERROR(VLOOKUP($A131,Bestellungen!$6:$1048576,MATCH(Kasse!S$5,Bestellungen!$A$5:$X$5,0),0))=FALSE,SUMIF(Kalkulation!$A$6:$A$40,Kasse!S$5&amp;"*",Kalkulation!$C$6:$C$40)*VLOOKUP($A131,Bestellungen!$6:$1048576,MATCH(Kasse!S$5,Bestellungen!$A$5:$X$5,0),0),"")</f>
        <v/>
      </c>
      <c r="T131" s="26" t="str">
        <f>IF(ISERROR(VLOOKUP($A131,Bestellungen!$6:$1048576,MATCH(Kasse!T$5,Bestellungen!$A$5:$X$5,0),0))=FALSE,SUMIF(Kalkulation!$A$6:$A$40,Kasse!T$5&amp;"*",Kalkulation!$C$6:$C$40)*VLOOKUP($A131,Bestellungen!$6:$1048576,MATCH(Kasse!T$5,Bestellungen!$A$5:$X$5,0),0),"")</f>
        <v/>
      </c>
      <c r="U131" s="26" t="str">
        <f t="shared" si="2"/>
        <v/>
      </c>
      <c r="W131" s="26" t="str">
        <f t="shared" si="3"/>
        <v/>
      </c>
      <c r="X131" s="26"/>
      <c r="Y131" s="26"/>
      <c r="Z131" s="26"/>
      <c r="AA131" s="26"/>
    </row>
    <row r="132" spans="1:27" x14ac:dyDescent="0.25">
      <c r="A132" t="str">
        <f>IF(LEN(Bestellungen!$A132)&gt;0,Bestellungen!$A132,"")</f>
        <v/>
      </c>
      <c r="B132" s="26" t="str">
        <f>IF(ISERROR(VLOOKUP($A132,Bestellungen!$6:$1048576,MATCH(Kasse!B$5,Bestellungen!$A$5:$X$5,0),0))=FALSE,SUMIF(Kalkulation!$A$6:$A$40,Kasse!B$5&amp;"*",Kalkulation!$C$6:$C$40)*VLOOKUP($A132,Bestellungen!$6:$1048576,MATCH(Kasse!B$5,Bestellungen!$A$5:$X$5,0),0),"")</f>
        <v/>
      </c>
      <c r="C132" s="26" t="str">
        <f>IF(ISERROR(VLOOKUP($A132,Bestellungen!$6:$1048576,MATCH(Kasse!C$5,Bestellungen!$A$5:$X$5,0),0))=FALSE,SUMIF(Kalkulation!$A$6:$A$40,Kasse!C$5&amp;"*",Kalkulation!$C$6:$C$40)*VLOOKUP($A132,Bestellungen!$6:$1048576,MATCH(Kasse!C$5,Bestellungen!$A$5:$X$5,0),0),"")</f>
        <v/>
      </c>
      <c r="D132" s="26" t="str">
        <f>IF(ISERROR(VLOOKUP($A132,Bestellungen!$6:$1048576,MATCH(Kasse!D$5,Bestellungen!$A$5:$X$5,0),0))=FALSE,SUMIF(Kalkulation!$A$6:$A$40,Kasse!D$5&amp;"*",Kalkulation!$C$6:$C$40)*VLOOKUP($A132,Bestellungen!$6:$1048576,MATCH(Kasse!D$5,Bestellungen!$A$5:$X$5,0),0),"")</f>
        <v/>
      </c>
      <c r="E132" s="26" t="str">
        <f>IF(ISERROR(VLOOKUP($A132,Bestellungen!$6:$1048576,MATCH(Kasse!E$5,Bestellungen!$A$5:$X$5,0),0))=FALSE,SUMIF(Kalkulation!$A$6:$A$40,Kasse!E$5&amp;"*",Kalkulation!$C$6:$C$40)*VLOOKUP($A132,Bestellungen!$6:$1048576,MATCH(Kasse!E$5,Bestellungen!$A$5:$X$5,0),0),"")</f>
        <v/>
      </c>
      <c r="F132" s="26" t="str">
        <f>IF(ISERROR(VLOOKUP($A132,Bestellungen!$6:$1048576,MATCH(Kasse!F$5,Bestellungen!$A$5:$X$5,0),0))=FALSE,SUMIF(Kalkulation!$A$6:$A$40,Kasse!F$5&amp;"*",Kalkulation!$C$6:$C$40)*VLOOKUP($A132,Bestellungen!$6:$1048576,MATCH(Kasse!F$5,Bestellungen!$A$5:$X$5,0),0),"")</f>
        <v/>
      </c>
      <c r="G132" s="26" t="str">
        <f>IF(ISERROR(VLOOKUP($A132,Bestellungen!$6:$1048576,MATCH(Kasse!G$5,Bestellungen!$A$5:$X$5,0),0))=FALSE,SUMIF(Kalkulation!$A$6:$A$40,Kasse!G$5&amp;"*",Kalkulation!$C$6:$C$40)*VLOOKUP($A132,Bestellungen!$6:$1048576,MATCH(Kasse!G$5,Bestellungen!$A$5:$X$5,0),0),"")</f>
        <v/>
      </c>
      <c r="H132" s="26" t="str">
        <f>IF(ISERROR(VLOOKUP($A132,Bestellungen!$6:$1048576,MATCH(Kasse!H$5,Bestellungen!$A$5:$X$5,0),0))=FALSE,SUMIF(Kalkulation!$A$6:$A$40,Kasse!H$5&amp;"*",Kalkulation!$C$6:$C$40)*VLOOKUP($A132,Bestellungen!$6:$1048576,MATCH(Kasse!H$5,Bestellungen!$A$5:$X$5,0),0),"")</f>
        <v/>
      </c>
      <c r="I132" s="26" t="str">
        <f>IF(ISERROR(VLOOKUP($A132,Bestellungen!$6:$1048576,MATCH(Kasse!I$5,Bestellungen!$A$5:$X$5,0),0))=FALSE,SUMIF(Kalkulation!$A$6:$A$40,Kasse!I$5&amp;"*",Kalkulation!$C$6:$C$40)*VLOOKUP($A132,Bestellungen!$6:$1048576,MATCH(Kasse!I$5,Bestellungen!$A$5:$X$5,0),0),"")</f>
        <v/>
      </c>
      <c r="J132" s="26" t="str">
        <f>IF(ISERROR(VLOOKUP($A132,Bestellungen!$6:$1048576,MATCH(Kasse!J$5,Bestellungen!$A$5:$X$5,0),0))=FALSE,SUMIF(Kalkulation!$A$6:$A$40,Kasse!J$5&amp;"*",Kalkulation!$C$6:$C$40)*VLOOKUP($A132,Bestellungen!$6:$1048576,MATCH(Kasse!J$5,Bestellungen!$A$5:$X$5,0),0),"")</f>
        <v/>
      </c>
      <c r="K132" s="26" t="str">
        <f>IF(ISERROR(VLOOKUP($A132,Bestellungen!$6:$1048576,MATCH(Kasse!K$5,Bestellungen!$A$5:$X$5,0),0))=FALSE,SUMIF(Kalkulation!$A$6:$A$40,Kasse!K$5&amp;"*",Kalkulation!$C$6:$C$40)*VLOOKUP($A132,Bestellungen!$6:$1048576,MATCH(Kasse!K$5,Bestellungen!$A$5:$X$5,0),0),"")</f>
        <v/>
      </c>
      <c r="L132" s="26" t="str">
        <f>IF(ISERROR(VLOOKUP($A132,Bestellungen!$6:$1048576,MATCH(Kasse!L$5,Bestellungen!$A$5:$X$5,0),0))=FALSE,SUMIF(Kalkulation!$A$6:$A$40,Kasse!L$5&amp;"*",Kalkulation!$C$6:$C$40)*VLOOKUP($A132,Bestellungen!$6:$1048576,MATCH(Kasse!L$5,Bestellungen!$A$5:$X$5,0),0),"")</f>
        <v/>
      </c>
      <c r="M132" s="26" t="str">
        <f>IF(ISERROR(VLOOKUP($A132,Bestellungen!$6:$1048576,MATCH(Kasse!M$5,Bestellungen!$A$5:$X$5,0),0))=FALSE,SUMIF(Kalkulation!$A$6:$A$40,Kasse!M$5&amp;"*",Kalkulation!$C$6:$C$40)*VLOOKUP($A132,Bestellungen!$6:$1048576,MATCH(Kasse!M$5,Bestellungen!$A$5:$X$5,0),0),"")</f>
        <v/>
      </c>
      <c r="N132" s="26" t="str">
        <f>IF(ISERROR(VLOOKUP($A132,Bestellungen!$6:$1048576,MATCH(Kasse!N$5,Bestellungen!$A$5:$X$5,0),0))=FALSE,SUMIF(Kalkulation!$A$6:$A$40,Kasse!N$5&amp;"*",Kalkulation!$C$6:$C$40)*VLOOKUP($A132,Bestellungen!$6:$1048576,MATCH(Kasse!N$5,Bestellungen!$A$5:$X$5,0),0),"")</f>
        <v/>
      </c>
      <c r="O132" s="26" t="str">
        <f>IF(ISERROR(VLOOKUP($A132,Bestellungen!$6:$1048576,MATCH(Kasse!O$5,Bestellungen!$A$5:$X$5,0),0))=FALSE,SUMIF(Kalkulation!$A$6:$A$40,Kasse!O$5&amp;"*",Kalkulation!$C$6:$C$40)*VLOOKUP($A132,Bestellungen!$6:$1048576,MATCH(Kasse!O$5,Bestellungen!$A$5:$X$5,0),0),"")</f>
        <v/>
      </c>
      <c r="P132" s="26" t="str">
        <f>IF(ISERROR(VLOOKUP($A132,Bestellungen!$6:$1048576,MATCH(Kasse!P$5,Bestellungen!$A$5:$X$5,0),0))=FALSE,SUMIF(Kalkulation!$A$6:$A$40,Kasse!P$5&amp;"*",Kalkulation!$C$6:$C$40)*VLOOKUP($A132,Bestellungen!$6:$1048576,MATCH(Kasse!P$5,Bestellungen!$A$5:$X$5,0),0),"")</f>
        <v/>
      </c>
      <c r="Q132" s="26" t="str">
        <f>IF(ISERROR(VLOOKUP($A132,Bestellungen!$6:$1048576,MATCH(Kasse!Q$5,Bestellungen!$A$5:$X$5,0),0))=FALSE,SUMIF(Kalkulation!$A$6:$A$40,Kasse!Q$5&amp;"*",Kalkulation!$C$6:$C$40)*VLOOKUP($A132,Bestellungen!$6:$1048576,MATCH(Kasse!Q$5,Bestellungen!$A$5:$X$5,0),0),"")</f>
        <v/>
      </c>
      <c r="R132" s="26" t="str">
        <f>IF(ISERROR(VLOOKUP($A132,Bestellungen!$6:$1048576,MATCH(Kasse!R$5,Bestellungen!$A$5:$X$5,0),0))=FALSE,SUMIF(Kalkulation!$A$6:$A$40,Kasse!R$5&amp;"*",Kalkulation!$C$6:$C$40)*VLOOKUP($A132,Bestellungen!$6:$1048576,MATCH(Kasse!R$5,Bestellungen!$A$5:$X$5,0),0),"")</f>
        <v/>
      </c>
      <c r="S132" s="26" t="str">
        <f>IF(ISERROR(VLOOKUP($A132,Bestellungen!$6:$1048576,MATCH(Kasse!S$5,Bestellungen!$A$5:$X$5,0),0))=FALSE,SUMIF(Kalkulation!$A$6:$A$40,Kasse!S$5&amp;"*",Kalkulation!$C$6:$C$40)*VLOOKUP($A132,Bestellungen!$6:$1048576,MATCH(Kasse!S$5,Bestellungen!$A$5:$X$5,0),0),"")</f>
        <v/>
      </c>
      <c r="T132" s="26" t="str">
        <f>IF(ISERROR(VLOOKUP($A132,Bestellungen!$6:$1048576,MATCH(Kasse!T$5,Bestellungen!$A$5:$X$5,0),0))=FALSE,SUMIF(Kalkulation!$A$6:$A$40,Kasse!T$5&amp;"*",Kalkulation!$C$6:$C$40)*VLOOKUP($A132,Bestellungen!$6:$1048576,MATCH(Kasse!T$5,Bestellungen!$A$5:$X$5,0),0),"")</f>
        <v/>
      </c>
      <c r="U132" s="26" t="str">
        <f t="shared" si="2"/>
        <v/>
      </c>
      <c r="W132" s="26" t="str">
        <f t="shared" si="3"/>
        <v/>
      </c>
      <c r="X132" s="26"/>
      <c r="Y132" s="26"/>
      <c r="Z132" s="26"/>
      <c r="AA132" s="26"/>
    </row>
    <row r="133" spans="1:27" x14ac:dyDescent="0.25">
      <c r="A133" t="str">
        <f>IF(LEN(Bestellungen!$A133)&gt;0,Bestellungen!$A133,"")</f>
        <v/>
      </c>
      <c r="B133" s="26" t="str">
        <f>IF(ISERROR(VLOOKUP($A133,Bestellungen!$6:$1048576,MATCH(Kasse!B$5,Bestellungen!$A$5:$X$5,0),0))=FALSE,SUMIF(Kalkulation!$A$6:$A$40,Kasse!B$5&amp;"*",Kalkulation!$C$6:$C$40)*VLOOKUP($A133,Bestellungen!$6:$1048576,MATCH(Kasse!B$5,Bestellungen!$A$5:$X$5,0),0),"")</f>
        <v/>
      </c>
      <c r="C133" s="26" t="str">
        <f>IF(ISERROR(VLOOKUP($A133,Bestellungen!$6:$1048576,MATCH(Kasse!C$5,Bestellungen!$A$5:$X$5,0),0))=FALSE,SUMIF(Kalkulation!$A$6:$A$40,Kasse!C$5&amp;"*",Kalkulation!$C$6:$C$40)*VLOOKUP($A133,Bestellungen!$6:$1048576,MATCH(Kasse!C$5,Bestellungen!$A$5:$X$5,0),0),"")</f>
        <v/>
      </c>
      <c r="D133" s="26" t="str">
        <f>IF(ISERROR(VLOOKUP($A133,Bestellungen!$6:$1048576,MATCH(Kasse!D$5,Bestellungen!$A$5:$X$5,0),0))=FALSE,SUMIF(Kalkulation!$A$6:$A$40,Kasse!D$5&amp;"*",Kalkulation!$C$6:$C$40)*VLOOKUP($A133,Bestellungen!$6:$1048576,MATCH(Kasse!D$5,Bestellungen!$A$5:$X$5,0),0),"")</f>
        <v/>
      </c>
      <c r="E133" s="26" t="str">
        <f>IF(ISERROR(VLOOKUP($A133,Bestellungen!$6:$1048576,MATCH(Kasse!E$5,Bestellungen!$A$5:$X$5,0),0))=FALSE,SUMIF(Kalkulation!$A$6:$A$40,Kasse!E$5&amp;"*",Kalkulation!$C$6:$C$40)*VLOOKUP($A133,Bestellungen!$6:$1048576,MATCH(Kasse!E$5,Bestellungen!$A$5:$X$5,0),0),"")</f>
        <v/>
      </c>
      <c r="F133" s="26" t="str">
        <f>IF(ISERROR(VLOOKUP($A133,Bestellungen!$6:$1048576,MATCH(Kasse!F$5,Bestellungen!$A$5:$X$5,0),0))=FALSE,SUMIF(Kalkulation!$A$6:$A$40,Kasse!F$5&amp;"*",Kalkulation!$C$6:$C$40)*VLOOKUP($A133,Bestellungen!$6:$1048576,MATCH(Kasse!F$5,Bestellungen!$A$5:$X$5,0),0),"")</f>
        <v/>
      </c>
      <c r="G133" s="26" t="str">
        <f>IF(ISERROR(VLOOKUP($A133,Bestellungen!$6:$1048576,MATCH(Kasse!G$5,Bestellungen!$A$5:$X$5,0),0))=FALSE,SUMIF(Kalkulation!$A$6:$A$40,Kasse!G$5&amp;"*",Kalkulation!$C$6:$C$40)*VLOOKUP($A133,Bestellungen!$6:$1048576,MATCH(Kasse!G$5,Bestellungen!$A$5:$X$5,0),0),"")</f>
        <v/>
      </c>
      <c r="H133" s="26" t="str">
        <f>IF(ISERROR(VLOOKUP($A133,Bestellungen!$6:$1048576,MATCH(Kasse!H$5,Bestellungen!$A$5:$X$5,0),0))=FALSE,SUMIF(Kalkulation!$A$6:$A$40,Kasse!H$5&amp;"*",Kalkulation!$C$6:$C$40)*VLOOKUP($A133,Bestellungen!$6:$1048576,MATCH(Kasse!H$5,Bestellungen!$A$5:$X$5,0),0),"")</f>
        <v/>
      </c>
      <c r="I133" s="26" t="str">
        <f>IF(ISERROR(VLOOKUP($A133,Bestellungen!$6:$1048576,MATCH(Kasse!I$5,Bestellungen!$A$5:$X$5,0),0))=FALSE,SUMIF(Kalkulation!$A$6:$A$40,Kasse!I$5&amp;"*",Kalkulation!$C$6:$C$40)*VLOOKUP($A133,Bestellungen!$6:$1048576,MATCH(Kasse!I$5,Bestellungen!$A$5:$X$5,0),0),"")</f>
        <v/>
      </c>
      <c r="J133" s="26" t="str">
        <f>IF(ISERROR(VLOOKUP($A133,Bestellungen!$6:$1048576,MATCH(Kasse!J$5,Bestellungen!$A$5:$X$5,0),0))=FALSE,SUMIF(Kalkulation!$A$6:$A$40,Kasse!J$5&amp;"*",Kalkulation!$C$6:$C$40)*VLOOKUP($A133,Bestellungen!$6:$1048576,MATCH(Kasse!J$5,Bestellungen!$A$5:$X$5,0),0),"")</f>
        <v/>
      </c>
      <c r="K133" s="26" t="str">
        <f>IF(ISERROR(VLOOKUP($A133,Bestellungen!$6:$1048576,MATCH(Kasse!K$5,Bestellungen!$A$5:$X$5,0),0))=FALSE,SUMIF(Kalkulation!$A$6:$A$40,Kasse!K$5&amp;"*",Kalkulation!$C$6:$C$40)*VLOOKUP($A133,Bestellungen!$6:$1048576,MATCH(Kasse!K$5,Bestellungen!$A$5:$X$5,0),0),"")</f>
        <v/>
      </c>
      <c r="L133" s="26" t="str">
        <f>IF(ISERROR(VLOOKUP($A133,Bestellungen!$6:$1048576,MATCH(Kasse!L$5,Bestellungen!$A$5:$X$5,0),0))=FALSE,SUMIF(Kalkulation!$A$6:$A$40,Kasse!L$5&amp;"*",Kalkulation!$C$6:$C$40)*VLOOKUP($A133,Bestellungen!$6:$1048576,MATCH(Kasse!L$5,Bestellungen!$A$5:$X$5,0),0),"")</f>
        <v/>
      </c>
      <c r="M133" s="26" t="str">
        <f>IF(ISERROR(VLOOKUP($A133,Bestellungen!$6:$1048576,MATCH(Kasse!M$5,Bestellungen!$A$5:$X$5,0),0))=FALSE,SUMIF(Kalkulation!$A$6:$A$40,Kasse!M$5&amp;"*",Kalkulation!$C$6:$C$40)*VLOOKUP($A133,Bestellungen!$6:$1048576,MATCH(Kasse!M$5,Bestellungen!$A$5:$X$5,0),0),"")</f>
        <v/>
      </c>
      <c r="N133" s="26" t="str">
        <f>IF(ISERROR(VLOOKUP($A133,Bestellungen!$6:$1048576,MATCH(Kasse!N$5,Bestellungen!$A$5:$X$5,0),0))=FALSE,SUMIF(Kalkulation!$A$6:$A$40,Kasse!N$5&amp;"*",Kalkulation!$C$6:$C$40)*VLOOKUP($A133,Bestellungen!$6:$1048576,MATCH(Kasse!N$5,Bestellungen!$A$5:$X$5,0),0),"")</f>
        <v/>
      </c>
      <c r="O133" s="26" t="str">
        <f>IF(ISERROR(VLOOKUP($A133,Bestellungen!$6:$1048576,MATCH(Kasse!O$5,Bestellungen!$A$5:$X$5,0),0))=FALSE,SUMIF(Kalkulation!$A$6:$A$40,Kasse!O$5&amp;"*",Kalkulation!$C$6:$C$40)*VLOOKUP($A133,Bestellungen!$6:$1048576,MATCH(Kasse!O$5,Bestellungen!$A$5:$X$5,0),0),"")</f>
        <v/>
      </c>
      <c r="P133" s="26" t="str">
        <f>IF(ISERROR(VLOOKUP($A133,Bestellungen!$6:$1048576,MATCH(Kasse!P$5,Bestellungen!$A$5:$X$5,0),0))=FALSE,SUMIF(Kalkulation!$A$6:$A$40,Kasse!P$5&amp;"*",Kalkulation!$C$6:$C$40)*VLOOKUP($A133,Bestellungen!$6:$1048576,MATCH(Kasse!P$5,Bestellungen!$A$5:$X$5,0),0),"")</f>
        <v/>
      </c>
      <c r="Q133" s="26" t="str">
        <f>IF(ISERROR(VLOOKUP($A133,Bestellungen!$6:$1048576,MATCH(Kasse!Q$5,Bestellungen!$A$5:$X$5,0),0))=FALSE,SUMIF(Kalkulation!$A$6:$A$40,Kasse!Q$5&amp;"*",Kalkulation!$C$6:$C$40)*VLOOKUP($A133,Bestellungen!$6:$1048576,MATCH(Kasse!Q$5,Bestellungen!$A$5:$X$5,0),0),"")</f>
        <v/>
      </c>
      <c r="R133" s="26" t="str">
        <f>IF(ISERROR(VLOOKUP($A133,Bestellungen!$6:$1048576,MATCH(Kasse!R$5,Bestellungen!$A$5:$X$5,0),0))=FALSE,SUMIF(Kalkulation!$A$6:$A$40,Kasse!R$5&amp;"*",Kalkulation!$C$6:$C$40)*VLOOKUP($A133,Bestellungen!$6:$1048576,MATCH(Kasse!R$5,Bestellungen!$A$5:$X$5,0),0),"")</f>
        <v/>
      </c>
      <c r="S133" s="26" t="str">
        <f>IF(ISERROR(VLOOKUP($A133,Bestellungen!$6:$1048576,MATCH(Kasse!S$5,Bestellungen!$A$5:$X$5,0),0))=FALSE,SUMIF(Kalkulation!$A$6:$A$40,Kasse!S$5&amp;"*",Kalkulation!$C$6:$C$40)*VLOOKUP($A133,Bestellungen!$6:$1048576,MATCH(Kasse!S$5,Bestellungen!$A$5:$X$5,0),0),"")</f>
        <v/>
      </c>
      <c r="T133" s="26" t="str">
        <f>IF(ISERROR(VLOOKUP($A133,Bestellungen!$6:$1048576,MATCH(Kasse!T$5,Bestellungen!$A$5:$X$5,0),0))=FALSE,SUMIF(Kalkulation!$A$6:$A$40,Kasse!T$5&amp;"*",Kalkulation!$C$6:$C$40)*VLOOKUP($A133,Bestellungen!$6:$1048576,MATCH(Kasse!T$5,Bestellungen!$A$5:$X$5,0),0),"")</f>
        <v/>
      </c>
      <c r="U133" s="26" t="str">
        <f t="shared" si="2"/>
        <v/>
      </c>
      <c r="W133" s="26" t="str">
        <f t="shared" si="3"/>
        <v/>
      </c>
      <c r="X133" s="26"/>
      <c r="Y133" s="26"/>
      <c r="Z133" s="26"/>
      <c r="AA133" s="26"/>
    </row>
    <row r="134" spans="1:27" x14ac:dyDescent="0.25">
      <c r="A134" t="str">
        <f>IF(LEN(Bestellungen!$A134)&gt;0,Bestellungen!$A134,"")</f>
        <v/>
      </c>
      <c r="B134" s="26" t="str">
        <f>IF(ISERROR(VLOOKUP($A134,Bestellungen!$6:$1048576,MATCH(Kasse!B$5,Bestellungen!$A$5:$X$5,0),0))=FALSE,SUMIF(Kalkulation!$A$6:$A$40,Kasse!B$5&amp;"*",Kalkulation!$C$6:$C$40)*VLOOKUP($A134,Bestellungen!$6:$1048576,MATCH(Kasse!B$5,Bestellungen!$A$5:$X$5,0),0),"")</f>
        <v/>
      </c>
      <c r="C134" s="26" t="str">
        <f>IF(ISERROR(VLOOKUP($A134,Bestellungen!$6:$1048576,MATCH(Kasse!C$5,Bestellungen!$A$5:$X$5,0),0))=FALSE,SUMIF(Kalkulation!$A$6:$A$40,Kasse!C$5&amp;"*",Kalkulation!$C$6:$C$40)*VLOOKUP($A134,Bestellungen!$6:$1048576,MATCH(Kasse!C$5,Bestellungen!$A$5:$X$5,0),0),"")</f>
        <v/>
      </c>
      <c r="D134" s="26" t="str">
        <f>IF(ISERROR(VLOOKUP($A134,Bestellungen!$6:$1048576,MATCH(Kasse!D$5,Bestellungen!$A$5:$X$5,0),0))=FALSE,SUMIF(Kalkulation!$A$6:$A$40,Kasse!D$5&amp;"*",Kalkulation!$C$6:$C$40)*VLOOKUP($A134,Bestellungen!$6:$1048576,MATCH(Kasse!D$5,Bestellungen!$A$5:$X$5,0),0),"")</f>
        <v/>
      </c>
      <c r="E134" s="26" t="str">
        <f>IF(ISERROR(VLOOKUP($A134,Bestellungen!$6:$1048576,MATCH(Kasse!E$5,Bestellungen!$A$5:$X$5,0),0))=FALSE,SUMIF(Kalkulation!$A$6:$A$40,Kasse!E$5&amp;"*",Kalkulation!$C$6:$C$40)*VLOOKUP($A134,Bestellungen!$6:$1048576,MATCH(Kasse!E$5,Bestellungen!$A$5:$X$5,0),0),"")</f>
        <v/>
      </c>
      <c r="F134" s="26" t="str">
        <f>IF(ISERROR(VLOOKUP($A134,Bestellungen!$6:$1048576,MATCH(Kasse!F$5,Bestellungen!$A$5:$X$5,0),0))=FALSE,SUMIF(Kalkulation!$A$6:$A$40,Kasse!F$5&amp;"*",Kalkulation!$C$6:$C$40)*VLOOKUP($A134,Bestellungen!$6:$1048576,MATCH(Kasse!F$5,Bestellungen!$A$5:$X$5,0),0),"")</f>
        <v/>
      </c>
      <c r="G134" s="26" t="str">
        <f>IF(ISERROR(VLOOKUP($A134,Bestellungen!$6:$1048576,MATCH(Kasse!G$5,Bestellungen!$A$5:$X$5,0),0))=FALSE,SUMIF(Kalkulation!$A$6:$A$40,Kasse!G$5&amp;"*",Kalkulation!$C$6:$C$40)*VLOOKUP($A134,Bestellungen!$6:$1048576,MATCH(Kasse!G$5,Bestellungen!$A$5:$X$5,0),0),"")</f>
        <v/>
      </c>
      <c r="H134" s="26" t="str">
        <f>IF(ISERROR(VLOOKUP($A134,Bestellungen!$6:$1048576,MATCH(Kasse!H$5,Bestellungen!$A$5:$X$5,0),0))=FALSE,SUMIF(Kalkulation!$A$6:$A$40,Kasse!H$5&amp;"*",Kalkulation!$C$6:$C$40)*VLOOKUP($A134,Bestellungen!$6:$1048576,MATCH(Kasse!H$5,Bestellungen!$A$5:$X$5,0),0),"")</f>
        <v/>
      </c>
      <c r="I134" s="26" t="str">
        <f>IF(ISERROR(VLOOKUP($A134,Bestellungen!$6:$1048576,MATCH(Kasse!I$5,Bestellungen!$A$5:$X$5,0),0))=FALSE,SUMIF(Kalkulation!$A$6:$A$40,Kasse!I$5&amp;"*",Kalkulation!$C$6:$C$40)*VLOOKUP($A134,Bestellungen!$6:$1048576,MATCH(Kasse!I$5,Bestellungen!$A$5:$X$5,0),0),"")</f>
        <v/>
      </c>
      <c r="J134" s="26" t="str">
        <f>IF(ISERROR(VLOOKUP($A134,Bestellungen!$6:$1048576,MATCH(Kasse!J$5,Bestellungen!$A$5:$X$5,0),0))=FALSE,SUMIF(Kalkulation!$A$6:$A$40,Kasse!J$5&amp;"*",Kalkulation!$C$6:$C$40)*VLOOKUP($A134,Bestellungen!$6:$1048576,MATCH(Kasse!J$5,Bestellungen!$A$5:$X$5,0),0),"")</f>
        <v/>
      </c>
      <c r="K134" s="26" t="str">
        <f>IF(ISERROR(VLOOKUP($A134,Bestellungen!$6:$1048576,MATCH(Kasse!K$5,Bestellungen!$A$5:$X$5,0),0))=FALSE,SUMIF(Kalkulation!$A$6:$A$40,Kasse!K$5&amp;"*",Kalkulation!$C$6:$C$40)*VLOOKUP($A134,Bestellungen!$6:$1048576,MATCH(Kasse!K$5,Bestellungen!$A$5:$X$5,0),0),"")</f>
        <v/>
      </c>
      <c r="L134" s="26" t="str">
        <f>IF(ISERROR(VLOOKUP($A134,Bestellungen!$6:$1048576,MATCH(Kasse!L$5,Bestellungen!$A$5:$X$5,0),0))=FALSE,SUMIF(Kalkulation!$A$6:$A$40,Kasse!L$5&amp;"*",Kalkulation!$C$6:$C$40)*VLOOKUP($A134,Bestellungen!$6:$1048576,MATCH(Kasse!L$5,Bestellungen!$A$5:$X$5,0),0),"")</f>
        <v/>
      </c>
      <c r="M134" s="26" t="str">
        <f>IF(ISERROR(VLOOKUP($A134,Bestellungen!$6:$1048576,MATCH(Kasse!M$5,Bestellungen!$A$5:$X$5,0),0))=FALSE,SUMIF(Kalkulation!$A$6:$A$40,Kasse!M$5&amp;"*",Kalkulation!$C$6:$C$40)*VLOOKUP($A134,Bestellungen!$6:$1048576,MATCH(Kasse!M$5,Bestellungen!$A$5:$X$5,0),0),"")</f>
        <v/>
      </c>
      <c r="N134" s="26" t="str">
        <f>IF(ISERROR(VLOOKUP($A134,Bestellungen!$6:$1048576,MATCH(Kasse!N$5,Bestellungen!$A$5:$X$5,0),0))=FALSE,SUMIF(Kalkulation!$A$6:$A$40,Kasse!N$5&amp;"*",Kalkulation!$C$6:$C$40)*VLOOKUP($A134,Bestellungen!$6:$1048576,MATCH(Kasse!N$5,Bestellungen!$A$5:$X$5,0),0),"")</f>
        <v/>
      </c>
      <c r="O134" s="26" t="str">
        <f>IF(ISERROR(VLOOKUP($A134,Bestellungen!$6:$1048576,MATCH(Kasse!O$5,Bestellungen!$A$5:$X$5,0),0))=FALSE,SUMIF(Kalkulation!$A$6:$A$40,Kasse!O$5&amp;"*",Kalkulation!$C$6:$C$40)*VLOOKUP($A134,Bestellungen!$6:$1048576,MATCH(Kasse!O$5,Bestellungen!$A$5:$X$5,0),0),"")</f>
        <v/>
      </c>
      <c r="P134" s="26" t="str">
        <f>IF(ISERROR(VLOOKUP($A134,Bestellungen!$6:$1048576,MATCH(Kasse!P$5,Bestellungen!$A$5:$X$5,0),0))=FALSE,SUMIF(Kalkulation!$A$6:$A$40,Kasse!P$5&amp;"*",Kalkulation!$C$6:$C$40)*VLOOKUP($A134,Bestellungen!$6:$1048576,MATCH(Kasse!P$5,Bestellungen!$A$5:$X$5,0),0),"")</f>
        <v/>
      </c>
      <c r="Q134" s="26" t="str">
        <f>IF(ISERROR(VLOOKUP($A134,Bestellungen!$6:$1048576,MATCH(Kasse!Q$5,Bestellungen!$A$5:$X$5,0),0))=FALSE,SUMIF(Kalkulation!$A$6:$A$40,Kasse!Q$5&amp;"*",Kalkulation!$C$6:$C$40)*VLOOKUP($A134,Bestellungen!$6:$1048576,MATCH(Kasse!Q$5,Bestellungen!$A$5:$X$5,0),0),"")</f>
        <v/>
      </c>
      <c r="R134" s="26" t="str">
        <f>IF(ISERROR(VLOOKUP($A134,Bestellungen!$6:$1048576,MATCH(Kasse!R$5,Bestellungen!$A$5:$X$5,0),0))=FALSE,SUMIF(Kalkulation!$A$6:$A$40,Kasse!R$5&amp;"*",Kalkulation!$C$6:$C$40)*VLOOKUP($A134,Bestellungen!$6:$1048576,MATCH(Kasse!R$5,Bestellungen!$A$5:$X$5,0),0),"")</f>
        <v/>
      </c>
      <c r="S134" s="26" t="str">
        <f>IF(ISERROR(VLOOKUP($A134,Bestellungen!$6:$1048576,MATCH(Kasse!S$5,Bestellungen!$A$5:$X$5,0),0))=FALSE,SUMIF(Kalkulation!$A$6:$A$40,Kasse!S$5&amp;"*",Kalkulation!$C$6:$C$40)*VLOOKUP($A134,Bestellungen!$6:$1048576,MATCH(Kasse!S$5,Bestellungen!$A$5:$X$5,0),0),"")</f>
        <v/>
      </c>
      <c r="T134" s="26" t="str">
        <f>IF(ISERROR(VLOOKUP($A134,Bestellungen!$6:$1048576,MATCH(Kasse!T$5,Bestellungen!$A$5:$X$5,0),0))=FALSE,SUMIF(Kalkulation!$A$6:$A$40,Kasse!T$5&amp;"*",Kalkulation!$C$6:$C$40)*VLOOKUP($A134,Bestellungen!$6:$1048576,MATCH(Kasse!T$5,Bestellungen!$A$5:$X$5,0),0),"")</f>
        <v/>
      </c>
      <c r="U134" s="26" t="str">
        <f t="shared" si="2"/>
        <v/>
      </c>
      <c r="W134" s="26" t="str">
        <f t="shared" si="3"/>
        <v/>
      </c>
      <c r="X134" s="26"/>
      <c r="Y134" s="26"/>
      <c r="Z134" s="26"/>
      <c r="AA134" s="26"/>
    </row>
    <row r="135" spans="1:27" x14ac:dyDescent="0.25">
      <c r="A135" t="str">
        <f>IF(LEN(Bestellungen!$A135)&gt;0,Bestellungen!$A135,"")</f>
        <v/>
      </c>
      <c r="B135" s="26" t="str">
        <f>IF(ISERROR(VLOOKUP($A135,Bestellungen!$6:$1048576,MATCH(Kasse!B$5,Bestellungen!$A$5:$X$5,0),0))=FALSE,SUMIF(Kalkulation!$A$6:$A$40,Kasse!B$5&amp;"*",Kalkulation!$C$6:$C$40)*VLOOKUP($A135,Bestellungen!$6:$1048576,MATCH(Kasse!B$5,Bestellungen!$A$5:$X$5,0),0),"")</f>
        <v/>
      </c>
      <c r="C135" s="26" t="str">
        <f>IF(ISERROR(VLOOKUP($A135,Bestellungen!$6:$1048576,MATCH(Kasse!C$5,Bestellungen!$A$5:$X$5,0),0))=FALSE,SUMIF(Kalkulation!$A$6:$A$40,Kasse!C$5&amp;"*",Kalkulation!$C$6:$C$40)*VLOOKUP($A135,Bestellungen!$6:$1048576,MATCH(Kasse!C$5,Bestellungen!$A$5:$X$5,0),0),"")</f>
        <v/>
      </c>
      <c r="D135" s="26" t="str">
        <f>IF(ISERROR(VLOOKUP($A135,Bestellungen!$6:$1048576,MATCH(Kasse!D$5,Bestellungen!$A$5:$X$5,0),0))=FALSE,SUMIF(Kalkulation!$A$6:$A$40,Kasse!D$5&amp;"*",Kalkulation!$C$6:$C$40)*VLOOKUP($A135,Bestellungen!$6:$1048576,MATCH(Kasse!D$5,Bestellungen!$A$5:$X$5,0),0),"")</f>
        <v/>
      </c>
      <c r="E135" s="26" t="str">
        <f>IF(ISERROR(VLOOKUP($A135,Bestellungen!$6:$1048576,MATCH(Kasse!E$5,Bestellungen!$A$5:$X$5,0),0))=FALSE,SUMIF(Kalkulation!$A$6:$A$40,Kasse!E$5&amp;"*",Kalkulation!$C$6:$C$40)*VLOOKUP($A135,Bestellungen!$6:$1048576,MATCH(Kasse!E$5,Bestellungen!$A$5:$X$5,0),0),"")</f>
        <v/>
      </c>
      <c r="F135" s="26" t="str">
        <f>IF(ISERROR(VLOOKUP($A135,Bestellungen!$6:$1048576,MATCH(Kasse!F$5,Bestellungen!$A$5:$X$5,0),0))=FALSE,SUMIF(Kalkulation!$A$6:$A$40,Kasse!F$5&amp;"*",Kalkulation!$C$6:$C$40)*VLOOKUP($A135,Bestellungen!$6:$1048576,MATCH(Kasse!F$5,Bestellungen!$A$5:$X$5,0),0),"")</f>
        <v/>
      </c>
      <c r="G135" s="26" t="str">
        <f>IF(ISERROR(VLOOKUP($A135,Bestellungen!$6:$1048576,MATCH(Kasse!G$5,Bestellungen!$A$5:$X$5,0),0))=FALSE,SUMIF(Kalkulation!$A$6:$A$40,Kasse!G$5&amp;"*",Kalkulation!$C$6:$C$40)*VLOOKUP($A135,Bestellungen!$6:$1048576,MATCH(Kasse!G$5,Bestellungen!$A$5:$X$5,0),0),"")</f>
        <v/>
      </c>
      <c r="H135" s="26" t="str">
        <f>IF(ISERROR(VLOOKUP($A135,Bestellungen!$6:$1048576,MATCH(Kasse!H$5,Bestellungen!$A$5:$X$5,0),0))=FALSE,SUMIF(Kalkulation!$A$6:$A$40,Kasse!H$5&amp;"*",Kalkulation!$C$6:$C$40)*VLOOKUP($A135,Bestellungen!$6:$1048576,MATCH(Kasse!H$5,Bestellungen!$A$5:$X$5,0),0),"")</f>
        <v/>
      </c>
      <c r="I135" s="26" t="str">
        <f>IF(ISERROR(VLOOKUP($A135,Bestellungen!$6:$1048576,MATCH(Kasse!I$5,Bestellungen!$A$5:$X$5,0),0))=FALSE,SUMIF(Kalkulation!$A$6:$A$40,Kasse!I$5&amp;"*",Kalkulation!$C$6:$C$40)*VLOOKUP($A135,Bestellungen!$6:$1048576,MATCH(Kasse!I$5,Bestellungen!$A$5:$X$5,0),0),"")</f>
        <v/>
      </c>
      <c r="J135" s="26" t="str">
        <f>IF(ISERROR(VLOOKUP($A135,Bestellungen!$6:$1048576,MATCH(Kasse!J$5,Bestellungen!$A$5:$X$5,0),0))=FALSE,SUMIF(Kalkulation!$A$6:$A$40,Kasse!J$5&amp;"*",Kalkulation!$C$6:$C$40)*VLOOKUP($A135,Bestellungen!$6:$1048576,MATCH(Kasse!J$5,Bestellungen!$A$5:$X$5,0),0),"")</f>
        <v/>
      </c>
      <c r="K135" s="26" t="str">
        <f>IF(ISERROR(VLOOKUP($A135,Bestellungen!$6:$1048576,MATCH(Kasse!K$5,Bestellungen!$A$5:$X$5,0),0))=FALSE,SUMIF(Kalkulation!$A$6:$A$40,Kasse!K$5&amp;"*",Kalkulation!$C$6:$C$40)*VLOOKUP($A135,Bestellungen!$6:$1048576,MATCH(Kasse!K$5,Bestellungen!$A$5:$X$5,0),0),"")</f>
        <v/>
      </c>
      <c r="L135" s="26" t="str">
        <f>IF(ISERROR(VLOOKUP($A135,Bestellungen!$6:$1048576,MATCH(Kasse!L$5,Bestellungen!$A$5:$X$5,0),0))=FALSE,SUMIF(Kalkulation!$A$6:$A$40,Kasse!L$5&amp;"*",Kalkulation!$C$6:$C$40)*VLOOKUP($A135,Bestellungen!$6:$1048576,MATCH(Kasse!L$5,Bestellungen!$A$5:$X$5,0),0),"")</f>
        <v/>
      </c>
      <c r="M135" s="26" t="str">
        <f>IF(ISERROR(VLOOKUP($A135,Bestellungen!$6:$1048576,MATCH(Kasse!M$5,Bestellungen!$A$5:$X$5,0),0))=FALSE,SUMIF(Kalkulation!$A$6:$A$40,Kasse!M$5&amp;"*",Kalkulation!$C$6:$C$40)*VLOOKUP($A135,Bestellungen!$6:$1048576,MATCH(Kasse!M$5,Bestellungen!$A$5:$X$5,0),0),"")</f>
        <v/>
      </c>
      <c r="N135" s="26" t="str">
        <f>IF(ISERROR(VLOOKUP($A135,Bestellungen!$6:$1048576,MATCH(Kasse!N$5,Bestellungen!$A$5:$X$5,0),0))=FALSE,SUMIF(Kalkulation!$A$6:$A$40,Kasse!N$5&amp;"*",Kalkulation!$C$6:$C$40)*VLOOKUP($A135,Bestellungen!$6:$1048576,MATCH(Kasse!N$5,Bestellungen!$A$5:$X$5,0),0),"")</f>
        <v/>
      </c>
      <c r="O135" s="26" t="str">
        <f>IF(ISERROR(VLOOKUP($A135,Bestellungen!$6:$1048576,MATCH(Kasse!O$5,Bestellungen!$A$5:$X$5,0),0))=FALSE,SUMIF(Kalkulation!$A$6:$A$40,Kasse!O$5&amp;"*",Kalkulation!$C$6:$C$40)*VLOOKUP($A135,Bestellungen!$6:$1048576,MATCH(Kasse!O$5,Bestellungen!$A$5:$X$5,0),0),"")</f>
        <v/>
      </c>
      <c r="P135" s="26" t="str">
        <f>IF(ISERROR(VLOOKUP($A135,Bestellungen!$6:$1048576,MATCH(Kasse!P$5,Bestellungen!$A$5:$X$5,0),0))=FALSE,SUMIF(Kalkulation!$A$6:$A$40,Kasse!P$5&amp;"*",Kalkulation!$C$6:$C$40)*VLOOKUP($A135,Bestellungen!$6:$1048576,MATCH(Kasse!P$5,Bestellungen!$A$5:$X$5,0),0),"")</f>
        <v/>
      </c>
      <c r="Q135" s="26" t="str">
        <f>IF(ISERROR(VLOOKUP($A135,Bestellungen!$6:$1048576,MATCH(Kasse!Q$5,Bestellungen!$A$5:$X$5,0),0))=FALSE,SUMIF(Kalkulation!$A$6:$A$40,Kasse!Q$5&amp;"*",Kalkulation!$C$6:$C$40)*VLOOKUP($A135,Bestellungen!$6:$1048576,MATCH(Kasse!Q$5,Bestellungen!$A$5:$X$5,0),0),"")</f>
        <v/>
      </c>
      <c r="R135" s="26" t="str">
        <f>IF(ISERROR(VLOOKUP($A135,Bestellungen!$6:$1048576,MATCH(Kasse!R$5,Bestellungen!$A$5:$X$5,0),0))=FALSE,SUMIF(Kalkulation!$A$6:$A$40,Kasse!R$5&amp;"*",Kalkulation!$C$6:$C$40)*VLOOKUP($A135,Bestellungen!$6:$1048576,MATCH(Kasse!R$5,Bestellungen!$A$5:$X$5,0),0),"")</f>
        <v/>
      </c>
      <c r="S135" s="26" t="str">
        <f>IF(ISERROR(VLOOKUP($A135,Bestellungen!$6:$1048576,MATCH(Kasse!S$5,Bestellungen!$A$5:$X$5,0),0))=FALSE,SUMIF(Kalkulation!$A$6:$A$40,Kasse!S$5&amp;"*",Kalkulation!$C$6:$C$40)*VLOOKUP($A135,Bestellungen!$6:$1048576,MATCH(Kasse!S$5,Bestellungen!$A$5:$X$5,0),0),"")</f>
        <v/>
      </c>
      <c r="T135" s="26" t="str">
        <f>IF(ISERROR(VLOOKUP($A135,Bestellungen!$6:$1048576,MATCH(Kasse!T$5,Bestellungen!$A$5:$X$5,0),0))=FALSE,SUMIF(Kalkulation!$A$6:$A$40,Kasse!T$5&amp;"*",Kalkulation!$C$6:$C$40)*VLOOKUP($A135,Bestellungen!$6:$1048576,MATCH(Kasse!T$5,Bestellungen!$A$5:$X$5,0),0),"")</f>
        <v/>
      </c>
      <c r="U135" s="26" t="str">
        <f t="shared" ref="U135:U198" si="4">IF(COUNT(B135:M135)&gt;0,SUM(B135:M135),"")</f>
        <v/>
      </c>
      <c r="W135" s="26" t="str">
        <f t="shared" ref="W135:W198" si="5">IF(AND(ISNUMBER(U135),ISNUMBER(VALUE(V135))),VALUE(V135)-U135,"")</f>
        <v/>
      </c>
      <c r="X135" s="26"/>
      <c r="Y135" s="26"/>
      <c r="Z135" s="26"/>
      <c r="AA135" s="26"/>
    </row>
    <row r="136" spans="1:27" x14ac:dyDescent="0.25">
      <c r="A136" t="str">
        <f>IF(LEN(Bestellungen!$A136)&gt;0,Bestellungen!$A136,"")</f>
        <v/>
      </c>
      <c r="B136" s="26" t="str">
        <f>IF(ISERROR(VLOOKUP($A136,Bestellungen!$6:$1048576,MATCH(Kasse!B$5,Bestellungen!$A$5:$X$5,0),0))=FALSE,SUMIF(Kalkulation!$A$6:$A$40,Kasse!B$5&amp;"*",Kalkulation!$C$6:$C$40)*VLOOKUP($A136,Bestellungen!$6:$1048576,MATCH(Kasse!B$5,Bestellungen!$A$5:$X$5,0),0),"")</f>
        <v/>
      </c>
      <c r="C136" s="26" t="str">
        <f>IF(ISERROR(VLOOKUP($A136,Bestellungen!$6:$1048576,MATCH(Kasse!C$5,Bestellungen!$A$5:$X$5,0),0))=FALSE,SUMIF(Kalkulation!$A$6:$A$40,Kasse!C$5&amp;"*",Kalkulation!$C$6:$C$40)*VLOOKUP($A136,Bestellungen!$6:$1048576,MATCH(Kasse!C$5,Bestellungen!$A$5:$X$5,0),0),"")</f>
        <v/>
      </c>
      <c r="D136" s="26" t="str">
        <f>IF(ISERROR(VLOOKUP($A136,Bestellungen!$6:$1048576,MATCH(Kasse!D$5,Bestellungen!$A$5:$X$5,0),0))=FALSE,SUMIF(Kalkulation!$A$6:$A$40,Kasse!D$5&amp;"*",Kalkulation!$C$6:$C$40)*VLOOKUP($A136,Bestellungen!$6:$1048576,MATCH(Kasse!D$5,Bestellungen!$A$5:$X$5,0),0),"")</f>
        <v/>
      </c>
      <c r="E136" s="26" t="str">
        <f>IF(ISERROR(VLOOKUP($A136,Bestellungen!$6:$1048576,MATCH(Kasse!E$5,Bestellungen!$A$5:$X$5,0),0))=FALSE,SUMIF(Kalkulation!$A$6:$A$40,Kasse!E$5&amp;"*",Kalkulation!$C$6:$C$40)*VLOOKUP($A136,Bestellungen!$6:$1048576,MATCH(Kasse!E$5,Bestellungen!$A$5:$X$5,0),0),"")</f>
        <v/>
      </c>
      <c r="F136" s="26" t="str">
        <f>IF(ISERROR(VLOOKUP($A136,Bestellungen!$6:$1048576,MATCH(Kasse!F$5,Bestellungen!$A$5:$X$5,0),0))=FALSE,SUMIF(Kalkulation!$A$6:$A$40,Kasse!F$5&amp;"*",Kalkulation!$C$6:$C$40)*VLOOKUP($A136,Bestellungen!$6:$1048576,MATCH(Kasse!F$5,Bestellungen!$A$5:$X$5,0),0),"")</f>
        <v/>
      </c>
      <c r="G136" s="26" t="str">
        <f>IF(ISERROR(VLOOKUP($A136,Bestellungen!$6:$1048576,MATCH(Kasse!G$5,Bestellungen!$A$5:$X$5,0),0))=FALSE,SUMIF(Kalkulation!$A$6:$A$40,Kasse!G$5&amp;"*",Kalkulation!$C$6:$C$40)*VLOOKUP($A136,Bestellungen!$6:$1048576,MATCH(Kasse!G$5,Bestellungen!$A$5:$X$5,0),0),"")</f>
        <v/>
      </c>
      <c r="H136" s="26" t="str">
        <f>IF(ISERROR(VLOOKUP($A136,Bestellungen!$6:$1048576,MATCH(Kasse!H$5,Bestellungen!$A$5:$X$5,0),0))=FALSE,SUMIF(Kalkulation!$A$6:$A$40,Kasse!H$5&amp;"*",Kalkulation!$C$6:$C$40)*VLOOKUP($A136,Bestellungen!$6:$1048576,MATCH(Kasse!H$5,Bestellungen!$A$5:$X$5,0),0),"")</f>
        <v/>
      </c>
      <c r="I136" s="26" t="str">
        <f>IF(ISERROR(VLOOKUP($A136,Bestellungen!$6:$1048576,MATCH(Kasse!I$5,Bestellungen!$A$5:$X$5,0),0))=FALSE,SUMIF(Kalkulation!$A$6:$A$40,Kasse!I$5&amp;"*",Kalkulation!$C$6:$C$40)*VLOOKUP($A136,Bestellungen!$6:$1048576,MATCH(Kasse!I$5,Bestellungen!$A$5:$X$5,0),0),"")</f>
        <v/>
      </c>
      <c r="J136" s="26" t="str">
        <f>IF(ISERROR(VLOOKUP($A136,Bestellungen!$6:$1048576,MATCH(Kasse!J$5,Bestellungen!$A$5:$X$5,0),0))=FALSE,SUMIF(Kalkulation!$A$6:$A$40,Kasse!J$5&amp;"*",Kalkulation!$C$6:$C$40)*VLOOKUP($A136,Bestellungen!$6:$1048576,MATCH(Kasse!J$5,Bestellungen!$A$5:$X$5,0),0),"")</f>
        <v/>
      </c>
      <c r="K136" s="26" t="str">
        <f>IF(ISERROR(VLOOKUP($A136,Bestellungen!$6:$1048576,MATCH(Kasse!K$5,Bestellungen!$A$5:$X$5,0),0))=FALSE,SUMIF(Kalkulation!$A$6:$A$40,Kasse!K$5&amp;"*",Kalkulation!$C$6:$C$40)*VLOOKUP($A136,Bestellungen!$6:$1048576,MATCH(Kasse!K$5,Bestellungen!$A$5:$X$5,0),0),"")</f>
        <v/>
      </c>
      <c r="L136" s="26" t="str">
        <f>IF(ISERROR(VLOOKUP($A136,Bestellungen!$6:$1048576,MATCH(Kasse!L$5,Bestellungen!$A$5:$X$5,0),0))=FALSE,SUMIF(Kalkulation!$A$6:$A$40,Kasse!L$5&amp;"*",Kalkulation!$C$6:$C$40)*VLOOKUP($A136,Bestellungen!$6:$1048576,MATCH(Kasse!L$5,Bestellungen!$A$5:$X$5,0),0),"")</f>
        <v/>
      </c>
      <c r="M136" s="26" t="str">
        <f>IF(ISERROR(VLOOKUP($A136,Bestellungen!$6:$1048576,MATCH(Kasse!M$5,Bestellungen!$A$5:$X$5,0),0))=FALSE,SUMIF(Kalkulation!$A$6:$A$40,Kasse!M$5&amp;"*",Kalkulation!$C$6:$C$40)*VLOOKUP($A136,Bestellungen!$6:$1048576,MATCH(Kasse!M$5,Bestellungen!$A$5:$X$5,0),0),"")</f>
        <v/>
      </c>
      <c r="N136" s="26" t="str">
        <f>IF(ISERROR(VLOOKUP($A136,Bestellungen!$6:$1048576,MATCH(Kasse!N$5,Bestellungen!$A$5:$X$5,0),0))=FALSE,SUMIF(Kalkulation!$A$6:$A$40,Kasse!N$5&amp;"*",Kalkulation!$C$6:$C$40)*VLOOKUP($A136,Bestellungen!$6:$1048576,MATCH(Kasse!N$5,Bestellungen!$A$5:$X$5,0),0),"")</f>
        <v/>
      </c>
      <c r="O136" s="26" t="str">
        <f>IF(ISERROR(VLOOKUP($A136,Bestellungen!$6:$1048576,MATCH(Kasse!O$5,Bestellungen!$A$5:$X$5,0),0))=FALSE,SUMIF(Kalkulation!$A$6:$A$40,Kasse!O$5&amp;"*",Kalkulation!$C$6:$C$40)*VLOOKUP($A136,Bestellungen!$6:$1048576,MATCH(Kasse!O$5,Bestellungen!$A$5:$X$5,0),0),"")</f>
        <v/>
      </c>
      <c r="P136" s="26" t="str">
        <f>IF(ISERROR(VLOOKUP($A136,Bestellungen!$6:$1048576,MATCH(Kasse!P$5,Bestellungen!$A$5:$X$5,0),0))=FALSE,SUMIF(Kalkulation!$A$6:$A$40,Kasse!P$5&amp;"*",Kalkulation!$C$6:$C$40)*VLOOKUP($A136,Bestellungen!$6:$1048576,MATCH(Kasse!P$5,Bestellungen!$A$5:$X$5,0),0),"")</f>
        <v/>
      </c>
      <c r="Q136" s="26" t="str">
        <f>IF(ISERROR(VLOOKUP($A136,Bestellungen!$6:$1048576,MATCH(Kasse!Q$5,Bestellungen!$A$5:$X$5,0),0))=FALSE,SUMIF(Kalkulation!$A$6:$A$40,Kasse!Q$5&amp;"*",Kalkulation!$C$6:$C$40)*VLOOKUP($A136,Bestellungen!$6:$1048576,MATCH(Kasse!Q$5,Bestellungen!$A$5:$X$5,0),0),"")</f>
        <v/>
      </c>
      <c r="R136" s="26" t="str">
        <f>IF(ISERROR(VLOOKUP($A136,Bestellungen!$6:$1048576,MATCH(Kasse!R$5,Bestellungen!$A$5:$X$5,0),0))=FALSE,SUMIF(Kalkulation!$A$6:$A$40,Kasse!R$5&amp;"*",Kalkulation!$C$6:$C$40)*VLOOKUP($A136,Bestellungen!$6:$1048576,MATCH(Kasse!R$5,Bestellungen!$A$5:$X$5,0),0),"")</f>
        <v/>
      </c>
      <c r="S136" s="26" t="str">
        <f>IF(ISERROR(VLOOKUP($A136,Bestellungen!$6:$1048576,MATCH(Kasse!S$5,Bestellungen!$A$5:$X$5,0),0))=FALSE,SUMIF(Kalkulation!$A$6:$A$40,Kasse!S$5&amp;"*",Kalkulation!$C$6:$C$40)*VLOOKUP($A136,Bestellungen!$6:$1048576,MATCH(Kasse!S$5,Bestellungen!$A$5:$X$5,0),0),"")</f>
        <v/>
      </c>
      <c r="T136" s="26" t="str">
        <f>IF(ISERROR(VLOOKUP($A136,Bestellungen!$6:$1048576,MATCH(Kasse!T$5,Bestellungen!$A$5:$X$5,0),0))=FALSE,SUMIF(Kalkulation!$A$6:$A$40,Kasse!T$5&amp;"*",Kalkulation!$C$6:$C$40)*VLOOKUP($A136,Bestellungen!$6:$1048576,MATCH(Kasse!T$5,Bestellungen!$A$5:$X$5,0),0),"")</f>
        <v/>
      </c>
      <c r="U136" s="26" t="str">
        <f t="shared" si="4"/>
        <v/>
      </c>
      <c r="W136" s="26" t="str">
        <f t="shared" si="5"/>
        <v/>
      </c>
      <c r="X136" s="26"/>
      <c r="Y136" s="26"/>
      <c r="Z136" s="26"/>
      <c r="AA136" s="26"/>
    </row>
    <row r="137" spans="1:27" x14ac:dyDescent="0.25">
      <c r="A137" t="str">
        <f>IF(LEN(Bestellungen!$A137)&gt;0,Bestellungen!$A137,"")</f>
        <v/>
      </c>
      <c r="B137" s="26" t="str">
        <f>IF(ISERROR(VLOOKUP($A137,Bestellungen!$6:$1048576,MATCH(Kasse!B$5,Bestellungen!$A$5:$X$5,0),0))=FALSE,SUMIF(Kalkulation!$A$6:$A$40,Kasse!B$5&amp;"*",Kalkulation!$C$6:$C$40)*VLOOKUP($A137,Bestellungen!$6:$1048576,MATCH(Kasse!B$5,Bestellungen!$A$5:$X$5,0),0),"")</f>
        <v/>
      </c>
      <c r="C137" s="26" t="str">
        <f>IF(ISERROR(VLOOKUP($A137,Bestellungen!$6:$1048576,MATCH(Kasse!C$5,Bestellungen!$A$5:$X$5,0),0))=FALSE,SUMIF(Kalkulation!$A$6:$A$40,Kasse!C$5&amp;"*",Kalkulation!$C$6:$C$40)*VLOOKUP($A137,Bestellungen!$6:$1048576,MATCH(Kasse!C$5,Bestellungen!$A$5:$X$5,0),0),"")</f>
        <v/>
      </c>
      <c r="D137" s="26" t="str">
        <f>IF(ISERROR(VLOOKUP($A137,Bestellungen!$6:$1048576,MATCH(Kasse!D$5,Bestellungen!$A$5:$X$5,0),0))=FALSE,SUMIF(Kalkulation!$A$6:$A$40,Kasse!D$5&amp;"*",Kalkulation!$C$6:$C$40)*VLOOKUP($A137,Bestellungen!$6:$1048576,MATCH(Kasse!D$5,Bestellungen!$A$5:$X$5,0),0),"")</f>
        <v/>
      </c>
      <c r="E137" s="26" t="str">
        <f>IF(ISERROR(VLOOKUP($A137,Bestellungen!$6:$1048576,MATCH(Kasse!E$5,Bestellungen!$A$5:$X$5,0),0))=FALSE,SUMIF(Kalkulation!$A$6:$A$40,Kasse!E$5&amp;"*",Kalkulation!$C$6:$C$40)*VLOOKUP($A137,Bestellungen!$6:$1048576,MATCH(Kasse!E$5,Bestellungen!$A$5:$X$5,0),0),"")</f>
        <v/>
      </c>
      <c r="F137" s="26" t="str">
        <f>IF(ISERROR(VLOOKUP($A137,Bestellungen!$6:$1048576,MATCH(Kasse!F$5,Bestellungen!$A$5:$X$5,0),0))=FALSE,SUMIF(Kalkulation!$A$6:$A$40,Kasse!F$5&amp;"*",Kalkulation!$C$6:$C$40)*VLOOKUP($A137,Bestellungen!$6:$1048576,MATCH(Kasse!F$5,Bestellungen!$A$5:$X$5,0),0),"")</f>
        <v/>
      </c>
      <c r="G137" s="26" t="str">
        <f>IF(ISERROR(VLOOKUP($A137,Bestellungen!$6:$1048576,MATCH(Kasse!G$5,Bestellungen!$A$5:$X$5,0),0))=FALSE,SUMIF(Kalkulation!$A$6:$A$40,Kasse!G$5&amp;"*",Kalkulation!$C$6:$C$40)*VLOOKUP($A137,Bestellungen!$6:$1048576,MATCH(Kasse!G$5,Bestellungen!$A$5:$X$5,0),0),"")</f>
        <v/>
      </c>
      <c r="H137" s="26" t="str">
        <f>IF(ISERROR(VLOOKUP($A137,Bestellungen!$6:$1048576,MATCH(Kasse!H$5,Bestellungen!$A$5:$X$5,0),0))=FALSE,SUMIF(Kalkulation!$A$6:$A$40,Kasse!H$5&amp;"*",Kalkulation!$C$6:$C$40)*VLOOKUP($A137,Bestellungen!$6:$1048576,MATCH(Kasse!H$5,Bestellungen!$A$5:$X$5,0),0),"")</f>
        <v/>
      </c>
      <c r="I137" s="26" t="str">
        <f>IF(ISERROR(VLOOKUP($A137,Bestellungen!$6:$1048576,MATCH(Kasse!I$5,Bestellungen!$A$5:$X$5,0),0))=FALSE,SUMIF(Kalkulation!$A$6:$A$40,Kasse!I$5&amp;"*",Kalkulation!$C$6:$C$40)*VLOOKUP($A137,Bestellungen!$6:$1048576,MATCH(Kasse!I$5,Bestellungen!$A$5:$X$5,0),0),"")</f>
        <v/>
      </c>
      <c r="J137" s="26" t="str">
        <f>IF(ISERROR(VLOOKUP($A137,Bestellungen!$6:$1048576,MATCH(Kasse!J$5,Bestellungen!$A$5:$X$5,0),0))=FALSE,SUMIF(Kalkulation!$A$6:$A$40,Kasse!J$5&amp;"*",Kalkulation!$C$6:$C$40)*VLOOKUP($A137,Bestellungen!$6:$1048576,MATCH(Kasse!J$5,Bestellungen!$A$5:$X$5,0),0),"")</f>
        <v/>
      </c>
      <c r="K137" s="26" t="str">
        <f>IF(ISERROR(VLOOKUP($A137,Bestellungen!$6:$1048576,MATCH(Kasse!K$5,Bestellungen!$A$5:$X$5,0),0))=FALSE,SUMIF(Kalkulation!$A$6:$A$40,Kasse!K$5&amp;"*",Kalkulation!$C$6:$C$40)*VLOOKUP($A137,Bestellungen!$6:$1048576,MATCH(Kasse!K$5,Bestellungen!$A$5:$X$5,0),0),"")</f>
        <v/>
      </c>
      <c r="L137" s="26" t="str">
        <f>IF(ISERROR(VLOOKUP($A137,Bestellungen!$6:$1048576,MATCH(Kasse!L$5,Bestellungen!$A$5:$X$5,0),0))=FALSE,SUMIF(Kalkulation!$A$6:$A$40,Kasse!L$5&amp;"*",Kalkulation!$C$6:$C$40)*VLOOKUP($A137,Bestellungen!$6:$1048576,MATCH(Kasse!L$5,Bestellungen!$A$5:$X$5,0),0),"")</f>
        <v/>
      </c>
      <c r="M137" s="26" t="str">
        <f>IF(ISERROR(VLOOKUP($A137,Bestellungen!$6:$1048576,MATCH(Kasse!M$5,Bestellungen!$A$5:$X$5,0),0))=FALSE,SUMIF(Kalkulation!$A$6:$A$40,Kasse!M$5&amp;"*",Kalkulation!$C$6:$C$40)*VLOOKUP($A137,Bestellungen!$6:$1048576,MATCH(Kasse!M$5,Bestellungen!$A$5:$X$5,0),0),"")</f>
        <v/>
      </c>
      <c r="N137" s="26" t="str">
        <f>IF(ISERROR(VLOOKUP($A137,Bestellungen!$6:$1048576,MATCH(Kasse!N$5,Bestellungen!$A$5:$X$5,0),0))=FALSE,SUMIF(Kalkulation!$A$6:$A$40,Kasse!N$5&amp;"*",Kalkulation!$C$6:$C$40)*VLOOKUP($A137,Bestellungen!$6:$1048576,MATCH(Kasse!N$5,Bestellungen!$A$5:$X$5,0),0),"")</f>
        <v/>
      </c>
      <c r="O137" s="26" t="str">
        <f>IF(ISERROR(VLOOKUP($A137,Bestellungen!$6:$1048576,MATCH(Kasse!O$5,Bestellungen!$A$5:$X$5,0),0))=FALSE,SUMIF(Kalkulation!$A$6:$A$40,Kasse!O$5&amp;"*",Kalkulation!$C$6:$C$40)*VLOOKUP($A137,Bestellungen!$6:$1048576,MATCH(Kasse!O$5,Bestellungen!$A$5:$X$5,0),0),"")</f>
        <v/>
      </c>
      <c r="P137" s="26" t="str">
        <f>IF(ISERROR(VLOOKUP($A137,Bestellungen!$6:$1048576,MATCH(Kasse!P$5,Bestellungen!$A$5:$X$5,0),0))=FALSE,SUMIF(Kalkulation!$A$6:$A$40,Kasse!P$5&amp;"*",Kalkulation!$C$6:$C$40)*VLOOKUP($A137,Bestellungen!$6:$1048576,MATCH(Kasse!P$5,Bestellungen!$A$5:$X$5,0),0),"")</f>
        <v/>
      </c>
      <c r="Q137" s="26" t="str">
        <f>IF(ISERROR(VLOOKUP($A137,Bestellungen!$6:$1048576,MATCH(Kasse!Q$5,Bestellungen!$A$5:$X$5,0),0))=FALSE,SUMIF(Kalkulation!$A$6:$A$40,Kasse!Q$5&amp;"*",Kalkulation!$C$6:$C$40)*VLOOKUP($A137,Bestellungen!$6:$1048576,MATCH(Kasse!Q$5,Bestellungen!$A$5:$X$5,0),0),"")</f>
        <v/>
      </c>
      <c r="R137" s="26" t="str">
        <f>IF(ISERROR(VLOOKUP($A137,Bestellungen!$6:$1048576,MATCH(Kasse!R$5,Bestellungen!$A$5:$X$5,0),0))=FALSE,SUMIF(Kalkulation!$A$6:$A$40,Kasse!R$5&amp;"*",Kalkulation!$C$6:$C$40)*VLOOKUP($A137,Bestellungen!$6:$1048576,MATCH(Kasse!R$5,Bestellungen!$A$5:$X$5,0),0),"")</f>
        <v/>
      </c>
      <c r="S137" s="26" t="str">
        <f>IF(ISERROR(VLOOKUP($A137,Bestellungen!$6:$1048576,MATCH(Kasse!S$5,Bestellungen!$A$5:$X$5,0),0))=FALSE,SUMIF(Kalkulation!$A$6:$A$40,Kasse!S$5&amp;"*",Kalkulation!$C$6:$C$40)*VLOOKUP($A137,Bestellungen!$6:$1048576,MATCH(Kasse!S$5,Bestellungen!$A$5:$X$5,0),0),"")</f>
        <v/>
      </c>
      <c r="T137" s="26" t="str">
        <f>IF(ISERROR(VLOOKUP($A137,Bestellungen!$6:$1048576,MATCH(Kasse!T$5,Bestellungen!$A$5:$X$5,0),0))=FALSE,SUMIF(Kalkulation!$A$6:$A$40,Kasse!T$5&amp;"*",Kalkulation!$C$6:$C$40)*VLOOKUP($A137,Bestellungen!$6:$1048576,MATCH(Kasse!T$5,Bestellungen!$A$5:$X$5,0),0),"")</f>
        <v/>
      </c>
      <c r="U137" s="26" t="str">
        <f t="shared" si="4"/>
        <v/>
      </c>
      <c r="W137" s="26" t="str">
        <f t="shared" si="5"/>
        <v/>
      </c>
      <c r="X137" s="26"/>
      <c r="Y137" s="26"/>
      <c r="Z137" s="26"/>
      <c r="AA137" s="26"/>
    </row>
    <row r="138" spans="1:27" x14ac:dyDescent="0.25">
      <c r="A138" t="str">
        <f>IF(LEN(Bestellungen!$A138)&gt;0,Bestellungen!$A138,"")</f>
        <v/>
      </c>
      <c r="B138" s="26" t="str">
        <f>IF(ISERROR(VLOOKUP($A138,Bestellungen!$6:$1048576,MATCH(Kasse!B$5,Bestellungen!$A$5:$X$5,0),0))=FALSE,SUMIF(Kalkulation!$A$6:$A$40,Kasse!B$5&amp;"*",Kalkulation!$C$6:$C$40)*VLOOKUP($A138,Bestellungen!$6:$1048576,MATCH(Kasse!B$5,Bestellungen!$A$5:$X$5,0),0),"")</f>
        <v/>
      </c>
      <c r="C138" s="26" t="str">
        <f>IF(ISERROR(VLOOKUP($A138,Bestellungen!$6:$1048576,MATCH(Kasse!C$5,Bestellungen!$A$5:$X$5,0),0))=FALSE,SUMIF(Kalkulation!$A$6:$A$40,Kasse!C$5&amp;"*",Kalkulation!$C$6:$C$40)*VLOOKUP($A138,Bestellungen!$6:$1048576,MATCH(Kasse!C$5,Bestellungen!$A$5:$X$5,0),0),"")</f>
        <v/>
      </c>
      <c r="D138" s="26" t="str">
        <f>IF(ISERROR(VLOOKUP($A138,Bestellungen!$6:$1048576,MATCH(Kasse!D$5,Bestellungen!$A$5:$X$5,0),0))=FALSE,SUMIF(Kalkulation!$A$6:$A$40,Kasse!D$5&amp;"*",Kalkulation!$C$6:$C$40)*VLOOKUP($A138,Bestellungen!$6:$1048576,MATCH(Kasse!D$5,Bestellungen!$A$5:$X$5,0),0),"")</f>
        <v/>
      </c>
      <c r="E138" s="26" t="str">
        <f>IF(ISERROR(VLOOKUP($A138,Bestellungen!$6:$1048576,MATCH(Kasse!E$5,Bestellungen!$A$5:$X$5,0),0))=FALSE,SUMIF(Kalkulation!$A$6:$A$40,Kasse!E$5&amp;"*",Kalkulation!$C$6:$C$40)*VLOOKUP($A138,Bestellungen!$6:$1048576,MATCH(Kasse!E$5,Bestellungen!$A$5:$X$5,0),0),"")</f>
        <v/>
      </c>
      <c r="F138" s="26" t="str">
        <f>IF(ISERROR(VLOOKUP($A138,Bestellungen!$6:$1048576,MATCH(Kasse!F$5,Bestellungen!$A$5:$X$5,0),0))=FALSE,SUMIF(Kalkulation!$A$6:$A$40,Kasse!F$5&amp;"*",Kalkulation!$C$6:$C$40)*VLOOKUP($A138,Bestellungen!$6:$1048576,MATCH(Kasse!F$5,Bestellungen!$A$5:$X$5,0),0),"")</f>
        <v/>
      </c>
      <c r="G138" s="26" t="str">
        <f>IF(ISERROR(VLOOKUP($A138,Bestellungen!$6:$1048576,MATCH(Kasse!G$5,Bestellungen!$A$5:$X$5,0),0))=FALSE,SUMIF(Kalkulation!$A$6:$A$40,Kasse!G$5&amp;"*",Kalkulation!$C$6:$C$40)*VLOOKUP($A138,Bestellungen!$6:$1048576,MATCH(Kasse!G$5,Bestellungen!$A$5:$X$5,0),0),"")</f>
        <v/>
      </c>
      <c r="H138" s="26" t="str">
        <f>IF(ISERROR(VLOOKUP($A138,Bestellungen!$6:$1048576,MATCH(Kasse!H$5,Bestellungen!$A$5:$X$5,0),0))=FALSE,SUMIF(Kalkulation!$A$6:$A$40,Kasse!H$5&amp;"*",Kalkulation!$C$6:$C$40)*VLOOKUP($A138,Bestellungen!$6:$1048576,MATCH(Kasse!H$5,Bestellungen!$A$5:$X$5,0),0),"")</f>
        <v/>
      </c>
      <c r="I138" s="26" t="str">
        <f>IF(ISERROR(VLOOKUP($A138,Bestellungen!$6:$1048576,MATCH(Kasse!I$5,Bestellungen!$A$5:$X$5,0),0))=FALSE,SUMIF(Kalkulation!$A$6:$A$40,Kasse!I$5&amp;"*",Kalkulation!$C$6:$C$40)*VLOOKUP($A138,Bestellungen!$6:$1048576,MATCH(Kasse!I$5,Bestellungen!$A$5:$X$5,0),0),"")</f>
        <v/>
      </c>
      <c r="J138" s="26" t="str">
        <f>IF(ISERROR(VLOOKUP($A138,Bestellungen!$6:$1048576,MATCH(Kasse!J$5,Bestellungen!$A$5:$X$5,0),0))=FALSE,SUMIF(Kalkulation!$A$6:$A$40,Kasse!J$5&amp;"*",Kalkulation!$C$6:$C$40)*VLOOKUP($A138,Bestellungen!$6:$1048576,MATCH(Kasse!J$5,Bestellungen!$A$5:$X$5,0),0),"")</f>
        <v/>
      </c>
      <c r="K138" s="26" t="str">
        <f>IF(ISERROR(VLOOKUP($A138,Bestellungen!$6:$1048576,MATCH(Kasse!K$5,Bestellungen!$A$5:$X$5,0),0))=FALSE,SUMIF(Kalkulation!$A$6:$A$40,Kasse!K$5&amp;"*",Kalkulation!$C$6:$C$40)*VLOOKUP($A138,Bestellungen!$6:$1048576,MATCH(Kasse!K$5,Bestellungen!$A$5:$X$5,0),0),"")</f>
        <v/>
      </c>
      <c r="L138" s="26" t="str">
        <f>IF(ISERROR(VLOOKUP($A138,Bestellungen!$6:$1048576,MATCH(Kasse!L$5,Bestellungen!$A$5:$X$5,0),0))=FALSE,SUMIF(Kalkulation!$A$6:$A$40,Kasse!L$5&amp;"*",Kalkulation!$C$6:$C$40)*VLOOKUP($A138,Bestellungen!$6:$1048576,MATCH(Kasse!L$5,Bestellungen!$A$5:$X$5,0),0),"")</f>
        <v/>
      </c>
      <c r="M138" s="26" t="str">
        <f>IF(ISERROR(VLOOKUP($A138,Bestellungen!$6:$1048576,MATCH(Kasse!M$5,Bestellungen!$A$5:$X$5,0),0))=FALSE,SUMIF(Kalkulation!$A$6:$A$40,Kasse!M$5&amp;"*",Kalkulation!$C$6:$C$40)*VLOOKUP($A138,Bestellungen!$6:$1048576,MATCH(Kasse!M$5,Bestellungen!$A$5:$X$5,0),0),"")</f>
        <v/>
      </c>
      <c r="N138" s="26" t="str">
        <f>IF(ISERROR(VLOOKUP($A138,Bestellungen!$6:$1048576,MATCH(Kasse!N$5,Bestellungen!$A$5:$X$5,0),0))=FALSE,SUMIF(Kalkulation!$A$6:$A$40,Kasse!N$5&amp;"*",Kalkulation!$C$6:$C$40)*VLOOKUP($A138,Bestellungen!$6:$1048576,MATCH(Kasse!N$5,Bestellungen!$A$5:$X$5,0),0),"")</f>
        <v/>
      </c>
      <c r="O138" s="26" t="str">
        <f>IF(ISERROR(VLOOKUP($A138,Bestellungen!$6:$1048576,MATCH(Kasse!O$5,Bestellungen!$A$5:$X$5,0),0))=FALSE,SUMIF(Kalkulation!$A$6:$A$40,Kasse!O$5&amp;"*",Kalkulation!$C$6:$C$40)*VLOOKUP($A138,Bestellungen!$6:$1048576,MATCH(Kasse!O$5,Bestellungen!$A$5:$X$5,0),0),"")</f>
        <v/>
      </c>
      <c r="P138" s="26" t="str">
        <f>IF(ISERROR(VLOOKUP($A138,Bestellungen!$6:$1048576,MATCH(Kasse!P$5,Bestellungen!$A$5:$X$5,0),0))=FALSE,SUMIF(Kalkulation!$A$6:$A$40,Kasse!P$5&amp;"*",Kalkulation!$C$6:$C$40)*VLOOKUP($A138,Bestellungen!$6:$1048576,MATCH(Kasse!P$5,Bestellungen!$A$5:$X$5,0),0),"")</f>
        <v/>
      </c>
      <c r="Q138" s="26" t="str">
        <f>IF(ISERROR(VLOOKUP($A138,Bestellungen!$6:$1048576,MATCH(Kasse!Q$5,Bestellungen!$A$5:$X$5,0),0))=FALSE,SUMIF(Kalkulation!$A$6:$A$40,Kasse!Q$5&amp;"*",Kalkulation!$C$6:$C$40)*VLOOKUP($A138,Bestellungen!$6:$1048576,MATCH(Kasse!Q$5,Bestellungen!$A$5:$X$5,0),0),"")</f>
        <v/>
      </c>
      <c r="R138" s="26" t="str">
        <f>IF(ISERROR(VLOOKUP($A138,Bestellungen!$6:$1048576,MATCH(Kasse!R$5,Bestellungen!$A$5:$X$5,0),0))=FALSE,SUMIF(Kalkulation!$A$6:$A$40,Kasse!R$5&amp;"*",Kalkulation!$C$6:$C$40)*VLOOKUP($A138,Bestellungen!$6:$1048576,MATCH(Kasse!R$5,Bestellungen!$A$5:$X$5,0),0),"")</f>
        <v/>
      </c>
      <c r="S138" s="26" t="str">
        <f>IF(ISERROR(VLOOKUP($A138,Bestellungen!$6:$1048576,MATCH(Kasse!S$5,Bestellungen!$A$5:$X$5,0),0))=FALSE,SUMIF(Kalkulation!$A$6:$A$40,Kasse!S$5&amp;"*",Kalkulation!$C$6:$C$40)*VLOOKUP($A138,Bestellungen!$6:$1048576,MATCH(Kasse!S$5,Bestellungen!$A$5:$X$5,0),0),"")</f>
        <v/>
      </c>
      <c r="T138" s="26" t="str">
        <f>IF(ISERROR(VLOOKUP($A138,Bestellungen!$6:$1048576,MATCH(Kasse!T$5,Bestellungen!$A$5:$X$5,0),0))=FALSE,SUMIF(Kalkulation!$A$6:$A$40,Kasse!T$5&amp;"*",Kalkulation!$C$6:$C$40)*VLOOKUP($A138,Bestellungen!$6:$1048576,MATCH(Kasse!T$5,Bestellungen!$A$5:$X$5,0),0),"")</f>
        <v/>
      </c>
      <c r="U138" s="26" t="str">
        <f t="shared" si="4"/>
        <v/>
      </c>
      <c r="W138" s="26" t="str">
        <f t="shared" si="5"/>
        <v/>
      </c>
      <c r="X138" s="26"/>
      <c r="Y138" s="26"/>
      <c r="Z138" s="26"/>
      <c r="AA138" s="26"/>
    </row>
    <row r="139" spans="1:27" x14ac:dyDescent="0.25">
      <c r="A139" t="str">
        <f>IF(LEN(Bestellungen!$A139)&gt;0,Bestellungen!$A139,"")</f>
        <v/>
      </c>
      <c r="B139" s="26" t="str">
        <f>IF(ISERROR(VLOOKUP($A139,Bestellungen!$6:$1048576,MATCH(Kasse!B$5,Bestellungen!$A$5:$X$5,0),0))=FALSE,SUMIF(Kalkulation!$A$6:$A$40,Kasse!B$5&amp;"*",Kalkulation!$C$6:$C$40)*VLOOKUP($A139,Bestellungen!$6:$1048576,MATCH(Kasse!B$5,Bestellungen!$A$5:$X$5,0),0),"")</f>
        <v/>
      </c>
      <c r="C139" s="26" t="str">
        <f>IF(ISERROR(VLOOKUP($A139,Bestellungen!$6:$1048576,MATCH(Kasse!C$5,Bestellungen!$A$5:$X$5,0),0))=FALSE,SUMIF(Kalkulation!$A$6:$A$40,Kasse!C$5&amp;"*",Kalkulation!$C$6:$C$40)*VLOOKUP($A139,Bestellungen!$6:$1048576,MATCH(Kasse!C$5,Bestellungen!$A$5:$X$5,0),0),"")</f>
        <v/>
      </c>
      <c r="D139" s="26" t="str">
        <f>IF(ISERROR(VLOOKUP($A139,Bestellungen!$6:$1048576,MATCH(Kasse!D$5,Bestellungen!$A$5:$X$5,0),0))=FALSE,SUMIF(Kalkulation!$A$6:$A$40,Kasse!D$5&amp;"*",Kalkulation!$C$6:$C$40)*VLOOKUP($A139,Bestellungen!$6:$1048576,MATCH(Kasse!D$5,Bestellungen!$A$5:$X$5,0),0),"")</f>
        <v/>
      </c>
      <c r="E139" s="26" t="str">
        <f>IF(ISERROR(VLOOKUP($A139,Bestellungen!$6:$1048576,MATCH(Kasse!E$5,Bestellungen!$A$5:$X$5,0),0))=FALSE,SUMIF(Kalkulation!$A$6:$A$40,Kasse!E$5&amp;"*",Kalkulation!$C$6:$C$40)*VLOOKUP($A139,Bestellungen!$6:$1048576,MATCH(Kasse!E$5,Bestellungen!$A$5:$X$5,0),0),"")</f>
        <v/>
      </c>
      <c r="F139" s="26" t="str">
        <f>IF(ISERROR(VLOOKUP($A139,Bestellungen!$6:$1048576,MATCH(Kasse!F$5,Bestellungen!$A$5:$X$5,0),0))=FALSE,SUMIF(Kalkulation!$A$6:$A$40,Kasse!F$5&amp;"*",Kalkulation!$C$6:$C$40)*VLOOKUP($A139,Bestellungen!$6:$1048576,MATCH(Kasse!F$5,Bestellungen!$A$5:$X$5,0),0),"")</f>
        <v/>
      </c>
      <c r="G139" s="26" t="str">
        <f>IF(ISERROR(VLOOKUP($A139,Bestellungen!$6:$1048576,MATCH(Kasse!G$5,Bestellungen!$A$5:$X$5,0),0))=FALSE,SUMIF(Kalkulation!$A$6:$A$40,Kasse!G$5&amp;"*",Kalkulation!$C$6:$C$40)*VLOOKUP($A139,Bestellungen!$6:$1048576,MATCH(Kasse!G$5,Bestellungen!$A$5:$X$5,0),0),"")</f>
        <v/>
      </c>
      <c r="H139" s="26" t="str">
        <f>IF(ISERROR(VLOOKUP($A139,Bestellungen!$6:$1048576,MATCH(Kasse!H$5,Bestellungen!$A$5:$X$5,0),0))=FALSE,SUMIF(Kalkulation!$A$6:$A$40,Kasse!H$5&amp;"*",Kalkulation!$C$6:$C$40)*VLOOKUP($A139,Bestellungen!$6:$1048576,MATCH(Kasse!H$5,Bestellungen!$A$5:$X$5,0),0),"")</f>
        <v/>
      </c>
      <c r="I139" s="26" t="str">
        <f>IF(ISERROR(VLOOKUP($A139,Bestellungen!$6:$1048576,MATCH(Kasse!I$5,Bestellungen!$A$5:$X$5,0),0))=FALSE,SUMIF(Kalkulation!$A$6:$A$40,Kasse!I$5&amp;"*",Kalkulation!$C$6:$C$40)*VLOOKUP($A139,Bestellungen!$6:$1048576,MATCH(Kasse!I$5,Bestellungen!$A$5:$X$5,0),0),"")</f>
        <v/>
      </c>
      <c r="J139" s="26" t="str">
        <f>IF(ISERROR(VLOOKUP($A139,Bestellungen!$6:$1048576,MATCH(Kasse!J$5,Bestellungen!$A$5:$X$5,0),0))=FALSE,SUMIF(Kalkulation!$A$6:$A$40,Kasse!J$5&amp;"*",Kalkulation!$C$6:$C$40)*VLOOKUP($A139,Bestellungen!$6:$1048576,MATCH(Kasse!J$5,Bestellungen!$A$5:$X$5,0),0),"")</f>
        <v/>
      </c>
      <c r="K139" s="26" t="str">
        <f>IF(ISERROR(VLOOKUP($A139,Bestellungen!$6:$1048576,MATCH(Kasse!K$5,Bestellungen!$A$5:$X$5,0),0))=FALSE,SUMIF(Kalkulation!$A$6:$A$40,Kasse!K$5&amp;"*",Kalkulation!$C$6:$C$40)*VLOOKUP($A139,Bestellungen!$6:$1048576,MATCH(Kasse!K$5,Bestellungen!$A$5:$X$5,0),0),"")</f>
        <v/>
      </c>
      <c r="L139" s="26" t="str">
        <f>IF(ISERROR(VLOOKUP($A139,Bestellungen!$6:$1048576,MATCH(Kasse!L$5,Bestellungen!$A$5:$X$5,0),0))=FALSE,SUMIF(Kalkulation!$A$6:$A$40,Kasse!L$5&amp;"*",Kalkulation!$C$6:$C$40)*VLOOKUP($A139,Bestellungen!$6:$1048576,MATCH(Kasse!L$5,Bestellungen!$A$5:$X$5,0),0),"")</f>
        <v/>
      </c>
      <c r="M139" s="26" t="str">
        <f>IF(ISERROR(VLOOKUP($A139,Bestellungen!$6:$1048576,MATCH(Kasse!M$5,Bestellungen!$A$5:$X$5,0),0))=FALSE,SUMIF(Kalkulation!$A$6:$A$40,Kasse!M$5&amp;"*",Kalkulation!$C$6:$C$40)*VLOOKUP($A139,Bestellungen!$6:$1048576,MATCH(Kasse!M$5,Bestellungen!$A$5:$X$5,0),0),"")</f>
        <v/>
      </c>
      <c r="N139" s="26" t="str">
        <f>IF(ISERROR(VLOOKUP($A139,Bestellungen!$6:$1048576,MATCH(Kasse!N$5,Bestellungen!$A$5:$X$5,0),0))=FALSE,SUMIF(Kalkulation!$A$6:$A$40,Kasse!N$5&amp;"*",Kalkulation!$C$6:$C$40)*VLOOKUP($A139,Bestellungen!$6:$1048576,MATCH(Kasse!N$5,Bestellungen!$A$5:$X$5,0),0),"")</f>
        <v/>
      </c>
      <c r="O139" s="26" t="str">
        <f>IF(ISERROR(VLOOKUP($A139,Bestellungen!$6:$1048576,MATCH(Kasse!O$5,Bestellungen!$A$5:$X$5,0),0))=FALSE,SUMIF(Kalkulation!$A$6:$A$40,Kasse!O$5&amp;"*",Kalkulation!$C$6:$C$40)*VLOOKUP($A139,Bestellungen!$6:$1048576,MATCH(Kasse!O$5,Bestellungen!$A$5:$X$5,0),0),"")</f>
        <v/>
      </c>
      <c r="P139" s="26" t="str">
        <f>IF(ISERROR(VLOOKUP($A139,Bestellungen!$6:$1048576,MATCH(Kasse!P$5,Bestellungen!$A$5:$X$5,0),0))=FALSE,SUMIF(Kalkulation!$A$6:$A$40,Kasse!P$5&amp;"*",Kalkulation!$C$6:$C$40)*VLOOKUP($A139,Bestellungen!$6:$1048576,MATCH(Kasse!P$5,Bestellungen!$A$5:$X$5,0),0),"")</f>
        <v/>
      </c>
      <c r="Q139" s="26" t="str">
        <f>IF(ISERROR(VLOOKUP($A139,Bestellungen!$6:$1048576,MATCH(Kasse!Q$5,Bestellungen!$A$5:$X$5,0),0))=FALSE,SUMIF(Kalkulation!$A$6:$A$40,Kasse!Q$5&amp;"*",Kalkulation!$C$6:$C$40)*VLOOKUP($A139,Bestellungen!$6:$1048576,MATCH(Kasse!Q$5,Bestellungen!$A$5:$X$5,0),0),"")</f>
        <v/>
      </c>
      <c r="R139" s="26" t="str">
        <f>IF(ISERROR(VLOOKUP($A139,Bestellungen!$6:$1048576,MATCH(Kasse!R$5,Bestellungen!$A$5:$X$5,0),0))=FALSE,SUMIF(Kalkulation!$A$6:$A$40,Kasse!R$5&amp;"*",Kalkulation!$C$6:$C$40)*VLOOKUP($A139,Bestellungen!$6:$1048576,MATCH(Kasse!R$5,Bestellungen!$A$5:$X$5,0),0),"")</f>
        <v/>
      </c>
      <c r="S139" s="26" t="str">
        <f>IF(ISERROR(VLOOKUP($A139,Bestellungen!$6:$1048576,MATCH(Kasse!S$5,Bestellungen!$A$5:$X$5,0),0))=FALSE,SUMIF(Kalkulation!$A$6:$A$40,Kasse!S$5&amp;"*",Kalkulation!$C$6:$C$40)*VLOOKUP($A139,Bestellungen!$6:$1048576,MATCH(Kasse!S$5,Bestellungen!$A$5:$X$5,0),0),"")</f>
        <v/>
      </c>
      <c r="T139" s="26" t="str">
        <f>IF(ISERROR(VLOOKUP($A139,Bestellungen!$6:$1048576,MATCH(Kasse!T$5,Bestellungen!$A$5:$X$5,0),0))=FALSE,SUMIF(Kalkulation!$A$6:$A$40,Kasse!T$5&amp;"*",Kalkulation!$C$6:$C$40)*VLOOKUP($A139,Bestellungen!$6:$1048576,MATCH(Kasse!T$5,Bestellungen!$A$5:$X$5,0),0),"")</f>
        <v/>
      </c>
      <c r="U139" s="26" t="str">
        <f t="shared" si="4"/>
        <v/>
      </c>
      <c r="W139" s="26" t="str">
        <f t="shared" si="5"/>
        <v/>
      </c>
      <c r="X139" s="26"/>
      <c r="Y139" s="26"/>
      <c r="Z139" s="26"/>
      <c r="AA139" s="26"/>
    </row>
    <row r="140" spans="1:27" x14ac:dyDescent="0.25">
      <c r="A140" t="str">
        <f>IF(LEN(Bestellungen!$A140)&gt;0,Bestellungen!$A140,"")</f>
        <v/>
      </c>
      <c r="B140" s="26" t="str">
        <f>IF(ISERROR(VLOOKUP($A140,Bestellungen!$6:$1048576,MATCH(Kasse!B$5,Bestellungen!$A$5:$X$5,0),0))=FALSE,SUMIF(Kalkulation!$A$6:$A$40,Kasse!B$5&amp;"*",Kalkulation!$C$6:$C$40)*VLOOKUP($A140,Bestellungen!$6:$1048576,MATCH(Kasse!B$5,Bestellungen!$A$5:$X$5,0),0),"")</f>
        <v/>
      </c>
      <c r="C140" s="26" t="str">
        <f>IF(ISERROR(VLOOKUP($A140,Bestellungen!$6:$1048576,MATCH(Kasse!C$5,Bestellungen!$A$5:$X$5,0),0))=FALSE,SUMIF(Kalkulation!$A$6:$A$40,Kasse!C$5&amp;"*",Kalkulation!$C$6:$C$40)*VLOOKUP($A140,Bestellungen!$6:$1048576,MATCH(Kasse!C$5,Bestellungen!$A$5:$X$5,0),0),"")</f>
        <v/>
      </c>
      <c r="D140" s="26" t="str">
        <f>IF(ISERROR(VLOOKUP($A140,Bestellungen!$6:$1048576,MATCH(Kasse!D$5,Bestellungen!$A$5:$X$5,0),0))=FALSE,SUMIF(Kalkulation!$A$6:$A$40,Kasse!D$5&amp;"*",Kalkulation!$C$6:$C$40)*VLOOKUP($A140,Bestellungen!$6:$1048576,MATCH(Kasse!D$5,Bestellungen!$A$5:$X$5,0),0),"")</f>
        <v/>
      </c>
      <c r="E140" s="26" t="str">
        <f>IF(ISERROR(VLOOKUP($A140,Bestellungen!$6:$1048576,MATCH(Kasse!E$5,Bestellungen!$A$5:$X$5,0),0))=FALSE,SUMIF(Kalkulation!$A$6:$A$40,Kasse!E$5&amp;"*",Kalkulation!$C$6:$C$40)*VLOOKUP($A140,Bestellungen!$6:$1048576,MATCH(Kasse!E$5,Bestellungen!$A$5:$X$5,0),0),"")</f>
        <v/>
      </c>
      <c r="F140" s="26" t="str">
        <f>IF(ISERROR(VLOOKUP($A140,Bestellungen!$6:$1048576,MATCH(Kasse!F$5,Bestellungen!$A$5:$X$5,0),0))=FALSE,SUMIF(Kalkulation!$A$6:$A$40,Kasse!F$5&amp;"*",Kalkulation!$C$6:$C$40)*VLOOKUP($A140,Bestellungen!$6:$1048576,MATCH(Kasse!F$5,Bestellungen!$A$5:$X$5,0),0),"")</f>
        <v/>
      </c>
      <c r="G140" s="26" t="str">
        <f>IF(ISERROR(VLOOKUP($A140,Bestellungen!$6:$1048576,MATCH(Kasse!G$5,Bestellungen!$A$5:$X$5,0),0))=FALSE,SUMIF(Kalkulation!$A$6:$A$40,Kasse!G$5&amp;"*",Kalkulation!$C$6:$C$40)*VLOOKUP($A140,Bestellungen!$6:$1048576,MATCH(Kasse!G$5,Bestellungen!$A$5:$X$5,0),0),"")</f>
        <v/>
      </c>
      <c r="H140" s="26" t="str">
        <f>IF(ISERROR(VLOOKUP($A140,Bestellungen!$6:$1048576,MATCH(Kasse!H$5,Bestellungen!$A$5:$X$5,0),0))=FALSE,SUMIF(Kalkulation!$A$6:$A$40,Kasse!H$5&amp;"*",Kalkulation!$C$6:$C$40)*VLOOKUP($A140,Bestellungen!$6:$1048576,MATCH(Kasse!H$5,Bestellungen!$A$5:$X$5,0),0),"")</f>
        <v/>
      </c>
      <c r="I140" s="26" t="str">
        <f>IF(ISERROR(VLOOKUP($A140,Bestellungen!$6:$1048576,MATCH(Kasse!I$5,Bestellungen!$A$5:$X$5,0),0))=FALSE,SUMIF(Kalkulation!$A$6:$A$40,Kasse!I$5&amp;"*",Kalkulation!$C$6:$C$40)*VLOOKUP($A140,Bestellungen!$6:$1048576,MATCH(Kasse!I$5,Bestellungen!$A$5:$X$5,0),0),"")</f>
        <v/>
      </c>
      <c r="J140" s="26" t="str">
        <f>IF(ISERROR(VLOOKUP($A140,Bestellungen!$6:$1048576,MATCH(Kasse!J$5,Bestellungen!$A$5:$X$5,0),0))=FALSE,SUMIF(Kalkulation!$A$6:$A$40,Kasse!J$5&amp;"*",Kalkulation!$C$6:$C$40)*VLOOKUP($A140,Bestellungen!$6:$1048576,MATCH(Kasse!J$5,Bestellungen!$A$5:$X$5,0),0),"")</f>
        <v/>
      </c>
      <c r="K140" s="26" t="str">
        <f>IF(ISERROR(VLOOKUP($A140,Bestellungen!$6:$1048576,MATCH(Kasse!K$5,Bestellungen!$A$5:$X$5,0),0))=FALSE,SUMIF(Kalkulation!$A$6:$A$40,Kasse!K$5&amp;"*",Kalkulation!$C$6:$C$40)*VLOOKUP($A140,Bestellungen!$6:$1048576,MATCH(Kasse!K$5,Bestellungen!$A$5:$X$5,0),0),"")</f>
        <v/>
      </c>
      <c r="L140" s="26" t="str">
        <f>IF(ISERROR(VLOOKUP($A140,Bestellungen!$6:$1048576,MATCH(Kasse!L$5,Bestellungen!$A$5:$X$5,0),0))=FALSE,SUMIF(Kalkulation!$A$6:$A$40,Kasse!L$5&amp;"*",Kalkulation!$C$6:$C$40)*VLOOKUP($A140,Bestellungen!$6:$1048576,MATCH(Kasse!L$5,Bestellungen!$A$5:$X$5,0),0),"")</f>
        <v/>
      </c>
      <c r="M140" s="26" t="str">
        <f>IF(ISERROR(VLOOKUP($A140,Bestellungen!$6:$1048576,MATCH(Kasse!M$5,Bestellungen!$A$5:$X$5,0),0))=FALSE,SUMIF(Kalkulation!$A$6:$A$40,Kasse!M$5&amp;"*",Kalkulation!$C$6:$C$40)*VLOOKUP($A140,Bestellungen!$6:$1048576,MATCH(Kasse!M$5,Bestellungen!$A$5:$X$5,0),0),"")</f>
        <v/>
      </c>
      <c r="N140" s="26" t="str">
        <f>IF(ISERROR(VLOOKUP($A140,Bestellungen!$6:$1048576,MATCH(Kasse!N$5,Bestellungen!$A$5:$X$5,0),0))=FALSE,SUMIF(Kalkulation!$A$6:$A$40,Kasse!N$5&amp;"*",Kalkulation!$C$6:$C$40)*VLOOKUP($A140,Bestellungen!$6:$1048576,MATCH(Kasse!N$5,Bestellungen!$A$5:$X$5,0),0),"")</f>
        <v/>
      </c>
      <c r="O140" s="26" t="str">
        <f>IF(ISERROR(VLOOKUP($A140,Bestellungen!$6:$1048576,MATCH(Kasse!O$5,Bestellungen!$A$5:$X$5,0),0))=FALSE,SUMIF(Kalkulation!$A$6:$A$40,Kasse!O$5&amp;"*",Kalkulation!$C$6:$C$40)*VLOOKUP($A140,Bestellungen!$6:$1048576,MATCH(Kasse!O$5,Bestellungen!$A$5:$X$5,0),0),"")</f>
        <v/>
      </c>
      <c r="P140" s="26" t="str">
        <f>IF(ISERROR(VLOOKUP($A140,Bestellungen!$6:$1048576,MATCH(Kasse!P$5,Bestellungen!$A$5:$X$5,0),0))=FALSE,SUMIF(Kalkulation!$A$6:$A$40,Kasse!P$5&amp;"*",Kalkulation!$C$6:$C$40)*VLOOKUP($A140,Bestellungen!$6:$1048576,MATCH(Kasse!P$5,Bestellungen!$A$5:$X$5,0),0),"")</f>
        <v/>
      </c>
      <c r="Q140" s="26" t="str">
        <f>IF(ISERROR(VLOOKUP($A140,Bestellungen!$6:$1048576,MATCH(Kasse!Q$5,Bestellungen!$A$5:$X$5,0),0))=FALSE,SUMIF(Kalkulation!$A$6:$A$40,Kasse!Q$5&amp;"*",Kalkulation!$C$6:$C$40)*VLOOKUP($A140,Bestellungen!$6:$1048576,MATCH(Kasse!Q$5,Bestellungen!$A$5:$X$5,0),0),"")</f>
        <v/>
      </c>
      <c r="R140" s="26" t="str">
        <f>IF(ISERROR(VLOOKUP($A140,Bestellungen!$6:$1048576,MATCH(Kasse!R$5,Bestellungen!$A$5:$X$5,0),0))=FALSE,SUMIF(Kalkulation!$A$6:$A$40,Kasse!R$5&amp;"*",Kalkulation!$C$6:$C$40)*VLOOKUP($A140,Bestellungen!$6:$1048576,MATCH(Kasse!R$5,Bestellungen!$A$5:$X$5,0),0),"")</f>
        <v/>
      </c>
      <c r="S140" s="26" t="str">
        <f>IF(ISERROR(VLOOKUP($A140,Bestellungen!$6:$1048576,MATCH(Kasse!S$5,Bestellungen!$A$5:$X$5,0),0))=FALSE,SUMIF(Kalkulation!$A$6:$A$40,Kasse!S$5&amp;"*",Kalkulation!$C$6:$C$40)*VLOOKUP($A140,Bestellungen!$6:$1048576,MATCH(Kasse!S$5,Bestellungen!$A$5:$X$5,0),0),"")</f>
        <v/>
      </c>
      <c r="T140" s="26" t="str">
        <f>IF(ISERROR(VLOOKUP($A140,Bestellungen!$6:$1048576,MATCH(Kasse!T$5,Bestellungen!$A$5:$X$5,0),0))=FALSE,SUMIF(Kalkulation!$A$6:$A$40,Kasse!T$5&amp;"*",Kalkulation!$C$6:$C$40)*VLOOKUP($A140,Bestellungen!$6:$1048576,MATCH(Kasse!T$5,Bestellungen!$A$5:$X$5,0),0),"")</f>
        <v/>
      </c>
      <c r="U140" s="26" t="str">
        <f t="shared" si="4"/>
        <v/>
      </c>
      <c r="W140" s="26" t="str">
        <f t="shared" si="5"/>
        <v/>
      </c>
      <c r="X140" s="26"/>
      <c r="Y140" s="26"/>
      <c r="Z140" s="26"/>
      <c r="AA140" s="26"/>
    </row>
    <row r="141" spans="1:27" x14ac:dyDescent="0.25">
      <c r="A141" t="str">
        <f>IF(LEN(Bestellungen!$A141)&gt;0,Bestellungen!$A141,"")</f>
        <v/>
      </c>
      <c r="B141" s="26" t="str">
        <f>IF(ISERROR(VLOOKUP($A141,Bestellungen!$6:$1048576,MATCH(Kasse!B$5,Bestellungen!$A$5:$X$5,0),0))=FALSE,SUMIF(Kalkulation!$A$6:$A$40,Kasse!B$5&amp;"*",Kalkulation!$C$6:$C$40)*VLOOKUP($A141,Bestellungen!$6:$1048576,MATCH(Kasse!B$5,Bestellungen!$A$5:$X$5,0),0),"")</f>
        <v/>
      </c>
      <c r="C141" s="26" t="str">
        <f>IF(ISERROR(VLOOKUP($A141,Bestellungen!$6:$1048576,MATCH(Kasse!C$5,Bestellungen!$A$5:$X$5,0),0))=FALSE,SUMIF(Kalkulation!$A$6:$A$40,Kasse!C$5&amp;"*",Kalkulation!$C$6:$C$40)*VLOOKUP($A141,Bestellungen!$6:$1048576,MATCH(Kasse!C$5,Bestellungen!$A$5:$X$5,0),0),"")</f>
        <v/>
      </c>
      <c r="D141" s="26" t="str">
        <f>IF(ISERROR(VLOOKUP($A141,Bestellungen!$6:$1048576,MATCH(Kasse!D$5,Bestellungen!$A$5:$X$5,0),0))=FALSE,SUMIF(Kalkulation!$A$6:$A$40,Kasse!D$5&amp;"*",Kalkulation!$C$6:$C$40)*VLOOKUP($A141,Bestellungen!$6:$1048576,MATCH(Kasse!D$5,Bestellungen!$A$5:$X$5,0),0),"")</f>
        <v/>
      </c>
      <c r="E141" s="26" t="str">
        <f>IF(ISERROR(VLOOKUP($A141,Bestellungen!$6:$1048576,MATCH(Kasse!E$5,Bestellungen!$A$5:$X$5,0),0))=FALSE,SUMIF(Kalkulation!$A$6:$A$40,Kasse!E$5&amp;"*",Kalkulation!$C$6:$C$40)*VLOOKUP($A141,Bestellungen!$6:$1048576,MATCH(Kasse!E$5,Bestellungen!$A$5:$X$5,0),0),"")</f>
        <v/>
      </c>
      <c r="F141" s="26" t="str">
        <f>IF(ISERROR(VLOOKUP($A141,Bestellungen!$6:$1048576,MATCH(Kasse!F$5,Bestellungen!$A$5:$X$5,0),0))=FALSE,SUMIF(Kalkulation!$A$6:$A$40,Kasse!F$5&amp;"*",Kalkulation!$C$6:$C$40)*VLOOKUP($A141,Bestellungen!$6:$1048576,MATCH(Kasse!F$5,Bestellungen!$A$5:$X$5,0),0),"")</f>
        <v/>
      </c>
      <c r="G141" s="26" t="str">
        <f>IF(ISERROR(VLOOKUP($A141,Bestellungen!$6:$1048576,MATCH(Kasse!G$5,Bestellungen!$A$5:$X$5,0),0))=FALSE,SUMIF(Kalkulation!$A$6:$A$40,Kasse!G$5&amp;"*",Kalkulation!$C$6:$C$40)*VLOOKUP($A141,Bestellungen!$6:$1048576,MATCH(Kasse!G$5,Bestellungen!$A$5:$X$5,0),0),"")</f>
        <v/>
      </c>
      <c r="H141" s="26" t="str">
        <f>IF(ISERROR(VLOOKUP($A141,Bestellungen!$6:$1048576,MATCH(Kasse!H$5,Bestellungen!$A$5:$X$5,0),0))=FALSE,SUMIF(Kalkulation!$A$6:$A$40,Kasse!H$5&amp;"*",Kalkulation!$C$6:$C$40)*VLOOKUP($A141,Bestellungen!$6:$1048576,MATCH(Kasse!H$5,Bestellungen!$A$5:$X$5,0),0),"")</f>
        <v/>
      </c>
      <c r="I141" s="26" t="str">
        <f>IF(ISERROR(VLOOKUP($A141,Bestellungen!$6:$1048576,MATCH(Kasse!I$5,Bestellungen!$A$5:$X$5,0),0))=FALSE,SUMIF(Kalkulation!$A$6:$A$40,Kasse!I$5&amp;"*",Kalkulation!$C$6:$C$40)*VLOOKUP($A141,Bestellungen!$6:$1048576,MATCH(Kasse!I$5,Bestellungen!$A$5:$X$5,0),0),"")</f>
        <v/>
      </c>
      <c r="J141" s="26" t="str">
        <f>IF(ISERROR(VLOOKUP($A141,Bestellungen!$6:$1048576,MATCH(Kasse!J$5,Bestellungen!$A$5:$X$5,0),0))=FALSE,SUMIF(Kalkulation!$A$6:$A$40,Kasse!J$5&amp;"*",Kalkulation!$C$6:$C$40)*VLOOKUP($A141,Bestellungen!$6:$1048576,MATCH(Kasse!J$5,Bestellungen!$A$5:$X$5,0),0),"")</f>
        <v/>
      </c>
      <c r="K141" s="26" t="str">
        <f>IF(ISERROR(VLOOKUP($A141,Bestellungen!$6:$1048576,MATCH(Kasse!K$5,Bestellungen!$A$5:$X$5,0),0))=FALSE,SUMIF(Kalkulation!$A$6:$A$40,Kasse!K$5&amp;"*",Kalkulation!$C$6:$C$40)*VLOOKUP($A141,Bestellungen!$6:$1048576,MATCH(Kasse!K$5,Bestellungen!$A$5:$X$5,0),0),"")</f>
        <v/>
      </c>
      <c r="L141" s="26" t="str">
        <f>IF(ISERROR(VLOOKUP($A141,Bestellungen!$6:$1048576,MATCH(Kasse!L$5,Bestellungen!$A$5:$X$5,0),0))=FALSE,SUMIF(Kalkulation!$A$6:$A$40,Kasse!L$5&amp;"*",Kalkulation!$C$6:$C$40)*VLOOKUP($A141,Bestellungen!$6:$1048576,MATCH(Kasse!L$5,Bestellungen!$A$5:$X$5,0),0),"")</f>
        <v/>
      </c>
      <c r="M141" s="26" t="str">
        <f>IF(ISERROR(VLOOKUP($A141,Bestellungen!$6:$1048576,MATCH(Kasse!M$5,Bestellungen!$A$5:$X$5,0),0))=FALSE,SUMIF(Kalkulation!$A$6:$A$40,Kasse!M$5&amp;"*",Kalkulation!$C$6:$C$40)*VLOOKUP($A141,Bestellungen!$6:$1048576,MATCH(Kasse!M$5,Bestellungen!$A$5:$X$5,0),0),"")</f>
        <v/>
      </c>
      <c r="N141" s="26" t="str">
        <f>IF(ISERROR(VLOOKUP($A141,Bestellungen!$6:$1048576,MATCH(Kasse!N$5,Bestellungen!$A$5:$X$5,0),0))=FALSE,SUMIF(Kalkulation!$A$6:$A$40,Kasse!N$5&amp;"*",Kalkulation!$C$6:$C$40)*VLOOKUP($A141,Bestellungen!$6:$1048576,MATCH(Kasse!N$5,Bestellungen!$A$5:$X$5,0),0),"")</f>
        <v/>
      </c>
      <c r="O141" s="26" t="str">
        <f>IF(ISERROR(VLOOKUP($A141,Bestellungen!$6:$1048576,MATCH(Kasse!O$5,Bestellungen!$A$5:$X$5,0),0))=FALSE,SUMIF(Kalkulation!$A$6:$A$40,Kasse!O$5&amp;"*",Kalkulation!$C$6:$C$40)*VLOOKUP($A141,Bestellungen!$6:$1048576,MATCH(Kasse!O$5,Bestellungen!$A$5:$X$5,0),0),"")</f>
        <v/>
      </c>
      <c r="P141" s="26" t="str">
        <f>IF(ISERROR(VLOOKUP($A141,Bestellungen!$6:$1048576,MATCH(Kasse!P$5,Bestellungen!$A$5:$X$5,0),0))=FALSE,SUMIF(Kalkulation!$A$6:$A$40,Kasse!P$5&amp;"*",Kalkulation!$C$6:$C$40)*VLOOKUP($A141,Bestellungen!$6:$1048576,MATCH(Kasse!P$5,Bestellungen!$A$5:$X$5,0),0),"")</f>
        <v/>
      </c>
      <c r="Q141" s="26" t="str">
        <f>IF(ISERROR(VLOOKUP($A141,Bestellungen!$6:$1048576,MATCH(Kasse!Q$5,Bestellungen!$A$5:$X$5,0),0))=FALSE,SUMIF(Kalkulation!$A$6:$A$40,Kasse!Q$5&amp;"*",Kalkulation!$C$6:$C$40)*VLOOKUP($A141,Bestellungen!$6:$1048576,MATCH(Kasse!Q$5,Bestellungen!$A$5:$X$5,0),0),"")</f>
        <v/>
      </c>
      <c r="R141" s="26" t="str">
        <f>IF(ISERROR(VLOOKUP($A141,Bestellungen!$6:$1048576,MATCH(Kasse!R$5,Bestellungen!$A$5:$X$5,0),0))=FALSE,SUMIF(Kalkulation!$A$6:$A$40,Kasse!R$5&amp;"*",Kalkulation!$C$6:$C$40)*VLOOKUP($A141,Bestellungen!$6:$1048576,MATCH(Kasse!R$5,Bestellungen!$A$5:$X$5,0),0),"")</f>
        <v/>
      </c>
      <c r="S141" s="26" t="str">
        <f>IF(ISERROR(VLOOKUP($A141,Bestellungen!$6:$1048576,MATCH(Kasse!S$5,Bestellungen!$A$5:$X$5,0),0))=FALSE,SUMIF(Kalkulation!$A$6:$A$40,Kasse!S$5&amp;"*",Kalkulation!$C$6:$C$40)*VLOOKUP($A141,Bestellungen!$6:$1048576,MATCH(Kasse!S$5,Bestellungen!$A$5:$X$5,0),0),"")</f>
        <v/>
      </c>
      <c r="T141" s="26" t="str">
        <f>IF(ISERROR(VLOOKUP($A141,Bestellungen!$6:$1048576,MATCH(Kasse!T$5,Bestellungen!$A$5:$X$5,0),0))=FALSE,SUMIF(Kalkulation!$A$6:$A$40,Kasse!T$5&amp;"*",Kalkulation!$C$6:$C$40)*VLOOKUP($A141,Bestellungen!$6:$1048576,MATCH(Kasse!T$5,Bestellungen!$A$5:$X$5,0),0),"")</f>
        <v/>
      </c>
      <c r="U141" s="26" t="str">
        <f t="shared" si="4"/>
        <v/>
      </c>
      <c r="W141" s="26" t="str">
        <f t="shared" si="5"/>
        <v/>
      </c>
      <c r="X141" s="26"/>
      <c r="Y141" s="26"/>
      <c r="Z141" s="26"/>
      <c r="AA141" s="26"/>
    </row>
    <row r="142" spans="1:27" x14ac:dyDescent="0.25">
      <c r="A142" t="str">
        <f>IF(LEN(Bestellungen!$A142)&gt;0,Bestellungen!$A142,"")</f>
        <v/>
      </c>
      <c r="B142" s="26" t="str">
        <f>IF(ISERROR(VLOOKUP($A142,Bestellungen!$6:$1048576,MATCH(Kasse!B$5,Bestellungen!$A$5:$X$5,0),0))=FALSE,SUMIF(Kalkulation!$A$6:$A$40,Kasse!B$5&amp;"*",Kalkulation!$C$6:$C$40)*VLOOKUP($A142,Bestellungen!$6:$1048576,MATCH(Kasse!B$5,Bestellungen!$A$5:$X$5,0),0),"")</f>
        <v/>
      </c>
      <c r="C142" s="26" t="str">
        <f>IF(ISERROR(VLOOKUP($A142,Bestellungen!$6:$1048576,MATCH(Kasse!C$5,Bestellungen!$A$5:$X$5,0),0))=FALSE,SUMIF(Kalkulation!$A$6:$A$40,Kasse!C$5&amp;"*",Kalkulation!$C$6:$C$40)*VLOOKUP($A142,Bestellungen!$6:$1048576,MATCH(Kasse!C$5,Bestellungen!$A$5:$X$5,0),0),"")</f>
        <v/>
      </c>
      <c r="D142" s="26" t="str">
        <f>IF(ISERROR(VLOOKUP($A142,Bestellungen!$6:$1048576,MATCH(Kasse!D$5,Bestellungen!$A$5:$X$5,0),0))=FALSE,SUMIF(Kalkulation!$A$6:$A$40,Kasse!D$5&amp;"*",Kalkulation!$C$6:$C$40)*VLOOKUP($A142,Bestellungen!$6:$1048576,MATCH(Kasse!D$5,Bestellungen!$A$5:$X$5,0),0),"")</f>
        <v/>
      </c>
      <c r="E142" s="26" t="str">
        <f>IF(ISERROR(VLOOKUP($A142,Bestellungen!$6:$1048576,MATCH(Kasse!E$5,Bestellungen!$A$5:$X$5,0),0))=FALSE,SUMIF(Kalkulation!$A$6:$A$40,Kasse!E$5&amp;"*",Kalkulation!$C$6:$C$40)*VLOOKUP($A142,Bestellungen!$6:$1048576,MATCH(Kasse!E$5,Bestellungen!$A$5:$X$5,0),0),"")</f>
        <v/>
      </c>
      <c r="F142" s="26" t="str">
        <f>IF(ISERROR(VLOOKUP($A142,Bestellungen!$6:$1048576,MATCH(Kasse!F$5,Bestellungen!$A$5:$X$5,0),0))=FALSE,SUMIF(Kalkulation!$A$6:$A$40,Kasse!F$5&amp;"*",Kalkulation!$C$6:$C$40)*VLOOKUP($A142,Bestellungen!$6:$1048576,MATCH(Kasse!F$5,Bestellungen!$A$5:$X$5,0),0),"")</f>
        <v/>
      </c>
      <c r="G142" s="26" t="str">
        <f>IF(ISERROR(VLOOKUP($A142,Bestellungen!$6:$1048576,MATCH(Kasse!G$5,Bestellungen!$A$5:$X$5,0),0))=FALSE,SUMIF(Kalkulation!$A$6:$A$40,Kasse!G$5&amp;"*",Kalkulation!$C$6:$C$40)*VLOOKUP($A142,Bestellungen!$6:$1048576,MATCH(Kasse!G$5,Bestellungen!$A$5:$X$5,0),0),"")</f>
        <v/>
      </c>
      <c r="H142" s="26" t="str">
        <f>IF(ISERROR(VLOOKUP($A142,Bestellungen!$6:$1048576,MATCH(Kasse!H$5,Bestellungen!$A$5:$X$5,0),0))=FALSE,SUMIF(Kalkulation!$A$6:$A$40,Kasse!H$5&amp;"*",Kalkulation!$C$6:$C$40)*VLOOKUP($A142,Bestellungen!$6:$1048576,MATCH(Kasse!H$5,Bestellungen!$A$5:$X$5,0),0),"")</f>
        <v/>
      </c>
      <c r="I142" s="26" t="str">
        <f>IF(ISERROR(VLOOKUP($A142,Bestellungen!$6:$1048576,MATCH(Kasse!I$5,Bestellungen!$A$5:$X$5,0),0))=FALSE,SUMIF(Kalkulation!$A$6:$A$40,Kasse!I$5&amp;"*",Kalkulation!$C$6:$C$40)*VLOOKUP($A142,Bestellungen!$6:$1048576,MATCH(Kasse!I$5,Bestellungen!$A$5:$X$5,0),0),"")</f>
        <v/>
      </c>
      <c r="J142" s="26" t="str">
        <f>IF(ISERROR(VLOOKUP($A142,Bestellungen!$6:$1048576,MATCH(Kasse!J$5,Bestellungen!$A$5:$X$5,0),0))=FALSE,SUMIF(Kalkulation!$A$6:$A$40,Kasse!J$5&amp;"*",Kalkulation!$C$6:$C$40)*VLOOKUP($A142,Bestellungen!$6:$1048576,MATCH(Kasse!J$5,Bestellungen!$A$5:$X$5,0),0),"")</f>
        <v/>
      </c>
      <c r="K142" s="26" t="str">
        <f>IF(ISERROR(VLOOKUP($A142,Bestellungen!$6:$1048576,MATCH(Kasse!K$5,Bestellungen!$A$5:$X$5,0),0))=FALSE,SUMIF(Kalkulation!$A$6:$A$40,Kasse!K$5&amp;"*",Kalkulation!$C$6:$C$40)*VLOOKUP($A142,Bestellungen!$6:$1048576,MATCH(Kasse!K$5,Bestellungen!$A$5:$X$5,0),0),"")</f>
        <v/>
      </c>
      <c r="L142" s="26" t="str">
        <f>IF(ISERROR(VLOOKUP($A142,Bestellungen!$6:$1048576,MATCH(Kasse!L$5,Bestellungen!$A$5:$X$5,0),0))=FALSE,SUMIF(Kalkulation!$A$6:$A$40,Kasse!L$5&amp;"*",Kalkulation!$C$6:$C$40)*VLOOKUP($A142,Bestellungen!$6:$1048576,MATCH(Kasse!L$5,Bestellungen!$A$5:$X$5,0),0),"")</f>
        <v/>
      </c>
      <c r="M142" s="26" t="str">
        <f>IF(ISERROR(VLOOKUP($A142,Bestellungen!$6:$1048576,MATCH(Kasse!M$5,Bestellungen!$A$5:$X$5,0),0))=FALSE,SUMIF(Kalkulation!$A$6:$A$40,Kasse!M$5&amp;"*",Kalkulation!$C$6:$C$40)*VLOOKUP($A142,Bestellungen!$6:$1048576,MATCH(Kasse!M$5,Bestellungen!$A$5:$X$5,0),0),"")</f>
        <v/>
      </c>
      <c r="N142" s="26" t="str">
        <f>IF(ISERROR(VLOOKUP($A142,Bestellungen!$6:$1048576,MATCH(Kasse!N$5,Bestellungen!$A$5:$X$5,0),0))=FALSE,SUMIF(Kalkulation!$A$6:$A$40,Kasse!N$5&amp;"*",Kalkulation!$C$6:$C$40)*VLOOKUP($A142,Bestellungen!$6:$1048576,MATCH(Kasse!N$5,Bestellungen!$A$5:$X$5,0),0),"")</f>
        <v/>
      </c>
      <c r="O142" s="26" t="str">
        <f>IF(ISERROR(VLOOKUP($A142,Bestellungen!$6:$1048576,MATCH(Kasse!O$5,Bestellungen!$A$5:$X$5,0),0))=FALSE,SUMIF(Kalkulation!$A$6:$A$40,Kasse!O$5&amp;"*",Kalkulation!$C$6:$C$40)*VLOOKUP($A142,Bestellungen!$6:$1048576,MATCH(Kasse!O$5,Bestellungen!$A$5:$X$5,0),0),"")</f>
        <v/>
      </c>
      <c r="P142" s="26" t="str">
        <f>IF(ISERROR(VLOOKUP($A142,Bestellungen!$6:$1048576,MATCH(Kasse!P$5,Bestellungen!$A$5:$X$5,0),0))=FALSE,SUMIF(Kalkulation!$A$6:$A$40,Kasse!P$5&amp;"*",Kalkulation!$C$6:$C$40)*VLOOKUP($A142,Bestellungen!$6:$1048576,MATCH(Kasse!P$5,Bestellungen!$A$5:$X$5,0),0),"")</f>
        <v/>
      </c>
      <c r="Q142" s="26" t="str">
        <f>IF(ISERROR(VLOOKUP($A142,Bestellungen!$6:$1048576,MATCH(Kasse!Q$5,Bestellungen!$A$5:$X$5,0),0))=FALSE,SUMIF(Kalkulation!$A$6:$A$40,Kasse!Q$5&amp;"*",Kalkulation!$C$6:$C$40)*VLOOKUP($A142,Bestellungen!$6:$1048576,MATCH(Kasse!Q$5,Bestellungen!$A$5:$X$5,0),0),"")</f>
        <v/>
      </c>
      <c r="R142" s="26" t="str">
        <f>IF(ISERROR(VLOOKUP($A142,Bestellungen!$6:$1048576,MATCH(Kasse!R$5,Bestellungen!$A$5:$X$5,0),0))=FALSE,SUMIF(Kalkulation!$A$6:$A$40,Kasse!R$5&amp;"*",Kalkulation!$C$6:$C$40)*VLOOKUP($A142,Bestellungen!$6:$1048576,MATCH(Kasse!R$5,Bestellungen!$A$5:$X$5,0),0),"")</f>
        <v/>
      </c>
      <c r="S142" s="26" t="str">
        <f>IF(ISERROR(VLOOKUP($A142,Bestellungen!$6:$1048576,MATCH(Kasse!S$5,Bestellungen!$A$5:$X$5,0),0))=FALSE,SUMIF(Kalkulation!$A$6:$A$40,Kasse!S$5&amp;"*",Kalkulation!$C$6:$C$40)*VLOOKUP($A142,Bestellungen!$6:$1048576,MATCH(Kasse!S$5,Bestellungen!$A$5:$X$5,0),0),"")</f>
        <v/>
      </c>
      <c r="T142" s="26" t="str">
        <f>IF(ISERROR(VLOOKUP($A142,Bestellungen!$6:$1048576,MATCH(Kasse!T$5,Bestellungen!$A$5:$X$5,0),0))=FALSE,SUMIF(Kalkulation!$A$6:$A$40,Kasse!T$5&amp;"*",Kalkulation!$C$6:$C$40)*VLOOKUP($A142,Bestellungen!$6:$1048576,MATCH(Kasse!T$5,Bestellungen!$A$5:$X$5,0),0),"")</f>
        <v/>
      </c>
      <c r="U142" s="26" t="str">
        <f t="shared" si="4"/>
        <v/>
      </c>
      <c r="W142" s="26" t="str">
        <f t="shared" si="5"/>
        <v/>
      </c>
      <c r="X142" s="26"/>
      <c r="Y142" s="26"/>
      <c r="Z142" s="26"/>
      <c r="AA142" s="26"/>
    </row>
    <row r="143" spans="1:27" x14ac:dyDescent="0.25">
      <c r="A143" t="str">
        <f>IF(LEN(Bestellungen!$A143)&gt;0,Bestellungen!$A143,"")</f>
        <v/>
      </c>
      <c r="B143" s="26" t="str">
        <f>IF(ISERROR(VLOOKUP($A143,Bestellungen!$6:$1048576,MATCH(Kasse!B$5,Bestellungen!$A$5:$X$5,0),0))=FALSE,SUMIF(Kalkulation!$A$6:$A$40,Kasse!B$5&amp;"*",Kalkulation!$C$6:$C$40)*VLOOKUP($A143,Bestellungen!$6:$1048576,MATCH(Kasse!B$5,Bestellungen!$A$5:$X$5,0),0),"")</f>
        <v/>
      </c>
      <c r="C143" s="26" t="str">
        <f>IF(ISERROR(VLOOKUP($A143,Bestellungen!$6:$1048576,MATCH(Kasse!C$5,Bestellungen!$A$5:$X$5,0),0))=FALSE,SUMIF(Kalkulation!$A$6:$A$40,Kasse!C$5&amp;"*",Kalkulation!$C$6:$C$40)*VLOOKUP($A143,Bestellungen!$6:$1048576,MATCH(Kasse!C$5,Bestellungen!$A$5:$X$5,0),0),"")</f>
        <v/>
      </c>
      <c r="D143" s="26" t="str">
        <f>IF(ISERROR(VLOOKUP($A143,Bestellungen!$6:$1048576,MATCH(Kasse!D$5,Bestellungen!$A$5:$X$5,0),0))=FALSE,SUMIF(Kalkulation!$A$6:$A$40,Kasse!D$5&amp;"*",Kalkulation!$C$6:$C$40)*VLOOKUP($A143,Bestellungen!$6:$1048576,MATCH(Kasse!D$5,Bestellungen!$A$5:$X$5,0),0),"")</f>
        <v/>
      </c>
      <c r="E143" s="26" t="str">
        <f>IF(ISERROR(VLOOKUP($A143,Bestellungen!$6:$1048576,MATCH(Kasse!E$5,Bestellungen!$A$5:$X$5,0),0))=FALSE,SUMIF(Kalkulation!$A$6:$A$40,Kasse!E$5&amp;"*",Kalkulation!$C$6:$C$40)*VLOOKUP($A143,Bestellungen!$6:$1048576,MATCH(Kasse!E$5,Bestellungen!$A$5:$X$5,0),0),"")</f>
        <v/>
      </c>
      <c r="F143" s="26" t="str">
        <f>IF(ISERROR(VLOOKUP($A143,Bestellungen!$6:$1048576,MATCH(Kasse!F$5,Bestellungen!$A$5:$X$5,0),0))=FALSE,SUMIF(Kalkulation!$A$6:$A$40,Kasse!F$5&amp;"*",Kalkulation!$C$6:$C$40)*VLOOKUP($A143,Bestellungen!$6:$1048576,MATCH(Kasse!F$5,Bestellungen!$A$5:$X$5,0),0),"")</f>
        <v/>
      </c>
      <c r="G143" s="26" t="str">
        <f>IF(ISERROR(VLOOKUP($A143,Bestellungen!$6:$1048576,MATCH(Kasse!G$5,Bestellungen!$A$5:$X$5,0),0))=FALSE,SUMIF(Kalkulation!$A$6:$A$40,Kasse!G$5&amp;"*",Kalkulation!$C$6:$C$40)*VLOOKUP($A143,Bestellungen!$6:$1048576,MATCH(Kasse!G$5,Bestellungen!$A$5:$X$5,0),0),"")</f>
        <v/>
      </c>
      <c r="H143" s="26" t="str">
        <f>IF(ISERROR(VLOOKUP($A143,Bestellungen!$6:$1048576,MATCH(Kasse!H$5,Bestellungen!$A$5:$X$5,0),0))=FALSE,SUMIF(Kalkulation!$A$6:$A$40,Kasse!H$5&amp;"*",Kalkulation!$C$6:$C$40)*VLOOKUP($A143,Bestellungen!$6:$1048576,MATCH(Kasse!H$5,Bestellungen!$A$5:$X$5,0),0),"")</f>
        <v/>
      </c>
      <c r="I143" s="26" t="str">
        <f>IF(ISERROR(VLOOKUP($A143,Bestellungen!$6:$1048576,MATCH(Kasse!I$5,Bestellungen!$A$5:$X$5,0),0))=FALSE,SUMIF(Kalkulation!$A$6:$A$40,Kasse!I$5&amp;"*",Kalkulation!$C$6:$C$40)*VLOOKUP($A143,Bestellungen!$6:$1048576,MATCH(Kasse!I$5,Bestellungen!$A$5:$X$5,0),0),"")</f>
        <v/>
      </c>
      <c r="J143" s="26" t="str">
        <f>IF(ISERROR(VLOOKUP($A143,Bestellungen!$6:$1048576,MATCH(Kasse!J$5,Bestellungen!$A$5:$X$5,0),0))=FALSE,SUMIF(Kalkulation!$A$6:$A$40,Kasse!J$5&amp;"*",Kalkulation!$C$6:$C$40)*VLOOKUP($A143,Bestellungen!$6:$1048576,MATCH(Kasse!J$5,Bestellungen!$A$5:$X$5,0),0),"")</f>
        <v/>
      </c>
      <c r="K143" s="26" t="str">
        <f>IF(ISERROR(VLOOKUP($A143,Bestellungen!$6:$1048576,MATCH(Kasse!K$5,Bestellungen!$A$5:$X$5,0),0))=FALSE,SUMIF(Kalkulation!$A$6:$A$40,Kasse!K$5&amp;"*",Kalkulation!$C$6:$C$40)*VLOOKUP($A143,Bestellungen!$6:$1048576,MATCH(Kasse!K$5,Bestellungen!$A$5:$X$5,0),0),"")</f>
        <v/>
      </c>
      <c r="L143" s="26" t="str">
        <f>IF(ISERROR(VLOOKUP($A143,Bestellungen!$6:$1048576,MATCH(Kasse!L$5,Bestellungen!$A$5:$X$5,0),0))=FALSE,SUMIF(Kalkulation!$A$6:$A$40,Kasse!L$5&amp;"*",Kalkulation!$C$6:$C$40)*VLOOKUP($A143,Bestellungen!$6:$1048576,MATCH(Kasse!L$5,Bestellungen!$A$5:$X$5,0),0),"")</f>
        <v/>
      </c>
      <c r="M143" s="26" t="str">
        <f>IF(ISERROR(VLOOKUP($A143,Bestellungen!$6:$1048576,MATCH(Kasse!M$5,Bestellungen!$A$5:$X$5,0),0))=FALSE,SUMIF(Kalkulation!$A$6:$A$40,Kasse!M$5&amp;"*",Kalkulation!$C$6:$C$40)*VLOOKUP($A143,Bestellungen!$6:$1048576,MATCH(Kasse!M$5,Bestellungen!$A$5:$X$5,0),0),"")</f>
        <v/>
      </c>
      <c r="N143" s="26" t="str">
        <f>IF(ISERROR(VLOOKUP($A143,Bestellungen!$6:$1048576,MATCH(Kasse!N$5,Bestellungen!$A$5:$X$5,0),0))=FALSE,SUMIF(Kalkulation!$A$6:$A$40,Kasse!N$5&amp;"*",Kalkulation!$C$6:$C$40)*VLOOKUP($A143,Bestellungen!$6:$1048576,MATCH(Kasse!N$5,Bestellungen!$A$5:$X$5,0),0),"")</f>
        <v/>
      </c>
      <c r="O143" s="26" t="str">
        <f>IF(ISERROR(VLOOKUP($A143,Bestellungen!$6:$1048576,MATCH(Kasse!O$5,Bestellungen!$A$5:$X$5,0),0))=FALSE,SUMIF(Kalkulation!$A$6:$A$40,Kasse!O$5&amp;"*",Kalkulation!$C$6:$C$40)*VLOOKUP($A143,Bestellungen!$6:$1048576,MATCH(Kasse!O$5,Bestellungen!$A$5:$X$5,0),0),"")</f>
        <v/>
      </c>
      <c r="P143" s="26" t="str">
        <f>IF(ISERROR(VLOOKUP($A143,Bestellungen!$6:$1048576,MATCH(Kasse!P$5,Bestellungen!$A$5:$X$5,0),0))=FALSE,SUMIF(Kalkulation!$A$6:$A$40,Kasse!P$5&amp;"*",Kalkulation!$C$6:$C$40)*VLOOKUP($A143,Bestellungen!$6:$1048576,MATCH(Kasse!P$5,Bestellungen!$A$5:$X$5,0),0),"")</f>
        <v/>
      </c>
      <c r="Q143" s="26" t="str">
        <f>IF(ISERROR(VLOOKUP($A143,Bestellungen!$6:$1048576,MATCH(Kasse!Q$5,Bestellungen!$A$5:$X$5,0),0))=FALSE,SUMIF(Kalkulation!$A$6:$A$40,Kasse!Q$5&amp;"*",Kalkulation!$C$6:$C$40)*VLOOKUP($A143,Bestellungen!$6:$1048576,MATCH(Kasse!Q$5,Bestellungen!$A$5:$X$5,0),0),"")</f>
        <v/>
      </c>
      <c r="R143" s="26" t="str">
        <f>IF(ISERROR(VLOOKUP($A143,Bestellungen!$6:$1048576,MATCH(Kasse!R$5,Bestellungen!$A$5:$X$5,0),0))=FALSE,SUMIF(Kalkulation!$A$6:$A$40,Kasse!R$5&amp;"*",Kalkulation!$C$6:$C$40)*VLOOKUP($A143,Bestellungen!$6:$1048576,MATCH(Kasse!R$5,Bestellungen!$A$5:$X$5,0),0),"")</f>
        <v/>
      </c>
      <c r="S143" s="26" t="str">
        <f>IF(ISERROR(VLOOKUP($A143,Bestellungen!$6:$1048576,MATCH(Kasse!S$5,Bestellungen!$A$5:$X$5,0),0))=FALSE,SUMIF(Kalkulation!$A$6:$A$40,Kasse!S$5&amp;"*",Kalkulation!$C$6:$C$40)*VLOOKUP($A143,Bestellungen!$6:$1048576,MATCH(Kasse!S$5,Bestellungen!$A$5:$X$5,0),0),"")</f>
        <v/>
      </c>
      <c r="T143" s="26" t="str">
        <f>IF(ISERROR(VLOOKUP($A143,Bestellungen!$6:$1048576,MATCH(Kasse!T$5,Bestellungen!$A$5:$X$5,0),0))=FALSE,SUMIF(Kalkulation!$A$6:$A$40,Kasse!T$5&amp;"*",Kalkulation!$C$6:$C$40)*VLOOKUP($A143,Bestellungen!$6:$1048576,MATCH(Kasse!T$5,Bestellungen!$A$5:$X$5,0),0),"")</f>
        <v/>
      </c>
      <c r="U143" s="26" t="str">
        <f t="shared" si="4"/>
        <v/>
      </c>
      <c r="W143" s="26" t="str">
        <f t="shared" si="5"/>
        <v/>
      </c>
      <c r="X143" s="26"/>
      <c r="Y143" s="26"/>
      <c r="Z143" s="26"/>
      <c r="AA143" s="26"/>
    </row>
    <row r="144" spans="1:27" x14ac:dyDescent="0.25">
      <c r="A144" t="str">
        <f>IF(LEN(Bestellungen!$A144)&gt;0,Bestellungen!$A144,"")</f>
        <v/>
      </c>
      <c r="B144" s="26" t="str">
        <f>IF(ISERROR(VLOOKUP($A144,Bestellungen!$6:$1048576,MATCH(Kasse!B$5,Bestellungen!$A$5:$X$5,0),0))=FALSE,SUMIF(Kalkulation!$A$6:$A$40,Kasse!B$5&amp;"*",Kalkulation!$C$6:$C$40)*VLOOKUP($A144,Bestellungen!$6:$1048576,MATCH(Kasse!B$5,Bestellungen!$A$5:$X$5,0),0),"")</f>
        <v/>
      </c>
      <c r="C144" s="26" t="str">
        <f>IF(ISERROR(VLOOKUP($A144,Bestellungen!$6:$1048576,MATCH(Kasse!C$5,Bestellungen!$A$5:$X$5,0),0))=FALSE,SUMIF(Kalkulation!$A$6:$A$40,Kasse!C$5&amp;"*",Kalkulation!$C$6:$C$40)*VLOOKUP($A144,Bestellungen!$6:$1048576,MATCH(Kasse!C$5,Bestellungen!$A$5:$X$5,0),0),"")</f>
        <v/>
      </c>
      <c r="D144" s="26" t="str">
        <f>IF(ISERROR(VLOOKUP($A144,Bestellungen!$6:$1048576,MATCH(Kasse!D$5,Bestellungen!$A$5:$X$5,0),0))=FALSE,SUMIF(Kalkulation!$A$6:$A$40,Kasse!D$5&amp;"*",Kalkulation!$C$6:$C$40)*VLOOKUP($A144,Bestellungen!$6:$1048576,MATCH(Kasse!D$5,Bestellungen!$A$5:$X$5,0),0),"")</f>
        <v/>
      </c>
      <c r="E144" s="26" t="str">
        <f>IF(ISERROR(VLOOKUP($A144,Bestellungen!$6:$1048576,MATCH(Kasse!E$5,Bestellungen!$A$5:$X$5,0),0))=FALSE,SUMIF(Kalkulation!$A$6:$A$40,Kasse!E$5&amp;"*",Kalkulation!$C$6:$C$40)*VLOOKUP($A144,Bestellungen!$6:$1048576,MATCH(Kasse!E$5,Bestellungen!$A$5:$X$5,0),0),"")</f>
        <v/>
      </c>
      <c r="F144" s="26" t="str">
        <f>IF(ISERROR(VLOOKUP($A144,Bestellungen!$6:$1048576,MATCH(Kasse!F$5,Bestellungen!$A$5:$X$5,0),0))=FALSE,SUMIF(Kalkulation!$A$6:$A$40,Kasse!F$5&amp;"*",Kalkulation!$C$6:$C$40)*VLOOKUP($A144,Bestellungen!$6:$1048576,MATCH(Kasse!F$5,Bestellungen!$A$5:$X$5,0),0),"")</f>
        <v/>
      </c>
      <c r="G144" s="26" t="str">
        <f>IF(ISERROR(VLOOKUP($A144,Bestellungen!$6:$1048576,MATCH(Kasse!G$5,Bestellungen!$A$5:$X$5,0),0))=FALSE,SUMIF(Kalkulation!$A$6:$A$40,Kasse!G$5&amp;"*",Kalkulation!$C$6:$C$40)*VLOOKUP($A144,Bestellungen!$6:$1048576,MATCH(Kasse!G$5,Bestellungen!$A$5:$X$5,0),0),"")</f>
        <v/>
      </c>
      <c r="H144" s="26" t="str">
        <f>IF(ISERROR(VLOOKUP($A144,Bestellungen!$6:$1048576,MATCH(Kasse!H$5,Bestellungen!$A$5:$X$5,0),0))=FALSE,SUMIF(Kalkulation!$A$6:$A$40,Kasse!H$5&amp;"*",Kalkulation!$C$6:$C$40)*VLOOKUP($A144,Bestellungen!$6:$1048576,MATCH(Kasse!H$5,Bestellungen!$A$5:$X$5,0),0),"")</f>
        <v/>
      </c>
      <c r="I144" s="26" t="str">
        <f>IF(ISERROR(VLOOKUP($A144,Bestellungen!$6:$1048576,MATCH(Kasse!I$5,Bestellungen!$A$5:$X$5,0),0))=FALSE,SUMIF(Kalkulation!$A$6:$A$40,Kasse!I$5&amp;"*",Kalkulation!$C$6:$C$40)*VLOOKUP($A144,Bestellungen!$6:$1048576,MATCH(Kasse!I$5,Bestellungen!$A$5:$X$5,0),0),"")</f>
        <v/>
      </c>
      <c r="J144" s="26" t="str">
        <f>IF(ISERROR(VLOOKUP($A144,Bestellungen!$6:$1048576,MATCH(Kasse!J$5,Bestellungen!$A$5:$X$5,0),0))=FALSE,SUMIF(Kalkulation!$A$6:$A$40,Kasse!J$5&amp;"*",Kalkulation!$C$6:$C$40)*VLOOKUP($A144,Bestellungen!$6:$1048576,MATCH(Kasse!J$5,Bestellungen!$A$5:$X$5,0),0),"")</f>
        <v/>
      </c>
      <c r="K144" s="26" t="str">
        <f>IF(ISERROR(VLOOKUP($A144,Bestellungen!$6:$1048576,MATCH(Kasse!K$5,Bestellungen!$A$5:$X$5,0),0))=FALSE,SUMIF(Kalkulation!$A$6:$A$40,Kasse!K$5&amp;"*",Kalkulation!$C$6:$C$40)*VLOOKUP($A144,Bestellungen!$6:$1048576,MATCH(Kasse!K$5,Bestellungen!$A$5:$X$5,0),0),"")</f>
        <v/>
      </c>
      <c r="L144" s="26" t="str">
        <f>IF(ISERROR(VLOOKUP($A144,Bestellungen!$6:$1048576,MATCH(Kasse!L$5,Bestellungen!$A$5:$X$5,0),0))=FALSE,SUMIF(Kalkulation!$A$6:$A$40,Kasse!L$5&amp;"*",Kalkulation!$C$6:$C$40)*VLOOKUP($A144,Bestellungen!$6:$1048576,MATCH(Kasse!L$5,Bestellungen!$A$5:$X$5,0),0),"")</f>
        <v/>
      </c>
      <c r="M144" s="26" t="str">
        <f>IF(ISERROR(VLOOKUP($A144,Bestellungen!$6:$1048576,MATCH(Kasse!M$5,Bestellungen!$A$5:$X$5,0),0))=FALSE,SUMIF(Kalkulation!$A$6:$A$40,Kasse!M$5&amp;"*",Kalkulation!$C$6:$C$40)*VLOOKUP($A144,Bestellungen!$6:$1048576,MATCH(Kasse!M$5,Bestellungen!$A$5:$X$5,0),0),"")</f>
        <v/>
      </c>
      <c r="N144" s="26" t="str">
        <f>IF(ISERROR(VLOOKUP($A144,Bestellungen!$6:$1048576,MATCH(Kasse!N$5,Bestellungen!$A$5:$X$5,0),0))=FALSE,SUMIF(Kalkulation!$A$6:$A$40,Kasse!N$5&amp;"*",Kalkulation!$C$6:$C$40)*VLOOKUP($A144,Bestellungen!$6:$1048576,MATCH(Kasse!N$5,Bestellungen!$A$5:$X$5,0),0),"")</f>
        <v/>
      </c>
      <c r="O144" s="26" t="str">
        <f>IF(ISERROR(VLOOKUP($A144,Bestellungen!$6:$1048576,MATCH(Kasse!O$5,Bestellungen!$A$5:$X$5,0),0))=FALSE,SUMIF(Kalkulation!$A$6:$A$40,Kasse!O$5&amp;"*",Kalkulation!$C$6:$C$40)*VLOOKUP($A144,Bestellungen!$6:$1048576,MATCH(Kasse!O$5,Bestellungen!$A$5:$X$5,0),0),"")</f>
        <v/>
      </c>
      <c r="P144" s="26" t="str">
        <f>IF(ISERROR(VLOOKUP($A144,Bestellungen!$6:$1048576,MATCH(Kasse!P$5,Bestellungen!$A$5:$X$5,0),0))=FALSE,SUMIF(Kalkulation!$A$6:$A$40,Kasse!P$5&amp;"*",Kalkulation!$C$6:$C$40)*VLOOKUP($A144,Bestellungen!$6:$1048576,MATCH(Kasse!P$5,Bestellungen!$A$5:$X$5,0),0),"")</f>
        <v/>
      </c>
      <c r="Q144" s="26" t="str">
        <f>IF(ISERROR(VLOOKUP($A144,Bestellungen!$6:$1048576,MATCH(Kasse!Q$5,Bestellungen!$A$5:$X$5,0),0))=FALSE,SUMIF(Kalkulation!$A$6:$A$40,Kasse!Q$5&amp;"*",Kalkulation!$C$6:$C$40)*VLOOKUP($A144,Bestellungen!$6:$1048576,MATCH(Kasse!Q$5,Bestellungen!$A$5:$X$5,0),0),"")</f>
        <v/>
      </c>
      <c r="R144" s="26" t="str">
        <f>IF(ISERROR(VLOOKUP($A144,Bestellungen!$6:$1048576,MATCH(Kasse!R$5,Bestellungen!$A$5:$X$5,0),0))=FALSE,SUMIF(Kalkulation!$A$6:$A$40,Kasse!R$5&amp;"*",Kalkulation!$C$6:$C$40)*VLOOKUP($A144,Bestellungen!$6:$1048576,MATCH(Kasse!R$5,Bestellungen!$A$5:$X$5,0),0),"")</f>
        <v/>
      </c>
      <c r="S144" s="26" t="str">
        <f>IF(ISERROR(VLOOKUP($A144,Bestellungen!$6:$1048576,MATCH(Kasse!S$5,Bestellungen!$A$5:$X$5,0),0))=FALSE,SUMIF(Kalkulation!$A$6:$A$40,Kasse!S$5&amp;"*",Kalkulation!$C$6:$C$40)*VLOOKUP($A144,Bestellungen!$6:$1048576,MATCH(Kasse!S$5,Bestellungen!$A$5:$X$5,0),0),"")</f>
        <v/>
      </c>
      <c r="T144" s="26" t="str">
        <f>IF(ISERROR(VLOOKUP($A144,Bestellungen!$6:$1048576,MATCH(Kasse!T$5,Bestellungen!$A$5:$X$5,0),0))=FALSE,SUMIF(Kalkulation!$A$6:$A$40,Kasse!T$5&amp;"*",Kalkulation!$C$6:$C$40)*VLOOKUP($A144,Bestellungen!$6:$1048576,MATCH(Kasse!T$5,Bestellungen!$A$5:$X$5,0),0),"")</f>
        <v/>
      </c>
      <c r="U144" s="26" t="str">
        <f t="shared" si="4"/>
        <v/>
      </c>
      <c r="W144" s="26" t="str">
        <f t="shared" si="5"/>
        <v/>
      </c>
      <c r="X144" s="26"/>
      <c r="Y144" s="26"/>
      <c r="Z144" s="26"/>
      <c r="AA144" s="26"/>
    </row>
    <row r="145" spans="1:27" x14ac:dyDescent="0.25">
      <c r="A145" t="str">
        <f>IF(LEN(Bestellungen!$A145)&gt;0,Bestellungen!$A145,"")</f>
        <v/>
      </c>
      <c r="B145" s="26" t="str">
        <f>IF(ISERROR(VLOOKUP($A145,Bestellungen!$6:$1048576,MATCH(Kasse!B$5,Bestellungen!$A$5:$X$5,0),0))=FALSE,SUMIF(Kalkulation!$A$6:$A$40,Kasse!B$5&amp;"*",Kalkulation!$C$6:$C$40)*VLOOKUP($A145,Bestellungen!$6:$1048576,MATCH(Kasse!B$5,Bestellungen!$A$5:$X$5,0),0),"")</f>
        <v/>
      </c>
      <c r="C145" s="26" t="str">
        <f>IF(ISERROR(VLOOKUP($A145,Bestellungen!$6:$1048576,MATCH(Kasse!C$5,Bestellungen!$A$5:$X$5,0),0))=FALSE,SUMIF(Kalkulation!$A$6:$A$40,Kasse!C$5&amp;"*",Kalkulation!$C$6:$C$40)*VLOOKUP($A145,Bestellungen!$6:$1048576,MATCH(Kasse!C$5,Bestellungen!$A$5:$X$5,0),0),"")</f>
        <v/>
      </c>
      <c r="D145" s="26" t="str">
        <f>IF(ISERROR(VLOOKUP($A145,Bestellungen!$6:$1048576,MATCH(Kasse!D$5,Bestellungen!$A$5:$X$5,0),0))=FALSE,SUMIF(Kalkulation!$A$6:$A$40,Kasse!D$5&amp;"*",Kalkulation!$C$6:$C$40)*VLOOKUP($A145,Bestellungen!$6:$1048576,MATCH(Kasse!D$5,Bestellungen!$A$5:$X$5,0),0),"")</f>
        <v/>
      </c>
      <c r="E145" s="26" t="str">
        <f>IF(ISERROR(VLOOKUP($A145,Bestellungen!$6:$1048576,MATCH(Kasse!E$5,Bestellungen!$A$5:$X$5,0),0))=FALSE,SUMIF(Kalkulation!$A$6:$A$40,Kasse!E$5&amp;"*",Kalkulation!$C$6:$C$40)*VLOOKUP($A145,Bestellungen!$6:$1048576,MATCH(Kasse!E$5,Bestellungen!$A$5:$X$5,0),0),"")</f>
        <v/>
      </c>
      <c r="F145" s="26" t="str">
        <f>IF(ISERROR(VLOOKUP($A145,Bestellungen!$6:$1048576,MATCH(Kasse!F$5,Bestellungen!$A$5:$X$5,0),0))=FALSE,SUMIF(Kalkulation!$A$6:$A$40,Kasse!F$5&amp;"*",Kalkulation!$C$6:$C$40)*VLOOKUP($A145,Bestellungen!$6:$1048576,MATCH(Kasse!F$5,Bestellungen!$A$5:$X$5,0),0),"")</f>
        <v/>
      </c>
      <c r="G145" s="26" t="str">
        <f>IF(ISERROR(VLOOKUP($A145,Bestellungen!$6:$1048576,MATCH(Kasse!G$5,Bestellungen!$A$5:$X$5,0),0))=FALSE,SUMIF(Kalkulation!$A$6:$A$40,Kasse!G$5&amp;"*",Kalkulation!$C$6:$C$40)*VLOOKUP($A145,Bestellungen!$6:$1048576,MATCH(Kasse!G$5,Bestellungen!$A$5:$X$5,0),0),"")</f>
        <v/>
      </c>
      <c r="H145" s="26" t="str">
        <f>IF(ISERROR(VLOOKUP($A145,Bestellungen!$6:$1048576,MATCH(Kasse!H$5,Bestellungen!$A$5:$X$5,0),0))=FALSE,SUMIF(Kalkulation!$A$6:$A$40,Kasse!H$5&amp;"*",Kalkulation!$C$6:$C$40)*VLOOKUP($A145,Bestellungen!$6:$1048576,MATCH(Kasse!H$5,Bestellungen!$A$5:$X$5,0),0),"")</f>
        <v/>
      </c>
      <c r="I145" s="26" t="str">
        <f>IF(ISERROR(VLOOKUP($A145,Bestellungen!$6:$1048576,MATCH(Kasse!I$5,Bestellungen!$A$5:$X$5,0),0))=FALSE,SUMIF(Kalkulation!$A$6:$A$40,Kasse!I$5&amp;"*",Kalkulation!$C$6:$C$40)*VLOOKUP($A145,Bestellungen!$6:$1048576,MATCH(Kasse!I$5,Bestellungen!$A$5:$X$5,0),0),"")</f>
        <v/>
      </c>
      <c r="J145" s="26" t="str">
        <f>IF(ISERROR(VLOOKUP($A145,Bestellungen!$6:$1048576,MATCH(Kasse!J$5,Bestellungen!$A$5:$X$5,0),0))=FALSE,SUMIF(Kalkulation!$A$6:$A$40,Kasse!J$5&amp;"*",Kalkulation!$C$6:$C$40)*VLOOKUP($A145,Bestellungen!$6:$1048576,MATCH(Kasse!J$5,Bestellungen!$A$5:$X$5,0),0),"")</f>
        <v/>
      </c>
      <c r="K145" s="26" t="str">
        <f>IF(ISERROR(VLOOKUP($A145,Bestellungen!$6:$1048576,MATCH(Kasse!K$5,Bestellungen!$A$5:$X$5,0),0))=FALSE,SUMIF(Kalkulation!$A$6:$A$40,Kasse!K$5&amp;"*",Kalkulation!$C$6:$C$40)*VLOOKUP($A145,Bestellungen!$6:$1048576,MATCH(Kasse!K$5,Bestellungen!$A$5:$X$5,0),0),"")</f>
        <v/>
      </c>
      <c r="L145" s="26" t="str">
        <f>IF(ISERROR(VLOOKUP($A145,Bestellungen!$6:$1048576,MATCH(Kasse!L$5,Bestellungen!$A$5:$X$5,0),0))=FALSE,SUMIF(Kalkulation!$A$6:$A$40,Kasse!L$5&amp;"*",Kalkulation!$C$6:$C$40)*VLOOKUP($A145,Bestellungen!$6:$1048576,MATCH(Kasse!L$5,Bestellungen!$A$5:$X$5,0),0),"")</f>
        <v/>
      </c>
      <c r="M145" s="26" t="str">
        <f>IF(ISERROR(VLOOKUP($A145,Bestellungen!$6:$1048576,MATCH(Kasse!M$5,Bestellungen!$A$5:$X$5,0),0))=FALSE,SUMIF(Kalkulation!$A$6:$A$40,Kasse!M$5&amp;"*",Kalkulation!$C$6:$C$40)*VLOOKUP($A145,Bestellungen!$6:$1048576,MATCH(Kasse!M$5,Bestellungen!$A$5:$X$5,0),0),"")</f>
        <v/>
      </c>
      <c r="N145" s="26" t="str">
        <f>IF(ISERROR(VLOOKUP($A145,Bestellungen!$6:$1048576,MATCH(Kasse!N$5,Bestellungen!$A$5:$X$5,0),0))=FALSE,SUMIF(Kalkulation!$A$6:$A$40,Kasse!N$5&amp;"*",Kalkulation!$C$6:$C$40)*VLOOKUP($A145,Bestellungen!$6:$1048576,MATCH(Kasse!N$5,Bestellungen!$A$5:$X$5,0),0),"")</f>
        <v/>
      </c>
      <c r="O145" s="26" t="str">
        <f>IF(ISERROR(VLOOKUP($A145,Bestellungen!$6:$1048576,MATCH(Kasse!O$5,Bestellungen!$A$5:$X$5,0),0))=FALSE,SUMIF(Kalkulation!$A$6:$A$40,Kasse!O$5&amp;"*",Kalkulation!$C$6:$C$40)*VLOOKUP($A145,Bestellungen!$6:$1048576,MATCH(Kasse!O$5,Bestellungen!$A$5:$X$5,0),0),"")</f>
        <v/>
      </c>
      <c r="P145" s="26" t="str">
        <f>IF(ISERROR(VLOOKUP($A145,Bestellungen!$6:$1048576,MATCH(Kasse!P$5,Bestellungen!$A$5:$X$5,0),0))=FALSE,SUMIF(Kalkulation!$A$6:$A$40,Kasse!P$5&amp;"*",Kalkulation!$C$6:$C$40)*VLOOKUP($A145,Bestellungen!$6:$1048576,MATCH(Kasse!P$5,Bestellungen!$A$5:$X$5,0),0),"")</f>
        <v/>
      </c>
      <c r="Q145" s="26" t="str">
        <f>IF(ISERROR(VLOOKUP($A145,Bestellungen!$6:$1048576,MATCH(Kasse!Q$5,Bestellungen!$A$5:$X$5,0),0))=FALSE,SUMIF(Kalkulation!$A$6:$A$40,Kasse!Q$5&amp;"*",Kalkulation!$C$6:$C$40)*VLOOKUP($A145,Bestellungen!$6:$1048576,MATCH(Kasse!Q$5,Bestellungen!$A$5:$X$5,0),0),"")</f>
        <v/>
      </c>
      <c r="R145" s="26" t="str">
        <f>IF(ISERROR(VLOOKUP($A145,Bestellungen!$6:$1048576,MATCH(Kasse!R$5,Bestellungen!$A$5:$X$5,0),0))=FALSE,SUMIF(Kalkulation!$A$6:$A$40,Kasse!R$5&amp;"*",Kalkulation!$C$6:$C$40)*VLOOKUP($A145,Bestellungen!$6:$1048576,MATCH(Kasse!R$5,Bestellungen!$A$5:$X$5,0),0),"")</f>
        <v/>
      </c>
      <c r="S145" s="26" t="str">
        <f>IF(ISERROR(VLOOKUP($A145,Bestellungen!$6:$1048576,MATCH(Kasse!S$5,Bestellungen!$A$5:$X$5,0),0))=FALSE,SUMIF(Kalkulation!$A$6:$A$40,Kasse!S$5&amp;"*",Kalkulation!$C$6:$C$40)*VLOOKUP($A145,Bestellungen!$6:$1048576,MATCH(Kasse!S$5,Bestellungen!$A$5:$X$5,0),0),"")</f>
        <v/>
      </c>
      <c r="T145" s="26" t="str">
        <f>IF(ISERROR(VLOOKUP($A145,Bestellungen!$6:$1048576,MATCH(Kasse!T$5,Bestellungen!$A$5:$X$5,0),0))=FALSE,SUMIF(Kalkulation!$A$6:$A$40,Kasse!T$5&amp;"*",Kalkulation!$C$6:$C$40)*VLOOKUP($A145,Bestellungen!$6:$1048576,MATCH(Kasse!T$5,Bestellungen!$A$5:$X$5,0),0),"")</f>
        <v/>
      </c>
      <c r="U145" s="26" t="str">
        <f t="shared" si="4"/>
        <v/>
      </c>
      <c r="W145" s="26" t="str">
        <f t="shared" si="5"/>
        <v/>
      </c>
      <c r="X145" s="26"/>
      <c r="Y145" s="26"/>
      <c r="Z145" s="26"/>
      <c r="AA145" s="26"/>
    </row>
    <row r="146" spans="1:27" x14ac:dyDescent="0.25">
      <c r="A146" t="str">
        <f>IF(LEN(Bestellungen!$A146)&gt;0,Bestellungen!$A146,"")</f>
        <v/>
      </c>
      <c r="B146" s="26" t="str">
        <f>IF(ISERROR(VLOOKUP($A146,Bestellungen!$6:$1048576,MATCH(Kasse!B$5,Bestellungen!$A$5:$X$5,0),0))=FALSE,SUMIF(Kalkulation!$A$6:$A$40,Kasse!B$5&amp;"*",Kalkulation!$C$6:$C$40)*VLOOKUP($A146,Bestellungen!$6:$1048576,MATCH(Kasse!B$5,Bestellungen!$A$5:$X$5,0),0),"")</f>
        <v/>
      </c>
      <c r="C146" s="26" t="str">
        <f>IF(ISERROR(VLOOKUP($A146,Bestellungen!$6:$1048576,MATCH(Kasse!C$5,Bestellungen!$A$5:$X$5,0),0))=FALSE,SUMIF(Kalkulation!$A$6:$A$40,Kasse!C$5&amp;"*",Kalkulation!$C$6:$C$40)*VLOOKUP($A146,Bestellungen!$6:$1048576,MATCH(Kasse!C$5,Bestellungen!$A$5:$X$5,0),0),"")</f>
        <v/>
      </c>
      <c r="D146" s="26" t="str">
        <f>IF(ISERROR(VLOOKUP($A146,Bestellungen!$6:$1048576,MATCH(Kasse!D$5,Bestellungen!$A$5:$X$5,0),0))=FALSE,SUMIF(Kalkulation!$A$6:$A$40,Kasse!D$5&amp;"*",Kalkulation!$C$6:$C$40)*VLOOKUP($A146,Bestellungen!$6:$1048576,MATCH(Kasse!D$5,Bestellungen!$A$5:$X$5,0),0),"")</f>
        <v/>
      </c>
      <c r="E146" s="26" t="str">
        <f>IF(ISERROR(VLOOKUP($A146,Bestellungen!$6:$1048576,MATCH(Kasse!E$5,Bestellungen!$A$5:$X$5,0),0))=FALSE,SUMIF(Kalkulation!$A$6:$A$40,Kasse!E$5&amp;"*",Kalkulation!$C$6:$C$40)*VLOOKUP($A146,Bestellungen!$6:$1048576,MATCH(Kasse!E$5,Bestellungen!$A$5:$X$5,0),0),"")</f>
        <v/>
      </c>
      <c r="F146" s="26" t="str">
        <f>IF(ISERROR(VLOOKUP($A146,Bestellungen!$6:$1048576,MATCH(Kasse!F$5,Bestellungen!$A$5:$X$5,0),0))=FALSE,SUMIF(Kalkulation!$A$6:$A$40,Kasse!F$5&amp;"*",Kalkulation!$C$6:$C$40)*VLOOKUP($A146,Bestellungen!$6:$1048576,MATCH(Kasse!F$5,Bestellungen!$A$5:$X$5,0),0),"")</f>
        <v/>
      </c>
      <c r="G146" s="26" t="str">
        <f>IF(ISERROR(VLOOKUP($A146,Bestellungen!$6:$1048576,MATCH(Kasse!G$5,Bestellungen!$A$5:$X$5,0),0))=FALSE,SUMIF(Kalkulation!$A$6:$A$40,Kasse!G$5&amp;"*",Kalkulation!$C$6:$C$40)*VLOOKUP($A146,Bestellungen!$6:$1048576,MATCH(Kasse!G$5,Bestellungen!$A$5:$X$5,0),0),"")</f>
        <v/>
      </c>
      <c r="H146" s="26" t="str">
        <f>IF(ISERROR(VLOOKUP($A146,Bestellungen!$6:$1048576,MATCH(Kasse!H$5,Bestellungen!$A$5:$X$5,0),0))=FALSE,SUMIF(Kalkulation!$A$6:$A$40,Kasse!H$5&amp;"*",Kalkulation!$C$6:$C$40)*VLOOKUP($A146,Bestellungen!$6:$1048576,MATCH(Kasse!H$5,Bestellungen!$A$5:$X$5,0),0),"")</f>
        <v/>
      </c>
      <c r="I146" s="26" t="str">
        <f>IF(ISERROR(VLOOKUP($A146,Bestellungen!$6:$1048576,MATCH(Kasse!I$5,Bestellungen!$A$5:$X$5,0),0))=FALSE,SUMIF(Kalkulation!$A$6:$A$40,Kasse!I$5&amp;"*",Kalkulation!$C$6:$C$40)*VLOOKUP($A146,Bestellungen!$6:$1048576,MATCH(Kasse!I$5,Bestellungen!$A$5:$X$5,0),0),"")</f>
        <v/>
      </c>
      <c r="J146" s="26" t="str">
        <f>IF(ISERROR(VLOOKUP($A146,Bestellungen!$6:$1048576,MATCH(Kasse!J$5,Bestellungen!$A$5:$X$5,0),0))=FALSE,SUMIF(Kalkulation!$A$6:$A$40,Kasse!J$5&amp;"*",Kalkulation!$C$6:$C$40)*VLOOKUP($A146,Bestellungen!$6:$1048576,MATCH(Kasse!J$5,Bestellungen!$A$5:$X$5,0),0),"")</f>
        <v/>
      </c>
      <c r="K146" s="26" t="str">
        <f>IF(ISERROR(VLOOKUP($A146,Bestellungen!$6:$1048576,MATCH(Kasse!K$5,Bestellungen!$A$5:$X$5,0),0))=FALSE,SUMIF(Kalkulation!$A$6:$A$40,Kasse!K$5&amp;"*",Kalkulation!$C$6:$C$40)*VLOOKUP($A146,Bestellungen!$6:$1048576,MATCH(Kasse!K$5,Bestellungen!$A$5:$X$5,0),0),"")</f>
        <v/>
      </c>
      <c r="L146" s="26" t="str">
        <f>IF(ISERROR(VLOOKUP($A146,Bestellungen!$6:$1048576,MATCH(Kasse!L$5,Bestellungen!$A$5:$X$5,0),0))=FALSE,SUMIF(Kalkulation!$A$6:$A$40,Kasse!L$5&amp;"*",Kalkulation!$C$6:$C$40)*VLOOKUP($A146,Bestellungen!$6:$1048576,MATCH(Kasse!L$5,Bestellungen!$A$5:$X$5,0),0),"")</f>
        <v/>
      </c>
      <c r="M146" s="26" t="str">
        <f>IF(ISERROR(VLOOKUP($A146,Bestellungen!$6:$1048576,MATCH(Kasse!M$5,Bestellungen!$A$5:$X$5,0),0))=FALSE,SUMIF(Kalkulation!$A$6:$A$40,Kasse!M$5&amp;"*",Kalkulation!$C$6:$C$40)*VLOOKUP($A146,Bestellungen!$6:$1048576,MATCH(Kasse!M$5,Bestellungen!$A$5:$X$5,0),0),"")</f>
        <v/>
      </c>
      <c r="N146" s="26" t="str">
        <f>IF(ISERROR(VLOOKUP($A146,Bestellungen!$6:$1048576,MATCH(Kasse!N$5,Bestellungen!$A$5:$X$5,0),0))=FALSE,SUMIF(Kalkulation!$A$6:$A$40,Kasse!N$5&amp;"*",Kalkulation!$C$6:$C$40)*VLOOKUP($A146,Bestellungen!$6:$1048576,MATCH(Kasse!N$5,Bestellungen!$A$5:$X$5,0),0),"")</f>
        <v/>
      </c>
      <c r="O146" s="26" t="str">
        <f>IF(ISERROR(VLOOKUP($A146,Bestellungen!$6:$1048576,MATCH(Kasse!O$5,Bestellungen!$A$5:$X$5,0),0))=FALSE,SUMIF(Kalkulation!$A$6:$A$40,Kasse!O$5&amp;"*",Kalkulation!$C$6:$C$40)*VLOOKUP($A146,Bestellungen!$6:$1048576,MATCH(Kasse!O$5,Bestellungen!$A$5:$X$5,0),0),"")</f>
        <v/>
      </c>
      <c r="P146" s="26" t="str">
        <f>IF(ISERROR(VLOOKUP($A146,Bestellungen!$6:$1048576,MATCH(Kasse!P$5,Bestellungen!$A$5:$X$5,0),0))=FALSE,SUMIF(Kalkulation!$A$6:$A$40,Kasse!P$5&amp;"*",Kalkulation!$C$6:$C$40)*VLOOKUP($A146,Bestellungen!$6:$1048576,MATCH(Kasse!P$5,Bestellungen!$A$5:$X$5,0),0),"")</f>
        <v/>
      </c>
      <c r="Q146" s="26" t="str">
        <f>IF(ISERROR(VLOOKUP($A146,Bestellungen!$6:$1048576,MATCH(Kasse!Q$5,Bestellungen!$A$5:$X$5,0),0))=FALSE,SUMIF(Kalkulation!$A$6:$A$40,Kasse!Q$5&amp;"*",Kalkulation!$C$6:$C$40)*VLOOKUP($A146,Bestellungen!$6:$1048576,MATCH(Kasse!Q$5,Bestellungen!$A$5:$X$5,0),0),"")</f>
        <v/>
      </c>
      <c r="R146" s="26" t="str">
        <f>IF(ISERROR(VLOOKUP($A146,Bestellungen!$6:$1048576,MATCH(Kasse!R$5,Bestellungen!$A$5:$X$5,0),0))=FALSE,SUMIF(Kalkulation!$A$6:$A$40,Kasse!R$5&amp;"*",Kalkulation!$C$6:$C$40)*VLOOKUP($A146,Bestellungen!$6:$1048576,MATCH(Kasse!R$5,Bestellungen!$A$5:$X$5,0),0),"")</f>
        <v/>
      </c>
      <c r="S146" s="26" t="str">
        <f>IF(ISERROR(VLOOKUP($A146,Bestellungen!$6:$1048576,MATCH(Kasse!S$5,Bestellungen!$A$5:$X$5,0),0))=FALSE,SUMIF(Kalkulation!$A$6:$A$40,Kasse!S$5&amp;"*",Kalkulation!$C$6:$C$40)*VLOOKUP($A146,Bestellungen!$6:$1048576,MATCH(Kasse!S$5,Bestellungen!$A$5:$X$5,0),0),"")</f>
        <v/>
      </c>
      <c r="T146" s="26" t="str">
        <f>IF(ISERROR(VLOOKUP($A146,Bestellungen!$6:$1048576,MATCH(Kasse!T$5,Bestellungen!$A$5:$X$5,0),0))=FALSE,SUMIF(Kalkulation!$A$6:$A$40,Kasse!T$5&amp;"*",Kalkulation!$C$6:$C$40)*VLOOKUP($A146,Bestellungen!$6:$1048576,MATCH(Kasse!T$5,Bestellungen!$A$5:$X$5,0),0),"")</f>
        <v/>
      </c>
      <c r="U146" s="26" t="str">
        <f t="shared" si="4"/>
        <v/>
      </c>
      <c r="W146" s="26" t="str">
        <f t="shared" si="5"/>
        <v/>
      </c>
      <c r="X146" s="26"/>
      <c r="Y146" s="26"/>
      <c r="Z146" s="26"/>
      <c r="AA146" s="26"/>
    </row>
    <row r="147" spans="1:27" x14ac:dyDescent="0.25">
      <c r="A147" t="str">
        <f>IF(LEN(Bestellungen!$A147)&gt;0,Bestellungen!$A147,"")</f>
        <v/>
      </c>
      <c r="B147" s="26" t="str">
        <f>IF(ISERROR(VLOOKUP($A147,Bestellungen!$6:$1048576,MATCH(Kasse!B$5,Bestellungen!$A$5:$X$5,0),0))=FALSE,SUMIF(Kalkulation!$A$6:$A$40,Kasse!B$5&amp;"*",Kalkulation!$C$6:$C$40)*VLOOKUP($A147,Bestellungen!$6:$1048576,MATCH(Kasse!B$5,Bestellungen!$A$5:$X$5,0),0),"")</f>
        <v/>
      </c>
      <c r="C147" s="26" t="str">
        <f>IF(ISERROR(VLOOKUP($A147,Bestellungen!$6:$1048576,MATCH(Kasse!C$5,Bestellungen!$A$5:$X$5,0),0))=FALSE,SUMIF(Kalkulation!$A$6:$A$40,Kasse!C$5&amp;"*",Kalkulation!$C$6:$C$40)*VLOOKUP($A147,Bestellungen!$6:$1048576,MATCH(Kasse!C$5,Bestellungen!$A$5:$X$5,0),0),"")</f>
        <v/>
      </c>
      <c r="D147" s="26" t="str">
        <f>IF(ISERROR(VLOOKUP($A147,Bestellungen!$6:$1048576,MATCH(Kasse!D$5,Bestellungen!$A$5:$X$5,0),0))=FALSE,SUMIF(Kalkulation!$A$6:$A$40,Kasse!D$5&amp;"*",Kalkulation!$C$6:$C$40)*VLOOKUP($A147,Bestellungen!$6:$1048576,MATCH(Kasse!D$5,Bestellungen!$A$5:$X$5,0),0),"")</f>
        <v/>
      </c>
      <c r="E147" s="26" t="str">
        <f>IF(ISERROR(VLOOKUP($A147,Bestellungen!$6:$1048576,MATCH(Kasse!E$5,Bestellungen!$A$5:$X$5,0),0))=FALSE,SUMIF(Kalkulation!$A$6:$A$40,Kasse!E$5&amp;"*",Kalkulation!$C$6:$C$40)*VLOOKUP($A147,Bestellungen!$6:$1048576,MATCH(Kasse!E$5,Bestellungen!$A$5:$X$5,0),0),"")</f>
        <v/>
      </c>
      <c r="F147" s="26" t="str">
        <f>IF(ISERROR(VLOOKUP($A147,Bestellungen!$6:$1048576,MATCH(Kasse!F$5,Bestellungen!$A$5:$X$5,0),0))=FALSE,SUMIF(Kalkulation!$A$6:$A$40,Kasse!F$5&amp;"*",Kalkulation!$C$6:$C$40)*VLOOKUP($A147,Bestellungen!$6:$1048576,MATCH(Kasse!F$5,Bestellungen!$A$5:$X$5,0),0),"")</f>
        <v/>
      </c>
      <c r="G147" s="26" t="str">
        <f>IF(ISERROR(VLOOKUP($A147,Bestellungen!$6:$1048576,MATCH(Kasse!G$5,Bestellungen!$A$5:$X$5,0),0))=FALSE,SUMIF(Kalkulation!$A$6:$A$40,Kasse!G$5&amp;"*",Kalkulation!$C$6:$C$40)*VLOOKUP($A147,Bestellungen!$6:$1048576,MATCH(Kasse!G$5,Bestellungen!$A$5:$X$5,0),0),"")</f>
        <v/>
      </c>
      <c r="H147" s="26" t="str">
        <f>IF(ISERROR(VLOOKUP($A147,Bestellungen!$6:$1048576,MATCH(Kasse!H$5,Bestellungen!$A$5:$X$5,0),0))=FALSE,SUMIF(Kalkulation!$A$6:$A$40,Kasse!H$5&amp;"*",Kalkulation!$C$6:$C$40)*VLOOKUP($A147,Bestellungen!$6:$1048576,MATCH(Kasse!H$5,Bestellungen!$A$5:$X$5,0),0),"")</f>
        <v/>
      </c>
      <c r="I147" s="26" t="str">
        <f>IF(ISERROR(VLOOKUP($A147,Bestellungen!$6:$1048576,MATCH(Kasse!I$5,Bestellungen!$A$5:$X$5,0),0))=FALSE,SUMIF(Kalkulation!$A$6:$A$40,Kasse!I$5&amp;"*",Kalkulation!$C$6:$C$40)*VLOOKUP($A147,Bestellungen!$6:$1048576,MATCH(Kasse!I$5,Bestellungen!$A$5:$X$5,0),0),"")</f>
        <v/>
      </c>
      <c r="J147" s="26" t="str">
        <f>IF(ISERROR(VLOOKUP($A147,Bestellungen!$6:$1048576,MATCH(Kasse!J$5,Bestellungen!$A$5:$X$5,0),0))=FALSE,SUMIF(Kalkulation!$A$6:$A$40,Kasse!J$5&amp;"*",Kalkulation!$C$6:$C$40)*VLOOKUP($A147,Bestellungen!$6:$1048576,MATCH(Kasse!J$5,Bestellungen!$A$5:$X$5,0),0),"")</f>
        <v/>
      </c>
      <c r="K147" s="26" t="str">
        <f>IF(ISERROR(VLOOKUP($A147,Bestellungen!$6:$1048576,MATCH(Kasse!K$5,Bestellungen!$A$5:$X$5,0),0))=FALSE,SUMIF(Kalkulation!$A$6:$A$40,Kasse!K$5&amp;"*",Kalkulation!$C$6:$C$40)*VLOOKUP($A147,Bestellungen!$6:$1048576,MATCH(Kasse!K$5,Bestellungen!$A$5:$X$5,0),0),"")</f>
        <v/>
      </c>
      <c r="L147" s="26" t="str">
        <f>IF(ISERROR(VLOOKUP($A147,Bestellungen!$6:$1048576,MATCH(Kasse!L$5,Bestellungen!$A$5:$X$5,0),0))=FALSE,SUMIF(Kalkulation!$A$6:$A$40,Kasse!L$5&amp;"*",Kalkulation!$C$6:$C$40)*VLOOKUP($A147,Bestellungen!$6:$1048576,MATCH(Kasse!L$5,Bestellungen!$A$5:$X$5,0),0),"")</f>
        <v/>
      </c>
      <c r="M147" s="26" t="str">
        <f>IF(ISERROR(VLOOKUP($A147,Bestellungen!$6:$1048576,MATCH(Kasse!M$5,Bestellungen!$A$5:$X$5,0),0))=FALSE,SUMIF(Kalkulation!$A$6:$A$40,Kasse!M$5&amp;"*",Kalkulation!$C$6:$C$40)*VLOOKUP($A147,Bestellungen!$6:$1048576,MATCH(Kasse!M$5,Bestellungen!$A$5:$X$5,0),0),"")</f>
        <v/>
      </c>
      <c r="N147" s="26" t="str">
        <f>IF(ISERROR(VLOOKUP($A147,Bestellungen!$6:$1048576,MATCH(Kasse!N$5,Bestellungen!$A$5:$X$5,0),0))=FALSE,SUMIF(Kalkulation!$A$6:$A$40,Kasse!N$5&amp;"*",Kalkulation!$C$6:$C$40)*VLOOKUP($A147,Bestellungen!$6:$1048576,MATCH(Kasse!N$5,Bestellungen!$A$5:$X$5,0),0),"")</f>
        <v/>
      </c>
      <c r="O147" s="26" t="str">
        <f>IF(ISERROR(VLOOKUP($A147,Bestellungen!$6:$1048576,MATCH(Kasse!O$5,Bestellungen!$A$5:$X$5,0),0))=FALSE,SUMIF(Kalkulation!$A$6:$A$40,Kasse!O$5&amp;"*",Kalkulation!$C$6:$C$40)*VLOOKUP($A147,Bestellungen!$6:$1048576,MATCH(Kasse!O$5,Bestellungen!$A$5:$X$5,0),0),"")</f>
        <v/>
      </c>
      <c r="P147" s="26" t="str">
        <f>IF(ISERROR(VLOOKUP($A147,Bestellungen!$6:$1048576,MATCH(Kasse!P$5,Bestellungen!$A$5:$X$5,0),0))=FALSE,SUMIF(Kalkulation!$A$6:$A$40,Kasse!P$5&amp;"*",Kalkulation!$C$6:$C$40)*VLOOKUP($A147,Bestellungen!$6:$1048576,MATCH(Kasse!P$5,Bestellungen!$A$5:$X$5,0),0),"")</f>
        <v/>
      </c>
      <c r="Q147" s="26" t="str">
        <f>IF(ISERROR(VLOOKUP($A147,Bestellungen!$6:$1048576,MATCH(Kasse!Q$5,Bestellungen!$A$5:$X$5,0),0))=FALSE,SUMIF(Kalkulation!$A$6:$A$40,Kasse!Q$5&amp;"*",Kalkulation!$C$6:$C$40)*VLOOKUP($A147,Bestellungen!$6:$1048576,MATCH(Kasse!Q$5,Bestellungen!$A$5:$X$5,0),0),"")</f>
        <v/>
      </c>
      <c r="R147" s="26" t="str">
        <f>IF(ISERROR(VLOOKUP($A147,Bestellungen!$6:$1048576,MATCH(Kasse!R$5,Bestellungen!$A$5:$X$5,0),0))=FALSE,SUMIF(Kalkulation!$A$6:$A$40,Kasse!R$5&amp;"*",Kalkulation!$C$6:$C$40)*VLOOKUP($A147,Bestellungen!$6:$1048576,MATCH(Kasse!R$5,Bestellungen!$A$5:$X$5,0),0),"")</f>
        <v/>
      </c>
      <c r="S147" s="26" t="str">
        <f>IF(ISERROR(VLOOKUP($A147,Bestellungen!$6:$1048576,MATCH(Kasse!S$5,Bestellungen!$A$5:$X$5,0),0))=FALSE,SUMIF(Kalkulation!$A$6:$A$40,Kasse!S$5&amp;"*",Kalkulation!$C$6:$C$40)*VLOOKUP($A147,Bestellungen!$6:$1048576,MATCH(Kasse!S$5,Bestellungen!$A$5:$X$5,0),0),"")</f>
        <v/>
      </c>
      <c r="T147" s="26" t="str">
        <f>IF(ISERROR(VLOOKUP($A147,Bestellungen!$6:$1048576,MATCH(Kasse!T$5,Bestellungen!$A$5:$X$5,0),0))=FALSE,SUMIF(Kalkulation!$A$6:$A$40,Kasse!T$5&amp;"*",Kalkulation!$C$6:$C$40)*VLOOKUP($A147,Bestellungen!$6:$1048576,MATCH(Kasse!T$5,Bestellungen!$A$5:$X$5,0),0),"")</f>
        <v/>
      </c>
      <c r="U147" s="26" t="str">
        <f t="shared" si="4"/>
        <v/>
      </c>
      <c r="W147" s="26" t="str">
        <f t="shared" si="5"/>
        <v/>
      </c>
      <c r="X147" s="26"/>
      <c r="Y147" s="26"/>
      <c r="Z147" s="26"/>
      <c r="AA147" s="26"/>
    </row>
    <row r="148" spans="1:27" x14ac:dyDescent="0.25">
      <c r="A148" t="str">
        <f>IF(LEN(Bestellungen!$A148)&gt;0,Bestellungen!$A148,"")</f>
        <v/>
      </c>
      <c r="B148" s="26" t="str">
        <f>IF(ISERROR(VLOOKUP($A148,Bestellungen!$6:$1048576,MATCH(Kasse!B$5,Bestellungen!$A$5:$X$5,0),0))=FALSE,SUMIF(Kalkulation!$A$6:$A$40,Kasse!B$5&amp;"*",Kalkulation!$C$6:$C$40)*VLOOKUP($A148,Bestellungen!$6:$1048576,MATCH(Kasse!B$5,Bestellungen!$A$5:$X$5,0),0),"")</f>
        <v/>
      </c>
      <c r="C148" s="26" t="str">
        <f>IF(ISERROR(VLOOKUP($A148,Bestellungen!$6:$1048576,MATCH(Kasse!C$5,Bestellungen!$A$5:$X$5,0),0))=FALSE,SUMIF(Kalkulation!$A$6:$A$40,Kasse!C$5&amp;"*",Kalkulation!$C$6:$C$40)*VLOOKUP($A148,Bestellungen!$6:$1048576,MATCH(Kasse!C$5,Bestellungen!$A$5:$X$5,0),0),"")</f>
        <v/>
      </c>
      <c r="D148" s="26" t="str">
        <f>IF(ISERROR(VLOOKUP($A148,Bestellungen!$6:$1048576,MATCH(Kasse!D$5,Bestellungen!$A$5:$X$5,0),0))=FALSE,SUMIF(Kalkulation!$A$6:$A$40,Kasse!D$5&amp;"*",Kalkulation!$C$6:$C$40)*VLOOKUP($A148,Bestellungen!$6:$1048576,MATCH(Kasse!D$5,Bestellungen!$A$5:$X$5,0),0),"")</f>
        <v/>
      </c>
      <c r="E148" s="26" t="str">
        <f>IF(ISERROR(VLOOKUP($A148,Bestellungen!$6:$1048576,MATCH(Kasse!E$5,Bestellungen!$A$5:$X$5,0),0))=FALSE,SUMIF(Kalkulation!$A$6:$A$40,Kasse!E$5&amp;"*",Kalkulation!$C$6:$C$40)*VLOOKUP($A148,Bestellungen!$6:$1048576,MATCH(Kasse!E$5,Bestellungen!$A$5:$X$5,0),0),"")</f>
        <v/>
      </c>
      <c r="F148" s="26" t="str">
        <f>IF(ISERROR(VLOOKUP($A148,Bestellungen!$6:$1048576,MATCH(Kasse!F$5,Bestellungen!$A$5:$X$5,0),0))=FALSE,SUMIF(Kalkulation!$A$6:$A$40,Kasse!F$5&amp;"*",Kalkulation!$C$6:$C$40)*VLOOKUP($A148,Bestellungen!$6:$1048576,MATCH(Kasse!F$5,Bestellungen!$A$5:$X$5,0),0),"")</f>
        <v/>
      </c>
      <c r="G148" s="26" t="str">
        <f>IF(ISERROR(VLOOKUP($A148,Bestellungen!$6:$1048576,MATCH(Kasse!G$5,Bestellungen!$A$5:$X$5,0),0))=FALSE,SUMIF(Kalkulation!$A$6:$A$40,Kasse!G$5&amp;"*",Kalkulation!$C$6:$C$40)*VLOOKUP($A148,Bestellungen!$6:$1048576,MATCH(Kasse!G$5,Bestellungen!$A$5:$X$5,0),0),"")</f>
        <v/>
      </c>
      <c r="H148" s="26" t="str">
        <f>IF(ISERROR(VLOOKUP($A148,Bestellungen!$6:$1048576,MATCH(Kasse!H$5,Bestellungen!$A$5:$X$5,0),0))=FALSE,SUMIF(Kalkulation!$A$6:$A$40,Kasse!H$5&amp;"*",Kalkulation!$C$6:$C$40)*VLOOKUP($A148,Bestellungen!$6:$1048576,MATCH(Kasse!H$5,Bestellungen!$A$5:$X$5,0),0),"")</f>
        <v/>
      </c>
      <c r="I148" s="26" t="str">
        <f>IF(ISERROR(VLOOKUP($A148,Bestellungen!$6:$1048576,MATCH(Kasse!I$5,Bestellungen!$A$5:$X$5,0),0))=FALSE,SUMIF(Kalkulation!$A$6:$A$40,Kasse!I$5&amp;"*",Kalkulation!$C$6:$C$40)*VLOOKUP($A148,Bestellungen!$6:$1048576,MATCH(Kasse!I$5,Bestellungen!$A$5:$X$5,0),0),"")</f>
        <v/>
      </c>
      <c r="J148" s="26" t="str">
        <f>IF(ISERROR(VLOOKUP($A148,Bestellungen!$6:$1048576,MATCH(Kasse!J$5,Bestellungen!$A$5:$X$5,0),0))=FALSE,SUMIF(Kalkulation!$A$6:$A$40,Kasse!J$5&amp;"*",Kalkulation!$C$6:$C$40)*VLOOKUP($A148,Bestellungen!$6:$1048576,MATCH(Kasse!J$5,Bestellungen!$A$5:$X$5,0),0),"")</f>
        <v/>
      </c>
      <c r="K148" s="26" t="str">
        <f>IF(ISERROR(VLOOKUP($A148,Bestellungen!$6:$1048576,MATCH(Kasse!K$5,Bestellungen!$A$5:$X$5,0),0))=FALSE,SUMIF(Kalkulation!$A$6:$A$40,Kasse!K$5&amp;"*",Kalkulation!$C$6:$C$40)*VLOOKUP($A148,Bestellungen!$6:$1048576,MATCH(Kasse!K$5,Bestellungen!$A$5:$X$5,0),0),"")</f>
        <v/>
      </c>
      <c r="L148" s="26" t="str">
        <f>IF(ISERROR(VLOOKUP($A148,Bestellungen!$6:$1048576,MATCH(Kasse!L$5,Bestellungen!$A$5:$X$5,0),0))=FALSE,SUMIF(Kalkulation!$A$6:$A$40,Kasse!L$5&amp;"*",Kalkulation!$C$6:$C$40)*VLOOKUP($A148,Bestellungen!$6:$1048576,MATCH(Kasse!L$5,Bestellungen!$A$5:$X$5,0),0),"")</f>
        <v/>
      </c>
      <c r="M148" s="26" t="str">
        <f>IF(ISERROR(VLOOKUP($A148,Bestellungen!$6:$1048576,MATCH(Kasse!M$5,Bestellungen!$A$5:$X$5,0),0))=FALSE,SUMIF(Kalkulation!$A$6:$A$40,Kasse!M$5&amp;"*",Kalkulation!$C$6:$C$40)*VLOOKUP($A148,Bestellungen!$6:$1048576,MATCH(Kasse!M$5,Bestellungen!$A$5:$X$5,0),0),"")</f>
        <v/>
      </c>
      <c r="N148" s="26" t="str">
        <f>IF(ISERROR(VLOOKUP($A148,Bestellungen!$6:$1048576,MATCH(Kasse!N$5,Bestellungen!$A$5:$X$5,0),0))=FALSE,SUMIF(Kalkulation!$A$6:$A$40,Kasse!N$5&amp;"*",Kalkulation!$C$6:$C$40)*VLOOKUP($A148,Bestellungen!$6:$1048576,MATCH(Kasse!N$5,Bestellungen!$A$5:$X$5,0),0),"")</f>
        <v/>
      </c>
      <c r="O148" s="26" t="str">
        <f>IF(ISERROR(VLOOKUP($A148,Bestellungen!$6:$1048576,MATCH(Kasse!O$5,Bestellungen!$A$5:$X$5,0),0))=FALSE,SUMIF(Kalkulation!$A$6:$A$40,Kasse!O$5&amp;"*",Kalkulation!$C$6:$C$40)*VLOOKUP($A148,Bestellungen!$6:$1048576,MATCH(Kasse!O$5,Bestellungen!$A$5:$X$5,0),0),"")</f>
        <v/>
      </c>
      <c r="P148" s="26" t="str">
        <f>IF(ISERROR(VLOOKUP($A148,Bestellungen!$6:$1048576,MATCH(Kasse!P$5,Bestellungen!$A$5:$X$5,0),0))=FALSE,SUMIF(Kalkulation!$A$6:$A$40,Kasse!P$5&amp;"*",Kalkulation!$C$6:$C$40)*VLOOKUP($A148,Bestellungen!$6:$1048576,MATCH(Kasse!P$5,Bestellungen!$A$5:$X$5,0),0),"")</f>
        <v/>
      </c>
      <c r="Q148" s="26" t="str">
        <f>IF(ISERROR(VLOOKUP($A148,Bestellungen!$6:$1048576,MATCH(Kasse!Q$5,Bestellungen!$A$5:$X$5,0),0))=FALSE,SUMIF(Kalkulation!$A$6:$A$40,Kasse!Q$5&amp;"*",Kalkulation!$C$6:$C$40)*VLOOKUP($A148,Bestellungen!$6:$1048576,MATCH(Kasse!Q$5,Bestellungen!$A$5:$X$5,0),0),"")</f>
        <v/>
      </c>
      <c r="R148" s="26" t="str">
        <f>IF(ISERROR(VLOOKUP($A148,Bestellungen!$6:$1048576,MATCH(Kasse!R$5,Bestellungen!$A$5:$X$5,0),0))=FALSE,SUMIF(Kalkulation!$A$6:$A$40,Kasse!R$5&amp;"*",Kalkulation!$C$6:$C$40)*VLOOKUP($A148,Bestellungen!$6:$1048576,MATCH(Kasse!R$5,Bestellungen!$A$5:$X$5,0),0),"")</f>
        <v/>
      </c>
      <c r="S148" s="26" t="str">
        <f>IF(ISERROR(VLOOKUP($A148,Bestellungen!$6:$1048576,MATCH(Kasse!S$5,Bestellungen!$A$5:$X$5,0),0))=FALSE,SUMIF(Kalkulation!$A$6:$A$40,Kasse!S$5&amp;"*",Kalkulation!$C$6:$C$40)*VLOOKUP($A148,Bestellungen!$6:$1048576,MATCH(Kasse!S$5,Bestellungen!$A$5:$X$5,0),0),"")</f>
        <v/>
      </c>
      <c r="T148" s="26" t="str">
        <f>IF(ISERROR(VLOOKUP($A148,Bestellungen!$6:$1048576,MATCH(Kasse!T$5,Bestellungen!$A$5:$X$5,0),0))=FALSE,SUMIF(Kalkulation!$A$6:$A$40,Kasse!T$5&amp;"*",Kalkulation!$C$6:$C$40)*VLOOKUP($A148,Bestellungen!$6:$1048576,MATCH(Kasse!T$5,Bestellungen!$A$5:$X$5,0),0),"")</f>
        <v/>
      </c>
      <c r="U148" s="26" t="str">
        <f t="shared" si="4"/>
        <v/>
      </c>
      <c r="W148" s="26" t="str">
        <f t="shared" si="5"/>
        <v/>
      </c>
      <c r="X148" s="26"/>
      <c r="Y148" s="26"/>
      <c r="Z148" s="26"/>
      <c r="AA148" s="26"/>
    </row>
    <row r="149" spans="1:27" x14ac:dyDescent="0.25">
      <c r="A149" t="str">
        <f>IF(LEN(Bestellungen!$A149)&gt;0,Bestellungen!$A149,"")</f>
        <v/>
      </c>
      <c r="B149" s="26" t="str">
        <f>IF(ISERROR(VLOOKUP($A149,Bestellungen!$6:$1048576,MATCH(Kasse!B$5,Bestellungen!$A$5:$X$5,0),0))=FALSE,SUMIF(Kalkulation!$A$6:$A$40,Kasse!B$5&amp;"*",Kalkulation!$C$6:$C$40)*VLOOKUP($A149,Bestellungen!$6:$1048576,MATCH(Kasse!B$5,Bestellungen!$A$5:$X$5,0),0),"")</f>
        <v/>
      </c>
      <c r="C149" s="26" t="str">
        <f>IF(ISERROR(VLOOKUP($A149,Bestellungen!$6:$1048576,MATCH(Kasse!C$5,Bestellungen!$A$5:$X$5,0),0))=FALSE,SUMIF(Kalkulation!$A$6:$A$40,Kasse!C$5&amp;"*",Kalkulation!$C$6:$C$40)*VLOOKUP($A149,Bestellungen!$6:$1048576,MATCH(Kasse!C$5,Bestellungen!$A$5:$X$5,0),0),"")</f>
        <v/>
      </c>
      <c r="D149" s="26" t="str">
        <f>IF(ISERROR(VLOOKUP($A149,Bestellungen!$6:$1048576,MATCH(Kasse!D$5,Bestellungen!$A$5:$X$5,0),0))=FALSE,SUMIF(Kalkulation!$A$6:$A$40,Kasse!D$5&amp;"*",Kalkulation!$C$6:$C$40)*VLOOKUP($A149,Bestellungen!$6:$1048576,MATCH(Kasse!D$5,Bestellungen!$A$5:$X$5,0),0),"")</f>
        <v/>
      </c>
      <c r="E149" s="26" t="str">
        <f>IF(ISERROR(VLOOKUP($A149,Bestellungen!$6:$1048576,MATCH(Kasse!E$5,Bestellungen!$A$5:$X$5,0),0))=FALSE,SUMIF(Kalkulation!$A$6:$A$40,Kasse!E$5&amp;"*",Kalkulation!$C$6:$C$40)*VLOOKUP($A149,Bestellungen!$6:$1048576,MATCH(Kasse!E$5,Bestellungen!$A$5:$X$5,0),0),"")</f>
        <v/>
      </c>
      <c r="F149" s="26" t="str">
        <f>IF(ISERROR(VLOOKUP($A149,Bestellungen!$6:$1048576,MATCH(Kasse!F$5,Bestellungen!$A$5:$X$5,0),0))=FALSE,SUMIF(Kalkulation!$A$6:$A$40,Kasse!F$5&amp;"*",Kalkulation!$C$6:$C$40)*VLOOKUP($A149,Bestellungen!$6:$1048576,MATCH(Kasse!F$5,Bestellungen!$A$5:$X$5,0),0),"")</f>
        <v/>
      </c>
      <c r="G149" s="26" t="str">
        <f>IF(ISERROR(VLOOKUP($A149,Bestellungen!$6:$1048576,MATCH(Kasse!G$5,Bestellungen!$A$5:$X$5,0),0))=FALSE,SUMIF(Kalkulation!$A$6:$A$40,Kasse!G$5&amp;"*",Kalkulation!$C$6:$C$40)*VLOOKUP($A149,Bestellungen!$6:$1048576,MATCH(Kasse!G$5,Bestellungen!$A$5:$X$5,0),0),"")</f>
        <v/>
      </c>
      <c r="H149" s="26" t="str">
        <f>IF(ISERROR(VLOOKUP($A149,Bestellungen!$6:$1048576,MATCH(Kasse!H$5,Bestellungen!$A$5:$X$5,0),0))=FALSE,SUMIF(Kalkulation!$A$6:$A$40,Kasse!H$5&amp;"*",Kalkulation!$C$6:$C$40)*VLOOKUP($A149,Bestellungen!$6:$1048576,MATCH(Kasse!H$5,Bestellungen!$A$5:$X$5,0),0),"")</f>
        <v/>
      </c>
      <c r="I149" s="26" t="str">
        <f>IF(ISERROR(VLOOKUP($A149,Bestellungen!$6:$1048576,MATCH(Kasse!I$5,Bestellungen!$A$5:$X$5,0),0))=FALSE,SUMIF(Kalkulation!$A$6:$A$40,Kasse!I$5&amp;"*",Kalkulation!$C$6:$C$40)*VLOOKUP($A149,Bestellungen!$6:$1048576,MATCH(Kasse!I$5,Bestellungen!$A$5:$X$5,0),0),"")</f>
        <v/>
      </c>
      <c r="J149" s="26" t="str">
        <f>IF(ISERROR(VLOOKUP($A149,Bestellungen!$6:$1048576,MATCH(Kasse!J$5,Bestellungen!$A$5:$X$5,0),0))=FALSE,SUMIF(Kalkulation!$A$6:$A$40,Kasse!J$5&amp;"*",Kalkulation!$C$6:$C$40)*VLOOKUP($A149,Bestellungen!$6:$1048576,MATCH(Kasse!J$5,Bestellungen!$A$5:$X$5,0),0),"")</f>
        <v/>
      </c>
      <c r="K149" s="26" t="str">
        <f>IF(ISERROR(VLOOKUP($A149,Bestellungen!$6:$1048576,MATCH(Kasse!K$5,Bestellungen!$A$5:$X$5,0),0))=FALSE,SUMIF(Kalkulation!$A$6:$A$40,Kasse!K$5&amp;"*",Kalkulation!$C$6:$C$40)*VLOOKUP($A149,Bestellungen!$6:$1048576,MATCH(Kasse!K$5,Bestellungen!$A$5:$X$5,0),0),"")</f>
        <v/>
      </c>
      <c r="L149" s="26" t="str">
        <f>IF(ISERROR(VLOOKUP($A149,Bestellungen!$6:$1048576,MATCH(Kasse!L$5,Bestellungen!$A$5:$X$5,0),0))=FALSE,SUMIF(Kalkulation!$A$6:$A$40,Kasse!L$5&amp;"*",Kalkulation!$C$6:$C$40)*VLOOKUP($A149,Bestellungen!$6:$1048576,MATCH(Kasse!L$5,Bestellungen!$A$5:$X$5,0),0),"")</f>
        <v/>
      </c>
      <c r="M149" s="26" t="str">
        <f>IF(ISERROR(VLOOKUP($A149,Bestellungen!$6:$1048576,MATCH(Kasse!M$5,Bestellungen!$A$5:$X$5,0),0))=FALSE,SUMIF(Kalkulation!$A$6:$A$40,Kasse!M$5&amp;"*",Kalkulation!$C$6:$C$40)*VLOOKUP($A149,Bestellungen!$6:$1048576,MATCH(Kasse!M$5,Bestellungen!$A$5:$X$5,0),0),"")</f>
        <v/>
      </c>
      <c r="N149" s="26" t="str">
        <f>IF(ISERROR(VLOOKUP($A149,Bestellungen!$6:$1048576,MATCH(Kasse!N$5,Bestellungen!$A$5:$X$5,0),0))=FALSE,SUMIF(Kalkulation!$A$6:$A$40,Kasse!N$5&amp;"*",Kalkulation!$C$6:$C$40)*VLOOKUP($A149,Bestellungen!$6:$1048576,MATCH(Kasse!N$5,Bestellungen!$A$5:$X$5,0),0),"")</f>
        <v/>
      </c>
      <c r="O149" s="26" t="str">
        <f>IF(ISERROR(VLOOKUP($A149,Bestellungen!$6:$1048576,MATCH(Kasse!O$5,Bestellungen!$A$5:$X$5,0),0))=FALSE,SUMIF(Kalkulation!$A$6:$A$40,Kasse!O$5&amp;"*",Kalkulation!$C$6:$C$40)*VLOOKUP($A149,Bestellungen!$6:$1048576,MATCH(Kasse!O$5,Bestellungen!$A$5:$X$5,0),0),"")</f>
        <v/>
      </c>
      <c r="P149" s="26" t="str">
        <f>IF(ISERROR(VLOOKUP($A149,Bestellungen!$6:$1048576,MATCH(Kasse!P$5,Bestellungen!$A$5:$X$5,0),0))=FALSE,SUMIF(Kalkulation!$A$6:$A$40,Kasse!P$5&amp;"*",Kalkulation!$C$6:$C$40)*VLOOKUP($A149,Bestellungen!$6:$1048576,MATCH(Kasse!P$5,Bestellungen!$A$5:$X$5,0),0),"")</f>
        <v/>
      </c>
      <c r="Q149" s="26" t="str">
        <f>IF(ISERROR(VLOOKUP($A149,Bestellungen!$6:$1048576,MATCH(Kasse!Q$5,Bestellungen!$A$5:$X$5,0),0))=FALSE,SUMIF(Kalkulation!$A$6:$A$40,Kasse!Q$5&amp;"*",Kalkulation!$C$6:$C$40)*VLOOKUP($A149,Bestellungen!$6:$1048576,MATCH(Kasse!Q$5,Bestellungen!$A$5:$X$5,0),0),"")</f>
        <v/>
      </c>
      <c r="R149" s="26" t="str">
        <f>IF(ISERROR(VLOOKUP($A149,Bestellungen!$6:$1048576,MATCH(Kasse!R$5,Bestellungen!$A$5:$X$5,0),0))=FALSE,SUMIF(Kalkulation!$A$6:$A$40,Kasse!R$5&amp;"*",Kalkulation!$C$6:$C$40)*VLOOKUP($A149,Bestellungen!$6:$1048576,MATCH(Kasse!R$5,Bestellungen!$A$5:$X$5,0),0),"")</f>
        <v/>
      </c>
      <c r="S149" s="26" t="str">
        <f>IF(ISERROR(VLOOKUP($A149,Bestellungen!$6:$1048576,MATCH(Kasse!S$5,Bestellungen!$A$5:$X$5,0),0))=FALSE,SUMIF(Kalkulation!$A$6:$A$40,Kasse!S$5&amp;"*",Kalkulation!$C$6:$C$40)*VLOOKUP($A149,Bestellungen!$6:$1048576,MATCH(Kasse!S$5,Bestellungen!$A$5:$X$5,0),0),"")</f>
        <v/>
      </c>
      <c r="T149" s="26" t="str">
        <f>IF(ISERROR(VLOOKUP($A149,Bestellungen!$6:$1048576,MATCH(Kasse!T$5,Bestellungen!$A$5:$X$5,0),0))=FALSE,SUMIF(Kalkulation!$A$6:$A$40,Kasse!T$5&amp;"*",Kalkulation!$C$6:$C$40)*VLOOKUP($A149,Bestellungen!$6:$1048576,MATCH(Kasse!T$5,Bestellungen!$A$5:$X$5,0),0),"")</f>
        <v/>
      </c>
      <c r="U149" s="26" t="str">
        <f t="shared" si="4"/>
        <v/>
      </c>
      <c r="W149" s="26" t="str">
        <f t="shared" si="5"/>
        <v/>
      </c>
      <c r="X149" s="26"/>
      <c r="Y149" s="26"/>
      <c r="Z149" s="26"/>
      <c r="AA149" s="26"/>
    </row>
    <row r="150" spans="1:27" x14ac:dyDescent="0.25">
      <c r="A150" t="str">
        <f>IF(LEN(Bestellungen!$A150)&gt;0,Bestellungen!$A150,"")</f>
        <v/>
      </c>
      <c r="B150" s="26" t="str">
        <f>IF(ISERROR(VLOOKUP($A150,Bestellungen!$6:$1048576,MATCH(Kasse!B$5,Bestellungen!$A$5:$X$5,0),0))=FALSE,SUMIF(Kalkulation!$A$6:$A$40,Kasse!B$5&amp;"*",Kalkulation!$C$6:$C$40)*VLOOKUP($A150,Bestellungen!$6:$1048576,MATCH(Kasse!B$5,Bestellungen!$A$5:$X$5,0),0),"")</f>
        <v/>
      </c>
      <c r="C150" s="26" t="str">
        <f>IF(ISERROR(VLOOKUP($A150,Bestellungen!$6:$1048576,MATCH(Kasse!C$5,Bestellungen!$A$5:$X$5,0),0))=FALSE,SUMIF(Kalkulation!$A$6:$A$40,Kasse!C$5&amp;"*",Kalkulation!$C$6:$C$40)*VLOOKUP($A150,Bestellungen!$6:$1048576,MATCH(Kasse!C$5,Bestellungen!$A$5:$X$5,0),0),"")</f>
        <v/>
      </c>
      <c r="D150" s="26" t="str">
        <f>IF(ISERROR(VLOOKUP($A150,Bestellungen!$6:$1048576,MATCH(Kasse!D$5,Bestellungen!$A$5:$X$5,0),0))=FALSE,SUMIF(Kalkulation!$A$6:$A$40,Kasse!D$5&amp;"*",Kalkulation!$C$6:$C$40)*VLOOKUP($A150,Bestellungen!$6:$1048576,MATCH(Kasse!D$5,Bestellungen!$A$5:$X$5,0),0),"")</f>
        <v/>
      </c>
      <c r="E150" s="26" t="str">
        <f>IF(ISERROR(VLOOKUP($A150,Bestellungen!$6:$1048576,MATCH(Kasse!E$5,Bestellungen!$A$5:$X$5,0),0))=FALSE,SUMIF(Kalkulation!$A$6:$A$40,Kasse!E$5&amp;"*",Kalkulation!$C$6:$C$40)*VLOOKUP($A150,Bestellungen!$6:$1048576,MATCH(Kasse!E$5,Bestellungen!$A$5:$X$5,0),0),"")</f>
        <v/>
      </c>
      <c r="F150" s="26" t="str">
        <f>IF(ISERROR(VLOOKUP($A150,Bestellungen!$6:$1048576,MATCH(Kasse!F$5,Bestellungen!$A$5:$X$5,0),0))=FALSE,SUMIF(Kalkulation!$A$6:$A$40,Kasse!F$5&amp;"*",Kalkulation!$C$6:$C$40)*VLOOKUP($A150,Bestellungen!$6:$1048576,MATCH(Kasse!F$5,Bestellungen!$A$5:$X$5,0),0),"")</f>
        <v/>
      </c>
      <c r="G150" s="26" t="str">
        <f>IF(ISERROR(VLOOKUP($A150,Bestellungen!$6:$1048576,MATCH(Kasse!G$5,Bestellungen!$A$5:$X$5,0),0))=FALSE,SUMIF(Kalkulation!$A$6:$A$40,Kasse!G$5&amp;"*",Kalkulation!$C$6:$C$40)*VLOOKUP($A150,Bestellungen!$6:$1048576,MATCH(Kasse!G$5,Bestellungen!$A$5:$X$5,0),0),"")</f>
        <v/>
      </c>
      <c r="H150" s="26" t="str">
        <f>IF(ISERROR(VLOOKUP($A150,Bestellungen!$6:$1048576,MATCH(Kasse!H$5,Bestellungen!$A$5:$X$5,0),0))=FALSE,SUMIF(Kalkulation!$A$6:$A$40,Kasse!H$5&amp;"*",Kalkulation!$C$6:$C$40)*VLOOKUP($A150,Bestellungen!$6:$1048576,MATCH(Kasse!H$5,Bestellungen!$A$5:$X$5,0),0),"")</f>
        <v/>
      </c>
      <c r="I150" s="26" t="str">
        <f>IF(ISERROR(VLOOKUP($A150,Bestellungen!$6:$1048576,MATCH(Kasse!I$5,Bestellungen!$A$5:$X$5,0),0))=FALSE,SUMIF(Kalkulation!$A$6:$A$40,Kasse!I$5&amp;"*",Kalkulation!$C$6:$C$40)*VLOOKUP($A150,Bestellungen!$6:$1048576,MATCH(Kasse!I$5,Bestellungen!$A$5:$X$5,0),0),"")</f>
        <v/>
      </c>
      <c r="J150" s="26" t="str">
        <f>IF(ISERROR(VLOOKUP($A150,Bestellungen!$6:$1048576,MATCH(Kasse!J$5,Bestellungen!$A$5:$X$5,0),0))=FALSE,SUMIF(Kalkulation!$A$6:$A$40,Kasse!J$5&amp;"*",Kalkulation!$C$6:$C$40)*VLOOKUP($A150,Bestellungen!$6:$1048576,MATCH(Kasse!J$5,Bestellungen!$A$5:$X$5,0),0),"")</f>
        <v/>
      </c>
      <c r="K150" s="26" t="str">
        <f>IF(ISERROR(VLOOKUP($A150,Bestellungen!$6:$1048576,MATCH(Kasse!K$5,Bestellungen!$A$5:$X$5,0),0))=FALSE,SUMIF(Kalkulation!$A$6:$A$40,Kasse!K$5&amp;"*",Kalkulation!$C$6:$C$40)*VLOOKUP($A150,Bestellungen!$6:$1048576,MATCH(Kasse!K$5,Bestellungen!$A$5:$X$5,0),0),"")</f>
        <v/>
      </c>
      <c r="L150" s="26" t="str">
        <f>IF(ISERROR(VLOOKUP($A150,Bestellungen!$6:$1048576,MATCH(Kasse!L$5,Bestellungen!$A$5:$X$5,0),0))=FALSE,SUMIF(Kalkulation!$A$6:$A$40,Kasse!L$5&amp;"*",Kalkulation!$C$6:$C$40)*VLOOKUP($A150,Bestellungen!$6:$1048576,MATCH(Kasse!L$5,Bestellungen!$A$5:$X$5,0),0),"")</f>
        <v/>
      </c>
      <c r="M150" s="26" t="str">
        <f>IF(ISERROR(VLOOKUP($A150,Bestellungen!$6:$1048576,MATCH(Kasse!M$5,Bestellungen!$A$5:$X$5,0),0))=FALSE,SUMIF(Kalkulation!$A$6:$A$40,Kasse!M$5&amp;"*",Kalkulation!$C$6:$C$40)*VLOOKUP($A150,Bestellungen!$6:$1048576,MATCH(Kasse!M$5,Bestellungen!$A$5:$X$5,0),0),"")</f>
        <v/>
      </c>
      <c r="N150" s="26" t="str">
        <f>IF(ISERROR(VLOOKUP($A150,Bestellungen!$6:$1048576,MATCH(Kasse!N$5,Bestellungen!$A$5:$X$5,0),0))=FALSE,SUMIF(Kalkulation!$A$6:$A$40,Kasse!N$5&amp;"*",Kalkulation!$C$6:$C$40)*VLOOKUP($A150,Bestellungen!$6:$1048576,MATCH(Kasse!N$5,Bestellungen!$A$5:$X$5,0),0),"")</f>
        <v/>
      </c>
      <c r="O150" s="26" t="str">
        <f>IF(ISERROR(VLOOKUP($A150,Bestellungen!$6:$1048576,MATCH(Kasse!O$5,Bestellungen!$A$5:$X$5,0),0))=FALSE,SUMIF(Kalkulation!$A$6:$A$40,Kasse!O$5&amp;"*",Kalkulation!$C$6:$C$40)*VLOOKUP($A150,Bestellungen!$6:$1048576,MATCH(Kasse!O$5,Bestellungen!$A$5:$X$5,0),0),"")</f>
        <v/>
      </c>
      <c r="P150" s="26" t="str">
        <f>IF(ISERROR(VLOOKUP($A150,Bestellungen!$6:$1048576,MATCH(Kasse!P$5,Bestellungen!$A$5:$X$5,0),0))=FALSE,SUMIF(Kalkulation!$A$6:$A$40,Kasse!P$5&amp;"*",Kalkulation!$C$6:$C$40)*VLOOKUP($A150,Bestellungen!$6:$1048576,MATCH(Kasse!P$5,Bestellungen!$A$5:$X$5,0),0),"")</f>
        <v/>
      </c>
      <c r="Q150" s="26" t="str">
        <f>IF(ISERROR(VLOOKUP($A150,Bestellungen!$6:$1048576,MATCH(Kasse!Q$5,Bestellungen!$A$5:$X$5,0),0))=FALSE,SUMIF(Kalkulation!$A$6:$A$40,Kasse!Q$5&amp;"*",Kalkulation!$C$6:$C$40)*VLOOKUP($A150,Bestellungen!$6:$1048576,MATCH(Kasse!Q$5,Bestellungen!$A$5:$X$5,0),0),"")</f>
        <v/>
      </c>
      <c r="R150" s="26" t="str">
        <f>IF(ISERROR(VLOOKUP($A150,Bestellungen!$6:$1048576,MATCH(Kasse!R$5,Bestellungen!$A$5:$X$5,0),0))=FALSE,SUMIF(Kalkulation!$A$6:$A$40,Kasse!R$5&amp;"*",Kalkulation!$C$6:$C$40)*VLOOKUP($A150,Bestellungen!$6:$1048576,MATCH(Kasse!R$5,Bestellungen!$A$5:$X$5,0),0),"")</f>
        <v/>
      </c>
      <c r="S150" s="26" t="str">
        <f>IF(ISERROR(VLOOKUP($A150,Bestellungen!$6:$1048576,MATCH(Kasse!S$5,Bestellungen!$A$5:$X$5,0),0))=FALSE,SUMIF(Kalkulation!$A$6:$A$40,Kasse!S$5&amp;"*",Kalkulation!$C$6:$C$40)*VLOOKUP($A150,Bestellungen!$6:$1048576,MATCH(Kasse!S$5,Bestellungen!$A$5:$X$5,0),0),"")</f>
        <v/>
      </c>
      <c r="T150" s="26" t="str">
        <f>IF(ISERROR(VLOOKUP($A150,Bestellungen!$6:$1048576,MATCH(Kasse!T$5,Bestellungen!$A$5:$X$5,0),0))=FALSE,SUMIF(Kalkulation!$A$6:$A$40,Kasse!T$5&amp;"*",Kalkulation!$C$6:$C$40)*VLOOKUP($A150,Bestellungen!$6:$1048576,MATCH(Kasse!T$5,Bestellungen!$A$5:$X$5,0),0),"")</f>
        <v/>
      </c>
      <c r="U150" s="26" t="str">
        <f t="shared" si="4"/>
        <v/>
      </c>
      <c r="W150" s="26" t="str">
        <f t="shared" si="5"/>
        <v/>
      </c>
      <c r="X150" s="26"/>
      <c r="Y150" s="26"/>
      <c r="Z150" s="26"/>
      <c r="AA150" s="26"/>
    </row>
    <row r="151" spans="1:27" x14ac:dyDescent="0.25">
      <c r="A151" t="str">
        <f>IF(LEN(Bestellungen!$A151)&gt;0,Bestellungen!$A151,"")</f>
        <v/>
      </c>
      <c r="B151" s="26" t="str">
        <f>IF(ISERROR(VLOOKUP($A151,Bestellungen!$6:$1048576,MATCH(Kasse!B$5,Bestellungen!$A$5:$X$5,0),0))=FALSE,SUMIF(Kalkulation!$A$6:$A$40,Kasse!B$5&amp;"*",Kalkulation!$C$6:$C$40)*VLOOKUP($A151,Bestellungen!$6:$1048576,MATCH(Kasse!B$5,Bestellungen!$A$5:$X$5,0),0),"")</f>
        <v/>
      </c>
      <c r="C151" s="26" t="str">
        <f>IF(ISERROR(VLOOKUP($A151,Bestellungen!$6:$1048576,MATCH(Kasse!C$5,Bestellungen!$A$5:$X$5,0),0))=FALSE,SUMIF(Kalkulation!$A$6:$A$40,Kasse!C$5&amp;"*",Kalkulation!$C$6:$C$40)*VLOOKUP($A151,Bestellungen!$6:$1048576,MATCH(Kasse!C$5,Bestellungen!$A$5:$X$5,0),0),"")</f>
        <v/>
      </c>
      <c r="D151" s="26" t="str">
        <f>IF(ISERROR(VLOOKUP($A151,Bestellungen!$6:$1048576,MATCH(Kasse!D$5,Bestellungen!$A$5:$X$5,0),0))=FALSE,SUMIF(Kalkulation!$A$6:$A$40,Kasse!D$5&amp;"*",Kalkulation!$C$6:$C$40)*VLOOKUP($A151,Bestellungen!$6:$1048576,MATCH(Kasse!D$5,Bestellungen!$A$5:$X$5,0),0),"")</f>
        <v/>
      </c>
      <c r="E151" s="26" t="str">
        <f>IF(ISERROR(VLOOKUP($A151,Bestellungen!$6:$1048576,MATCH(Kasse!E$5,Bestellungen!$A$5:$X$5,0),0))=FALSE,SUMIF(Kalkulation!$A$6:$A$40,Kasse!E$5&amp;"*",Kalkulation!$C$6:$C$40)*VLOOKUP($A151,Bestellungen!$6:$1048576,MATCH(Kasse!E$5,Bestellungen!$A$5:$X$5,0),0),"")</f>
        <v/>
      </c>
      <c r="F151" s="26" t="str">
        <f>IF(ISERROR(VLOOKUP($A151,Bestellungen!$6:$1048576,MATCH(Kasse!F$5,Bestellungen!$A$5:$X$5,0),0))=FALSE,SUMIF(Kalkulation!$A$6:$A$40,Kasse!F$5&amp;"*",Kalkulation!$C$6:$C$40)*VLOOKUP($A151,Bestellungen!$6:$1048576,MATCH(Kasse!F$5,Bestellungen!$A$5:$X$5,0),0),"")</f>
        <v/>
      </c>
      <c r="G151" s="26" t="str">
        <f>IF(ISERROR(VLOOKUP($A151,Bestellungen!$6:$1048576,MATCH(Kasse!G$5,Bestellungen!$A$5:$X$5,0),0))=FALSE,SUMIF(Kalkulation!$A$6:$A$40,Kasse!G$5&amp;"*",Kalkulation!$C$6:$C$40)*VLOOKUP($A151,Bestellungen!$6:$1048576,MATCH(Kasse!G$5,Bestellungen!$A$5:$X$5,0),0),"")</f>
        <v/>
      </c>
      <c r="H151" s="26" t="str">
        <f>IF(ISERROR(VLOOKUP($A151,Bestellungen!$6:$1048576,MATCH(Kasse!H$5,Bestellungen!$A$5:$X$5,0),0))=FALSE,SUMIF(Kalkulation!$A$6:$A$40,Kasse!H$5&amp;"*",Kalkulation!$C$6:$C$40)*VLOOKUP($A151,Bestellungen!$6:$1048576,MATCH(Kasse!H$5,Bestellungen!$A$5:$X$5,0),0),"")</f>
        <v/>
      </c>
      <c r="I151" s="26" t="str">
        <f>IF(ISERROR(VLOOKUP($A151,Bestellungen!$6:$1048576,MATCH(Kasse!I$5,Bestellungen!$A$5:$X$5,0),0))=FALSE,SUMIF(Kalkulation!$A$6:$A$40,Kasse!I$5&amp;"*",Kalkulation!$C$6:$C$40)*VLOOKUP($A151,Bestellungen!$6:$1048576,MATCH(Kasse!I$5,Bestellungen!$A$5:$X$5,0),0),"")</f>
        <v/>
      </c>
      <c r="J151" s="26" t="str">
        <f>IF(ISERROR(VLOOKUP($A151,Bestellungen!$6:$1048576,MATCH(Kasse!J$5,Bestellungen!$A$5:$X$5,0),0))=FALSE,SUMIF(Kalkulation!$A$6:$A$40,Kasse!J$5&amp;"*",Kalkulation!$C$6:$C$40)*VLOOKUP($A151,Bestellungen!$6:$1048576,MATCH(Kasse!J$5,Bestellungen!$A$5:$X$5,0),0),"")</f>
        <v/>
      </c>
      <c r="K151" s="26" t="str">
        <f>IF(ISERROR(VLOOKUP($A151,Bestellungen!$6:$1048576,MATCH(Kasse!K$5,Bestellungen!$A$5:$X$5,0),0))=FALSE,SUMIF(Kalkulation!$A$6:$A$40,Kasse!K$5&amp;"*",Kalkulation!$C$6:$C$40)*VLOOKUP($A151,Bestellungen!$6:$1048576,MATCH(Kasse!K$5,Bestellungen!$A$5:$X$5,0),0),"")</f>
        <v/>
      </c>
      <c r="L151" s="26" t="str">
        <f>IF(ISERROR(VLOOKUP($A151,Bestellungen!$6:$1048576,MATCH(Kasse!L$5,Bestellungen!$A$5:$X$5,0),0))=FALSE,SUMIF(Kalkulation!$A$6:$A$40,Kasse!L$5&amp;"*",Kalkulation!$C$6:$C$40)*VLOOKUP($A151,Bestellungen!$6:$1048576,MATCH(Kasse!L$5,Bestellungen!$A$5:$X$5,0),0),"")</f>
        <v/>
      </c>
      <c r="M151" s="26" t="str">
        <f>IF(ISERROR(VLOOKUP($A151,Bestellungen!$6:$1048576,MATCH(Kasse!M$5,Bestellungen!$A$5:$X$5,0),0))=FALSE,SUMIF(Kalkulation!$A$6:$A$40,Kasse!M$5&amp;"*",Kalkulation!$C$6:$C$40)*VLOOKUP($A151,Bestellungen!$6:$1048576,MATCH(Kasse!M$5,Bestellungen!$A$5:$X$5,0),0),"")</f>
        <v/>
      </c>
      <c r="N151" s="26" t="str">
        <f>IF(ISERROR(VLOOKUP($A151,Bestellungen!$6:$1048576,MATCH(Kasse!N$5,Bestellungen!$A$5:$X$5,0),0))=FALSE,SUMIF(Kalkulation!$A$6:$A$40,Kasse!N$5&amp;"*",Kalkulation!$C$6:$C$40)*VLOOKUP($A151,Bestellungen!$6:$1048576,MATCH(Kasse!N$5,Bestellungen!$A$5:$X$5,0),0),"")</f>
        <v/>
      </c>
      <c r="O151" s="26" t="str">
        <f>IF(ISERROR(VLOOKUP($A151,Bestellungen!$6:$1048576,MATCH(Kasse!O$5,Bestellungen!$A$5:$X$5,0),0))=FALSE,SUMIF(Kalkulation!$A$6:$A$40,Kasse!O$5&amp;"*",Kalkulation!$C$6:$C$40)*VLOOKUP($A151,Bestellungen!$6:$1048576,MATCH(Kasse!O$5,Bestellungen!$A$5:$X$5,0),0),"")</f>
        <v/>
      </c>
      <c r="P151" s="26" t="str">
        <f>IF(ISERROR(VLOOKUP($A151,Bestellungen!$6:$1048576,MATCH(Kasse!P$5,Bestellungen!$A$5:$X$5,0),0))=FALSE,SUMIF(Kalkulation!$A$6:$A$40,Kasse!P$5&amp;"*",Kalkulation!$C$6:$C$40)*VLOOKUP($A151,Bestellungen!$6:$1048576,MATCH(Kasse!P$5,Bestellungen!$A$5:$X$5,0),0),"")</f>
        <v/>
      </c>
      <c r="Q151" s="26" t="str">
        <f>IF(ISERROR(VLOOKUP($A151,Bestellungen!$6:$1048576,MATCH(Kasse!Q$5,Bestellungen!$A$5:$X$5,0),0))=FALSE,SUMIF(Kalkulation!$A$6:$A$40,Kasse!Q$5&amp;"*",Kalkulation!$C$6:$C$40)*VLOOKUP($A151,Bestellungen!$6:$1048576,MATCH(Kasse!Q$5,Bestellungen!$A$5:$X$5,0),0),"")</f>
        <v/>
      </c>
      <c r="R151" s="26" t="str">
        <f>IF(ISERROR(VLOOKUP($A151,Bestellungen!$6:$1048576,MATCH(Kasse!R$5,Bestellungen!$A$5:$X$5,0),0))=FALSE,SUMIF(Kalkulation!$A$6:$A$40,Kasse!R$5&amp;"*",Kalkulation!$C$6:$C$40)*VLOOKUP($A151,Bestellungen!$6:$1048576,MATCH(Kasse!R$5,Bestellungen!$A$5:$X$5,0),0),"")</f>
        <v/>
      </c>
      <c r="S151" s="26" t="str">
        <f>IF(ISERROR(VLOOKUP($A151,Bestellungen!$6:$1048576,MATCH(Kasse!S$5,Bestellungen!$A$5:$X$5,0),0))=FALSE,SUMIF(Kalkulation!$A$6:$A$40,Kasse!S$5&amp;"*",Kalkulation!$C$6:$C$40)*VLOOKUP($A151,Bestellungen!$6:$1048576,MATCH(Kasse!S$5,Bestellungen!$A$5:$X$5,0),0),"")</f>
        <v/>
      </c>
      <c r="T151" s="26" t="str">
        <f>IF(ISERROR(VLOOKUP($A151,Bestellungen!$6:$1048576,MATCH(Kasse!T$5,Bestellungen!$A$5:$X$5,0),0))=FALSE,SUMIF(Kalkulation!$A$6:$A$40,Kasse!T$5&amp;"*",Kalkulation!$C$6:$C$40)*VLOOKUP($A151,Bestellungen!$6:$1048576,MATCH(Kasse!T$5,Bestellungen!$A$5:$X$5,0),0),"")</f>
        <v/>
      </c>
      <c r="U151" s="26" t="str">
        <f t="shared" si="4"/>
        <v/>
      </c>
      <c r="W151" s="26" t="str">
        <f t="shared" si="5"/>
        <v/>
      </c>
      <c r="X151" s="26"/>
      <c r="Y151" s="26"/>
      <c r="Z151" s="26"/>
      <c r="AA151" s="26"/>
    </row>
    <row r="152" spans="1:27" x14ac:dyDescent="0.25">
      <c r="A152" t="str">
        <f>IF(LEN(Bestellungen!$A152)&gt;0,Bestellungen!$A152,"")</f>
        <v/>
      </c>
      <c r="B152" s="26" t="str">
        <f>IF(ISERROR(VLOOKUP($A152,Bestellungen!$6:$1048576,MATCH(Kasse!B$5,Bestellungen!$A$5:$X$5,0),0))=FALSE,SUMIF(Kalkulation!$A$6:$A$40,Kasse!B$5&amp;"*",Kalkulation!$C$6:$C$40)*VLOOKUP($A152,Bestellungen!$6:$1048576,MATCH(Kasse!B$5,Bestellungen!$A$5:$X$5,0),0),"")</f>
        <v/>
      </c>
      <c r="C152" s="26" t="str">
        <f>IF(ISERROR(VLOOKUP($A152,Bestellungen!$6:$1048576,MATCH(Kasse!C$5,Bestellungen!$A$5:$X$5,0),0))=FALSE,SUMIF(Kalkulation!$A$6:$A$40,Kasse!C$5&amp;"*",Kalkulation!$C$6:$C$40)*VLOOKUP($A152,Bestellungen!$6:$1048576,MATCH(Kasse!C$5,Bestellungen!$A$5:$X$5,0),0),"")</f>
        <v/>
      </c>
      <c r="D152" s="26" t="str">
        <f>IF(ISERROR(VLOOKUP($A152,Bestellungen!$6:$1048576,MATCH(Kasse!D$5,Bestellungen!$A$5:$X$5,0),0))=FALSE,SUMIF(Kalkulation!$A$6:$A$40,Kasse!D$5&amp;"*",Kalkulation!$C$6:$C$40)*VLOOKUP($A152,Bestellungen!$6:$1048576,MATCH(Kasse!D$5,Bestellungen!$A$5:$X$5,0),0),"")</f>
        <v/>
      </c>
      <c r="E152" s="26" t="str">
        <f>IF(ISERROR(VLOOKUP($A152,Bestellungen!$6:$1048576,MATCH(Kasse!E$5,Bestellungen!$A$5:$X$5,0),0))=FALSE,SUMIF(Kalkulation!$A$6:$A$40,Kasse!E$5&amp;"*",Kalkulation!$C$6:$C$40)*VLOOKUP($A152,Bestellungen!$6:$1048576,MATCH(Kasse!E$5,Bestellungen!$A$5:$X$5,0),0),"")</f>
        <v/>
      </c>
      <c r="F152" s="26" t="str">
        <f>IF(ISERROR(VLOOKUP($A152,Bestellungen!$6:$1048576,MATCH(Kasse!F$5,Bestellungen!$A$5:$X$5,0),0))=FALSE,SUMIF(Kalkulation!$A$6:$A$40,Kasse!F$5&amp;"*",Kalkulation!$C$6:$C$40)*VLOOKUP($A152,Bestellungen!$6:$1048576,MATCH(Kasse!F$5,Bestellungen!$A$5:$X$5,0),0),"")</f>
        <v/>
      </c>
      <c r="G152" s="26" t="str">
        <f>IF(ISERROR(VLOOKUP($A152,Bestellungen!$6:$1048576,MATCH(Kasse!G$5,Bestellungen!$A$5:$X$5,0),0))=FALSE,SUMIF(Kalkulation!$A$6:$A$40,Kasse!G$5&amp;"*",Kalkulation!$C$6:$C$40)*VLOOKUP($A152,Bestellungen!$6:$1048576,MATCH(Kasse!G$5,Bestellungen!$A$5:$X$5,0),0),"")</f>
        <v/>
      </c>
      <c r="H152" s="26" t="str">
        <f>IF(ISERROR(VLOOKUP($A152,Bestellungen!$6:$1048576,MATCH(Kasse!H$5,Bestellungen!$A$5:$X$5,0),0))=FALSE,SUMIF(Kalkulation!$A$6:$A$40,Kasse!H$5&amp;"*",Kalkulation!$C$6:$C$40)*VLOOKUP($A152,Bestellungen!$6:$1048576,MATCH(Kasse!H$5,Bestellungen!$A$5:$X$5,0),0),"")</f>
        <v/>
      </c>
      <c r="I152" s="26" t="str">
        <f>IF(ISERROR(VLOOKUP($A152,Bestellungen!$6:$1048576,MATCH(Kasse!I$5,Bestellungen!$A$5:$X$5,0),0))=FALSE,SUMIF(Kalkulation!$A$6:$A$40,Kasse!I$5&amp;"*",Kalkulation!$C$6:$C$40)*VLOOKUP($A152,Bestellungen!$6:$1048576,MATCH(Kasse!I$5,Bestellungen!$A$5:$X$5,0),0),"")</f>
        <v/>
      </c>
      <c r="J152" s="26" t="str">
        <f>IF(ISERROR(VLOOKUP($A152,Bestellungen!$6:$1048576,MATCH(Kasse!J$5,Bestellungen!$A$5:$X$5,0),0))=FALSE,SUMIF(Kalkulation!$A$6:$A$40,Kasse!J$5&amp;"*",Kalkulation!$C$6:$C$40)*VLOOKUP($A152,Bestellungen!$6:$1048576,MATCH(Kasse!J$5,Bestellungen!$A$5:$X$5,0),0),"")</f>
        <v/>
      </c>
      <c r="K152" s="26" t="str">
        <f>IF(ISERROR(VLOOKUP($A152,Bestellungen!$6:$1048576,MATCH(Kasse!K$5,Bestellungen!$A$5:$X$5,0),0))=FALSE,SUMIF(Kalkulation!$A$6:$A$40,Kasse!K$5&amp;"*",Kalkulation!$C$6:$C$40)*VLOOKUP($A152,Bestellungen!$6:$1048576,MATCH(Kasse!K$5,Bestellungen!$A$5:$X$5,0),0),"")</f>
        <v/>
      </c>
      <c r="L152" s="26" t="str">
        <f>IF(ISERROR(VLOOKUP($A152,Bestellungen!$6:$1048576,MATCH(Kasse!L$5,Bestellungen!$A$5:$X$5,0),0))=FALSE,SUMIF(Kalkulation!$A$6:$A$40,Kasse!L$5&amp;"*",Kalkulation!$C$6:$C$40)*VLOOKUP($A152,Bestellungen!$6:$1048576,MATCH(Kasse!L$5,Bestellungen!$A$5:$X$5,0),0),"")</f>
        <v/>
      </c>
      <c r="M152" s="26" t="str">
        <f>IF(ISERROR(VLOOKUP($A152,Bestellungen!$6:$1048576,MATCH(Kasse!M$5,Bestellungen!$A$5:$X$5,0),0))=FALSE,SUMIF(Kalkulation!$A$6:$A$40,Kasse!M$5&amp;"*",Kalkulation!$C$6:$C$40)*VLOOKUP($A152,Bestellungen!$6:$1048576,MATCH(Kasse!M$5,Bestellungen!$A$5:$X$5,0),0),"")</f>
        <v/>
      </c>
      <c r="N152" s="26" t="str">
        <f>IF(ISERROR(VLOOKUP($A152,Bestellungen!$6:$1048576,MATCH(Kasse!N$5,Bestellungen!$A$5:$X$5,0),0))=FALSE,SUMIF(Kalkulation!$A$6:$A$40,Kasse!N$5&amp;"*",Kalkulation!$C$6:$C$40)*VLOOKUP($A152,Bestellungen!$6:$1048576,MATCH(Kasse!N$5,Bestellungen!$A$5:$X$5,0),0),"")</f>
        <v/>
      </c>
      <c r="O152" s="26" t="str">
        <f>IF(ISERROR(VLOOKUP($A152,Bestellungen!$6:$1048576,MATCH(Kasse!O$5,Bestellungen!$A$5:$X$5,0),0))=FALSE,SUMIF(Kalkulation!$A$6:$A$40,Kasse!O$5&amp;"*",Kalkulation!$C$6:$C$40)*VLOOKUP($A152,Bestellungen!$6:$1048576,MATCH(Kasse!O$5,Bestellungen!$A$5:$X$5,0),0),"")</f>
        <v/>
      </c>
      <c r="P152" s="26" t="str">
        <f>IF(ISERROR(VLOOKUP($A152,Bestellungen!$6:$1048576,MATCH(Kasse!P$5,Bestellungen!$A$5:$X$5,0),0))=FALSE,SUMIF(Kalkulation!$A$6:$A$40,Kasse!P$5&amp;"*",Kalkulation!$C$6:$C$40)*VLOOKUP($A152,Bestellungen!$6:$1048576,MATCH(Kasse!P$5,Bestellungen!$A$5:$X$5,0),0),"")</f>
        <v/>
      </c>
      <c r="Q152" s="26" t="str">
        <f>IF(ISERROR(VLOOKUP($A152,Bestellungen!$6:$1048576,MATCH(Kasse!Q$5,Bestellungen!$A$5:$X$5,0),0))=FALSE,SUMIF(Kalkulation!$A$6:$A$40,Kasse!Q$5&amp;"*",Kalkulation!$C$6:$C$40)*VLOOKUP($A152,Bestellungen!$6:$1048576,MATCH(Kasse!Q$5,Bestellungen!$A$5:$X$5,0),0),"")</f>
        <v/>
      </c>
      <c r="R152" s="26" t="str">
        <f>IF(ISERROR(VLOOKUP($A152,Bestellungen!$6:$1048576,MATCH(Kasse!R$5,Bestellungen!$A$5:$X$5,0),0))=FALSE,SUMIF(Kalkulation!$A$6:$A$40,Kasse!R$5&amp;"*",Kalkulation!$C$6:$C$40)*VLOOKUP($A152,Bestellungen!$6:$1048576,MATCH(Kasse!R$5,Bestellungen!$A$5:$X$5,0),0),"")</f>
        <v/>
      </c>
      <c r="S152" s="26" t="str">
        <f>IF(ISERROR(VLOOKUP($A152,Bestellungen!$6:$1048576,MATCH(Kasse!S$5,Bestellungen!$A$5:$X$5,0),0))=FALSE,SUMIF(Kalkulation!$A$6:$A$40,Kasse!S$5&amp;"*",Kalkulation!$C$6:$C$40)*VLOOKUP($A152,Bestellungen!$6:$1048576,MATCH(Kasse!S$5,Bestellungen!$A$5:$X$5,0),0),"")</f>
        <v/>
      </c>
      <c r="T152" s="26" t="str">
        <f>IF(ISERROR(VLOOKUP($A152,Bestellungen!$6:$1048576,MATCH(Kasse!T$5,Bestellungen!$A$5:$X$5,0),0))=FALSE,SUMIF(Kalkulation!$A$6:$A$40,Kasse!T$5&amp;"*",Kalkulation!$C$6:$C$40)*VLOOKUP($A152,Bestellungen!$6:$1048576,MATCH(Kasse!T$5,Bestellungen!$A$5:$X$5,0),0),"")</f>
        <v/>
      </c>
      <c r="U152" s="26" t="str">
        <f t="shared" si="4"/>
        <v/>
      </c>
      <c r="W152" s="26" t="str">
        <f t="shared" si="5"/>
        <v/>
      </c>
      <c r="X152" s="26"/>
      <c r="Y152" s="26"/>
      <c r="Z152" s="26"/>
      <c r="AA152" s="26"/>
    </row>
    <row r="153" spans="1:27" x14ac:dyDescent="0.25">
      <c r="A153" t="str">
        <f>IF(LEN(Bestellungen!$A153)&gt;0,Bestellungen!$A153,"")</f>
        <v/>
      </c>
      <c r="B153" s="26" t="str">
        <f>IF(ISERROR(VLOOKUP($A153,Bestellungen!$6:$1048576,MATCH(Kasse!B$5,Bestellungen!$A$5:$X$5,0),0))=FALSE,SUMIF(Kalkulation!$A$6:$A$40,Kasse!B$5&amp;"*",Kalkulation!$C$6:$C$40)*VLOOKUP($A153,Bestellungen!$6:$1048576,MATCH(Kasse!B$5,Bestellungen!$A$5:$X$5,0),0),"")</f>
        <v/>
      </c>
      <c r="C153" s="26" t="str">
        <f>IF(ISERROR(VLOOKUP($A153,Bestellungen!$6:$1048576,MATCH(Kasse!C$5,Bestellungen!$A$5:$X$5,0),0))=FALSE,SUMIF(Kalkulation!$A$6:$A$40,Kasse!C$5&amp;"*",Kalkulation!$C$6:$C$40)*VLOOKUP($A153,Bestellungen!$6:$1048576,MATCH(Kasse!C$5,Bestellungen!$A$5:$X$5,0),0),"")</f>
        <v/>
      </c>
      <c r="D153" s="26" t="str">
        <f>IF(ISERROR(VLOOKUP($A153,Bestellungen!$6:$1048576,MATCH(Kasse!D$5,Bestellungen!$A$5:$X$5,0),0))=FALSE,SUMIF(Kalkulation!$A$6:$A$40,Kasse!D$5&amp;"*",Kalkulation!$C$6:$C$40)*VLOOKUP($A153,Bestellungen!$6:$1048576,MATCH(Kasse!D$5,Bestellungen!$A$5:$X$5,0),0),"")</f>
        <v/>
      </c>
      <c r="E153" s="26" t="str">
        <f>IF(ISERROR(VLOOKUP($A153,Bestellungen!$6:$1048576,MATCH(Kasse!E$5,Bestellungen!$A$5:$X$5,0),0))=FALSE,SUMIF(Kalkulation!$A$6:$A$40,Kasse!E$5&amp;"*",Kalkulation!$C$6:$C$40)*VLOOKUP($A153,Bestellungen!$6:$1048576,MATCH(Kasse!E$5,Bestellungen!$A$5:$X$5,0),0),"")</f>
        <v/>
      </c>
      <c r="F153" s="26" t="str">
        <f>IF(ISERROR(VLOOKUP($A153,Bestellungen!$6:$1048576,MATCH(Kasse!F$5,Bestellungen!$A$5:$X$5,0),0))=FALSE,SUMIF(Kalkulation!$A$6:$A$40,Kasse!F$5&amp;"*",Kalkulation!$C$6:$C$40)*VLOOKUP($A153,Bestellungen!$6:$1048576,MATCH(Kasse!F$5,Bestellungen!$A$5:$X$5,0),0),"")</f>
        <v/>
      </c>
      <c r="G153" s="26" t="str">
        <f>IF(ISERROR(VLOOKUP($A153,Bestellungen!$6:$1048576,MATCH(Kasse!G$5,Bestellungen!$A$5:$X$5,0),0))=FALSE,SUMIF(Kalkulation!$A$6:$A$40,Kasse!G$5&amp;"*",Kalkulation!$C$6:$C$40)*VLOOKUP($A153,Bestellungen!$6:$1048576,MATCH(Kasse!G$5,Bestellungen!$A$5:$X$5,0),0),"")</f>
        <v/>
      </c>
      <c r="H153" s="26" t="str">
        <f>IF(ISERROR(VLOOKUP($A153,Bestellungen!$6:$1048576,MATCH(Kasse!H$5,Bestellungen!$A$5:$X$5,0),0))=FALSE,SUMIF(Kalkulation!$A$6:$A$40,Kasse!H$5&amp;"*",Kalkulation!$C$6:$C$40)*VLOOKUP($A153,Bestellungen!$6:$1048576,MATCH(Kasse!H$5,Bestellungen!$A$5:$X$5,0),0),"")</f>
        <v/>
      </c>
      <c r="I153" s="26" t="str">
        <f>IF(ISERROR(VLOOKUP($A153,Bestellungen!$6:$1048576,MATCH(Kasse!I$5,Bestellungen!$A$5:$X$5,0),0))=FALSE,SUMIF(Kalkulation!$A$6:$A$40,Kasse!I$5&amp;"*",Kalkulation!$C$6:$C$40)*VLOOKUP($A153,Bestellungen!$6:$1048576,MATCH(Kasse!I$5,Bestellungen!$A$5:$X$5,0),0),"")</f>
        <v/>
      </c>
      <c r="J153" s="26" t="str">
        <f>IF(ISERROR(VLOOKUP($A153,Bestellungen!$6:$1048576,MATCH(Kasse!J$5,Bestellungen!$A$5:$X$5,0),0))=FALSE,SUMIF(Kalkulation!$A$6:$A$40,Kasse!J$5&amp;"*",Kalkulation!$C$6:$C$40)*VLOOKUP($A153,Bestellungen!$6:$1048576,MATCH(Kasse!J$5,Bestellungen!$A$5:$X$5,0),0),"")</f>
        <v/>
      </c>
      <c r="K153" s="26" t="str">
        <f>IF(ISERROR(VLOOKUP($A153,Bestellungen!$6:$1048576,MATCH(Kasse!K$5,Bestellungen!$A$5:$X$5,0),0))=FALSE,SUMIF(Kalkulation!$A$6:$A$40,Kasse!K$5&amp;"*",Kalkulation!$C$6:$C$40)*VLOOKUP($A153,Bestellungen!$6:$1048576,MATCH(Kasse!K$5,Bestellungen!$A$5:$X$5,0),0),"")</f>
        <v/>
      </c>
      <c r="L153" s="26" t="str">
        <f>IF(ISERROR(VLOOKUP($A153,Bestellungen!$6:$1048576,MATCH(Kasse!L$5,Bestellungen!$A$5:$X$5,0),0))=FALSE,SUMIF(Kalkulation!$A$6:$A$40,Kasse!L$5&amp;"*",Kalkulation!$C$6:$C$40)*VLOOKUP($A153,Bestellungen!$6:$1048576,MATCH(Kasse!L$5,Bestellungen!$A$5:$X$5,0),0),"")</f>
        <v/>
      </c>
      <c r="M153" s="26" t="str">
        <f>IF(ISERROR(VLOOKUP($A153,Bestellungen!$6:$1048576,MATCH(Kasse!M$5,Bestellungen!$A$5:$X$5,0),0))=FALSE,SUMIF(Kalkulation!$A$6:$A$40,Kasse!M$5&amp;"*",Kalkulation!$C$6:$C$40)*VLOOKUP($A153,Bestellungen!$6:$1048576,MATCH(Kasse!M$5,Bestellungen!$A$5:$X$5,0),0),"")</f>
        <v/>
      </c>
      <c r="N153" s="26" t="str">
        <f>IF(ISERROR(VLOOKUP($A153,Bestellungen!$6:$1048576,MATCH(Kasse!N$5,Bestellungen!$A$5:$X$5,0),0))=FALSE,SUMIF(Kalkulation!$A$6:$A$40,Kasse!N$5&amp;"*",Kalkulation!$C$6:$C$40)*VLOOKUP($A153,Bestellungen!$6:$1048576,MATCH(Kasse!N$5,Bestellungen!$A$5:$X$5,0),0),"")</f>
        <v/>
      </c>
      <c r="O153" s="26" t="str">
        <f>IF(ISERROR(VLOOKUP($A153,Bestellungen!$6:$1048576,MATCH(Kasse!O$5,Bestellungen!$A$5:$X$5,0),0))=FALSE,SUMIF(Kalkulation!$A$6:$A$40,Kasse!O$5&amp;"*",Kalkulation!$C$6:$C$40)*VLOOKUP($A153,Bestellungen!$6:$1048576,MATCH(Kasse!O$5,Bestellungen!$A$5:$X$5,0),0),"")</f>
        <v/>
      </c>
      <c r="P153" s="26" t="str">
        <f>IF(ISERROR(VLOOKUP($A153,Bestellungen!$6:$1048576,MATCH(Kasse!P$5,Bestellungen!$A$5:$X$5,0),0))=FALSE,SUMIF(Kalkulation!$A$6:$A$40,Kasse!P$5&amp;"*",Kalkulation!$C$6:$C$40)*VLOOKUP($A153,Bestellungen!$6:$1048576,MATCH(Kasse!P$5,Bestellungen!$A$5:$X$5,0),0),"")</f>
        <v/>
      </c>
      <c r="Q153" s="26" t="str">
        <f>IF(ISERROR(VLOOKUP($A153,Bestellungen!$6:$1048576,MATCH(Kasse!Q$5,Bestellungen!$A$5:$X$5,0),0))=FALSE,SUMIF(Kalkulation!$A$6:$A$40,Kasse!Q$5&amp;"*",Kalkulation!$C$6:$C$40)*VLOOKUP($A153,Bestellungen!$6:$1048576,MATCH(Kasse!Q$5,Bestellungen!$A$5:$X$5,0),0),"")</f>
        <v/>
      </c>
      <c r="R153" s="26" t="str">
        <f>IF(ISERROR(VLOOKUP($A153,Bestellungen!$6:$1048576,MATCH(Kasse!R$5,Bestellungen!$A$5:$X$5,0),0))=FALSE,SUMIF(Kalkulation!$A$6:$A$40,Kasse!R$5&amp;"*",Kalkulation!$C$6:$C$40)*VLOOKUP($A153,Bestellungen!$6:$1048576,MATCH(Kasse!R$5,Bestellungen!$A$5:$X$5,0),0),"")</f>
        <v/>
      </c>
      <c r="S153" s="26" t="str">
        <f>IF(ISERROR(VLOOKUP($A153,Bestellungen!$6:$1048576,MATCH(Kasse!S$5,Bestellungen!$A$5:$X$5,0),0))=FALSE,SUMIF(Kalkulation!$A$6:$A$40,Kasse!S$5&amp;"*",Kalkulation!$C$6:$C$40)*VLOOKUP($A153,Bestellungen!$6:$1048576,MATCH(Kasse!S$5,Bestellungen!$A$5:$X$5,0),0),"")</f>
        <v/>
      </c>
      <c r="T153" s="26" t="str">
        <f>IF(ISERROR(VLOOKUP($A153,Bestellungen!$6:$1048576,MATCH(Kasse!T$5,Bestellungen!$A$5:$X$5,0),0))=FALSE,SUMIF(Kalkulation!$A$6:$A$40,Kasse!T$5&amp;"*",Kalkulation!$C$6:$C$40)*VLOOKUP($A153,Bestellungen!$6:$1048576,MATCH(Kasse!T$5,Bestellungen!$A$5:$X$5,0),0),"")</f>
        <v/>
      </c>
      <c r="U153" s="26" t="str">
        <f t="shared" si="4"/>
        <v/>
      </c>
      <c r="W153" s="26" t="str">
        <f t="shared" si="5"/>
        <v/>
      </c>
      <c r="X153" s="26"/>
      <c r="Y153" s="26"/>
      <c r="Z153" s="26"/>
      <c r="AA153" s="26"/>
    </row>
    <row r="154" spans="1:27" x14ac:dyDescent="0.25">
      <c r="A154" t="str">
        <f>IF(LEN(Bestellungen!$A154)&gt;0,Bestellungen!$A154,"")</f>
        <v/>
      </c>
      <c r="B154" s="26" t="str">
        <f>IF(ISERROR(VLOOKUP($A154,Bestellungen!$6:$1048576,MATCH(Kasse!B$5,Bestellungen!$A$5:$X$5,0),0))=FALSE,SUMIF(Kalkulation!$A$6:$A$40,Kasse!B$5&amp;"*",Kalkulation!$C$6:$C$40)*VLOOKUP($A154,Bestellungen!$6:$1048576,MATCH(Kasse!B$5,Bestellungen!$A$5:$X$5,0),0),"")</f>
        <v/>
      </c>
      <c r="C154" s="26" t="str">
        <f>IF(ISERROR(VLOOKUP($A154,Bestellungen!$6:$1048576,MATCH(Kasse!C$5,Bestellungen!$A$5:$X$5,0),0))=FALSE,SUMIF(Kalkulation!$A$6:$A$40,Kasse!C$5&amp;"*",Kalkulation!$C$6:$C$40)*VLOOKUP($A154,Bestellungen!$6:$1048576,MATCH(Kasse!C$5,Bestellungen!$A$5:$X$5,0),0),"")</f>
        <v/>
      </c>
      <c r="D154" s="26" t="str">
        <f>IF(ISERROR(VLOOKUP($A154,Bestellungen!$6:$1048576,MATCH(Kasse!D$5,Bestellungen!$A$5:$X$5,0),0))=FALSE,SUMIF(Kalkulation!$A$6:$A$40,Kasse!D$5&amp;"*",Kalkulation!$C$6:$C$40)*VLOOKUP($A154,Bestellungen!$6:$1048576,MATCH(Kasse!D$5,Bestellungen!$A$5:$X$5,0),0),"")</f>
        <v/>
      </c>
      <c r="E154" s="26" t="str">
        <f>IF(ISERROR(VLOOKUP($A154,Bestellungen!$6:$1048576,MATCH(Kasse!E$5,Bestellungen!$A$5:$X$5,0),0))=FALSE,SUMIF(Kalkulation!$A$6:$A$40,Kasse!E$5&amp;"*",Kalkulation!$C$6:$C$40)*VLOOKUP($A154,Bestellungen!$6:$1048576,MATCH(Kasse!E$5,Bestellungen!$A$5:$X$5,0),0),"")</f>
        <v/>
      </c>
      <c r="F154" s="26" t="str">
        <f>IF(ISERROR(VLOOKUP($A154,Bestellungen!$6:$1048576,MATCH(Kasse!F$5,Bestellungen!$A$5:$X$5,0),0))=FALSE,SUMIF(Kalkulation!$A$6:$A$40,Kasse!F$5&amp;"*",Kalkulation!$C$6:$C$40)*VLOOKUP($A154,Bestellungen!$6:$1048576,MATCH(Kasse!F$5,Bestellungen!$A$5:$X$5,0),0),"")</f>
        <v/>
      </c>
      <c r="G154" s="26" t="str">
        <f>IF(ISERROR(VLOOKUP($A154,Bestellungen!$6:$1048576,MATCH(Kasse!G$5,Bestellungen!$A$5:$X$5,0),0))=FALSE,SUMIF(Kalkulation!$A$6:$A$40,Kasse!G$5&amp;"*",Kalkulation!$C$6:$C$40)*VLOOKUP($A154,Bestellungen!$6:$1048576,MATCH(Kasse!G$5,Bestellungen!$A$5:$X$5,0),0),"")</f>
        <v/>
      </c>
      <c r="H154" s="26" t="str">
        <f>IF(ISERROR(VLOOKUP($A154,Bestellungen!$6:$1048576,MATCH(Kasse!H$5,Bestellungen!$A$5:$X$5,0),0))=FALSE,SUMIF(Kalkulation!$A$6:$A$40,Kasse!H$5&amp;"*",Kalkulation!$C$6:$C$40)*VLOOKUP($A154,Bestellungen!$6:$1048576,MATCH(Kasse!H$5,Bestellungen!$A$5:$X$5,0),0),"")</f>
        <v/>
      </c>
      <c r="I154" s="26" t="str">
        <f>IF(ISERROR(VLOOKUP($A154,Bestellungen!$6:$1048576,MATCH(Kasse!I$5,Bestellungen!$A$5:$X$5,0),0))=FALSE,SUMIF(Kalkulation!$A$6:$A$40,Kasse!I$5&amp;"*",Kalkulation!$C$6:$C$40)*VLOOKUP($A154,Bestellungen!$6:$1048576,MATCH(Kasse!I$5,Bestellungen!$A$5:$X$5,0),0),"")</f>
        <v/>
      </c>
      <c r="J154" s="26" t="str">
        <f>IF(ISERROR(VLOOKUP($A154,Bestellungen!$6:$1048576,MATCH(Kasse!J$5,Bestellungen!$A$5:$X$5,0),0))=FALSE,SUMIF(Kalkulation!$A$6:$A$40,Kasse!J$5&amp;"*",Kalkulation!$C$6:$C$40)*VLOOKUP($A154,Bestellungen!$6:$1048576,MATCH(Kasse!J$5,Bestellungen!$A$5:$X$5,0),0),"")</f>
        <v/>
      </c>
      <c r="K154" s="26" t="str">
        <f>IF(ISERROR(VLOOKUP($A154,Bestellungen!$6:$1048576,MATCH(Kasse!K$5,Bestellungen!$A$5:$X$5,0),0))=FALSE,SUMIF(Kalkulation!$A$6:$A$40,Kasse!K$5&amp;"*",Kalkulation!$C$6:$C$40)*VLOOKUP($A154,Bestellungen!$6:$1048576,MATCH(Kasse!K$5,Bestellungen!$A$5:$X$5,0),0),"")</f>
        <v/>
      </c>
      <c r="L154" s="26" t="str">
        <f>IF(ISERROR(VLOOKUP($A154,Bestellungen!$6:$1048576,MATCH(Kasse!L$5,Bestellungen!$A$5:$X$5,0),0))=FALSE,SUMIF(Kalkulation!$A$6:$A$40,Kasse!L$5&amp;"*",Kalkulation!$C$6:$C$40)*VLOOKUP($A154,Bestellungen!$6:$1048576,MATCH(Kasse!L$5,Bestellungen!$A$5:$X$5,0),0),"")</f>
        <v/>
      </c>
      <c r="M154" s="26" t="str">
        <f>IF(ISERROR(VLOOKUP($A154,Bestellungen!$6:$1048576,MATCH(Kasse!M$5,Bestellungen!$A$5:$X$5,0),0))=FALSE,SUMIF(Kalkulation!$A$6:$A$40,Kasse!M$5&amp;"*",Kalkulation!$C$6:$C$40)*VLOOKUP($A154,Bestellungen!$6:$1048576,MATCH(Kasse!M$5,Bestellungen!$A$5:$X$5,0),0),"")</f>
        <v/>
      </c>
      <c r="N154" s="26" t="str">
        <f>IF(ISERROR(VLOOKUP($A154,Bestellungen!$6:$1048576,MATCH(Kasse!N$5,Bestellungen!$A$5:$X$5,0),0))=FALSE,SUMIF(Kalkulation!$A$6:$A$40,Kasse!N$5&amp;"*",Kalkulation!$C$6:$C$40)*VLOOKUP($A154,Bestellungen!$6:$1048576,MATCH(Kasse!N$5,Bestellungen!$A$5:$X$5,0),0),"")</f>
        <v/>
      </c>
      <c r="O154" s="26" t="str">
        <f>IF(ISERROR(VLOOKUP($A154,Bestellungen!$6:$1048576,MATCH(Kasse!O$5,Bestellungen!$A$5:$X$5,0),0))=FALSE,SUMIF(Kalkulation!$A$6:$A$40,Kasse!O$5&amp;"*",Kalkulation!$C$6:$C$40)*VLOOKUP($A154,Bestellungen!$6:$1048576,MATCH(Kasse!O$5,Bestellungen!$A$5:$X$5,0),0),"")</f>
        <v/>
      </c>
      <c r="P154" s="26" t="str">
        <f>IF(ISERROR(VLOOKUP($A154,Bestellungen!$6:$1048576,MATCH(Kasse!P$5,Bestellungen!$A$5:$X$5,0),0))=FALSE,SUMIF(Kalkulation!$A$6:$A$40,Kasse!P$5&amp;"*",Kalkulation!$C$6:$C$40)*VLOOKUP($A154,Bestellungen!$6:$1048576,MATCH(Kasse!P$5,Bestellungen!$A$5:$X$5,0),0),"")</f>
        <v/>
      </c>
      <c r="Q154" s="26" t="str">
        <f>IF(ISERROR(VLOOKUP($A154,Bestellungen!$6:$1048576,MATCH(Kasse!Q$5,Bestellungen!$A$5:$X$5,0),0))=FALSE,SUMIF(Kalkulation!$A$6:$A$40,Kasse!Q$5&amp;"*",Kalkulation!$C$6:$C$40)*VLOOKUP($A154,Bestellungen!$6:$1048576,MATCH(Kasse!Q$5,Bestellungen!$A$5:$X$5,0),0),"")</f>
        <v/>
      </c>
      <c r="R154" s="26" t="str">
        <f>IF(ISERROR(VLOOKUP($A154,Bestellungen!$6:$1048576,MATCH(Kasse!R$5,Bestellungen!$A$5:$X$5,0),0))=FALSE,SUMIF(Kalkulation!$A$6:$A$40,Kasse!R$5&amp;"*",Kalkulation!$C$6:$C$40)*VLOOKUP($A154,Bestellungen!$6:$1048576,MATCH(Kasse!R$5,Bestellungen!$A$5:$X$5,0),0),"")</f>
        <v/>
      </c>
      <c r="S154" s="26" t="str">
        <f>IF(ISERROR(VLOOKUP($A154,Bestellungen!$6:$1048576,MATCH(Kasse!S$5,Bestellungen!$A$5:$X$5,0),0))=FALSE,SUMIF(Kalkulation!$A$6:$A$40,Kasse!S$5&amp;"*",Kalkulation!$C$6:$C$40)*VLOOKUP($A154,Bestellungen!$6:$1048576,MATCH(Kasse!S$5,Bestellungen!$A$5:$X$5,0),0),"")</f>
        <v/>
      </c>
      <c r="T154" s="26" t="str">
        <f>IF(ISERROR(VLOOKUP($A154,Bestellungen!$6:$1048576,MATCH(Kasse!T$5,Bestellungen!$A$5:$X$5,0),0))=FALSE,SUMIF(Kalkulation!$A$6:$A$40,Kasse!T$5&amp;"*",Kalkulation!$C$6:$C$40)*VLOOKUP($A154,Bestellungen!$6:$1048576,MATCH(Kasse!T$5,Bestellungen!$A$5:$X$5,0),0),"")</f>
        <v/>
      </c>
      <c r="U154" s="26" t="str">
        <f t="shared" si="4"/>
        <v/>
      </c>
      <c r="W154" s="26" t="str">
        <f t="shared" si="5"/>
        <v/>
      </c>
      <c r="X154" s="26"/>
      <c r="Y154" s="26"/>
      <c r="Z154" s="26"/>
      <c r="AA154" s="26"/>
    </row>
    <row r="155" spans="1:27" x14ac:dyDescent="0.25">
      <c r="A155" t="str">
        <f>IF(LEN(Bestellungen!$A155)&gt;0,Bestellungen!$A155,"")</f>
        <v/>
      </c>
      <c r="B155" s="26" t="str">
        <f>IF(ISERROR(VLOOKUP($A155,Bestellungen!$6:$1048576,MATCH(Kasse!B$5,Bestellungen!$A$5:$X$5,0),0))=FALSE,SUMIF(Kalkulation!$A$6:$A$40,Kasse!B$5&amp;"*",Kalkulation!$C$6:$C$40)*VLOOKUP($A155,Bestellungen!$6:$1048576,MATCH(Kasse!B$5,Bestellungen!$A$5:$X$5,0),0),"")</f>
        <v/>
      </c>
      <c r="C155" s="26" t="str">
        <f>IF(ISERROR(VLOOKUP($A155,Bestellungen!$6:$1048576,MATCH(Kasse!C$5,Bestellungen!$A$5:$X$5,0),0))=FALSE,SUMIF(Kalkulation!$A$6:$A$40,Kasse!C$5&amp;"*",Kalkulation!$C$6:$C$40)*VLOOKUP($A155,Bestellungen!$6:$1048576,MATCH(Kasse!C$5,Bestellungen!$A$5:$X$5,0),0),"")</f>
        <v/>
      </c>
      <c r="D155" s="26" t="str">
        <f>IF(ISERROR(VLOOKUP($A155,Bestellungen!$6:$1048576,MATCH(Kasse!D$5,Bestellungen!$A$5:$X$5,0),0))=FALSE,SUMIF(Kalkulation!$A$6:$A$40,Kasse!D$5&amp;"*",Kalkulation!$C$6:$C$40)*VLOOKUP($A155,Bestellungen!$6:$1048576,MATCH(Kasse!D$5,Bestellungen!$A$5:$X$5,0),0),"")</f>
        <v/>
      </c>
      <c r="E155" s="26" t="str">
        <f>IF(ISERROR(VLOOKUP($A155,Bestellungen!$6:$1048576,MATCH(Kasse!E$5,Bestellungen!$A$5:$X$5,0),0))=FALSE,SUMIF(Kalkulation!$A$6:$A$40,Kasse!E$5&amp;"*",Kalkulation!$C$6:$C$40)*VLOOKUP($A155,Bestellungen!$6:$1048576,MATCH(Kasse!E$5,Bestellungen!$A$5:$X$5,0),0),"")</f>
        <v/>
      </c>
      <c r="F155" s="26" t="str">
        <f>IF(ISERROR(VLOOKUP($A155,Bestellungen!$6:$1048576,MATCH(Kasse!F$5,Bestellungen!$A$5:$X$5,0),0))=FALSE,SUMIF(Kalkulation!$A$6:$A$40,Kasse!F$5&amp;"*",Kalkulation!$C$6:$C$40)*VLOOKUP($A155,Bestellungen!$6:$1048576,MATCH(Kasse!F$5,Bestellungen!$A$5:$X$5,0),0),"")</f>
        <v/>
      </c>
      <c r="G155" s="26" t="str">
        <f>IF(ISERROR(VLOOKUP($A155,Bestellungen!$6:$1048576,MATCH(Kasse!G$5,Bestellungen!$A$5:$X$5,0),0))=FALSE,SUMIF(Kalkulation!$A$6:$A$40,Kasse!G$5&amp;"*",Kalkulation!$C$6:$C$40)*VLOOKUP($A155,Bestellungen!$6:$1048576,MATCH(Kasse!G$5,Bestellungen!$A$5:$X$5,0),0),"")</f>
        <v/>
      </c>
      <c r="H155" s="26" t="str">
        <f>IF(ISERROR(VLOOKUP($A155,Bestellungen!$6:$1048576,MATCH(Kasse!H$5,Bestellungen!$A$5:$X$5,0),0))=FALSE,SUMIF(Kalkulation!$A$6:$A$40,Kasse!H$5&amp;"*",Kalkulation!$C$6:$C$40)*VLOOKUP($A155,Bestellungen!$6:$1048576,MATCH(Kasse!H$5,Bestellungen!$A$5:$X$5,0),0),"")</f>
        <v/>
      </c>
      <c r="I155" s="26" t="str">
        <f>IF(ISERROR(VLOOKUP($A155,Bestellungen!$6:$1048576,MATCH(Kasse!I$5,Bestellungen!$A$5:$X$5,0),0))=FALSE,SUMIF(Kalkulation!$A$6:$A$40,Kasse!I$5&amp;"*",Kalkulation!$C$6:$C$40)*VLOOKUP($A155,Bestellungen!$6:$1048576,MATCH(Kasse!I$5,Bestellungen!$A$5:$X$5,0),0),"")</f>
        <v/>
      </c>
      <c r="J155" s="26" t="str">
        <f>IF(ISERROR(VLOOKUP($A155,Bestellungen!$6:$1048576,MATCH(Kasse!J$5,Bestellungen!$A$5:$X$5,0),0))=FALSE,SUMIF(Kalkulation!$A$6:$A$40,Kasse!J$5&amp;"*",Kalkulation!$C$6:$C$40)*VLOOKUP($A155,Bestellungen!$6:$1048576,MATCH(Kasse!J$5,Bestellungen!$A$5:$X$5,0),0),"")</f>
        <v/>
      </c>
      <c r="K155" s="26" t="str">
        <f>IF(ISERROR(VLOOKUP($A155,Bestellungen!$6:$1048576,MATCH(Kasse!K$5,Bestellungen!$A$5:$X$5,0),0))=FALSE,SUMIF(Kalkulation!$A$6:$A$40,Kasse!K$5&amp;"*",Kalkulation!$C$6:$C$40)*VLOOKUP($A155,Bestellungen!$6:$1048576,MATCH(Kasse!K$5,Bestellungen!$A$5:$X$5,0),0),"")</f>
        <v/>
      </c>
      <c r="L155" s="26" t="str">
        <f>IF(ISERROR(VLOOKUP($A155,Bestellungen!$6:$1048576,MATCH(Kasse!L$5,Bestellungen!$A$5:$X$5,0),0))=FALSE,SUMIF(Kalkulation!$A$6:$A$40,Kasse!L$5&amp;"*",Kalkulation!$C$6:$C$40)*VLOOKUP($A155,Bestellungen!$6:$1048576,MATCH(Kasse!L$5,Bestellungen!$A$5:$X$5,0),0),"")</f>
        <v/>
      </c>
      <c r="M155" s="26" t="str">
        <f>IF(ISERROR(VLOOKUP($A155,Bestellungen!$6:$1048576,MATCH(Kasse!M$5,Bestellungen!$A$5:$X$5,0),0))=FALSE,SUMIF(Kalkulation!$A$6:$A$40,Kasse!M$5&amp;"*",Kalkulation!$C$6:$C$40)*VLOOKUP($A155,Bestellungen!$6:$1048576,MATCH(Kasse!M$5,Bestellungen!$A$5:$X$5,0),0),"")</f>
        <v/>
      </c>
      <c r="N155" s="26" t="str">
        <f>IF(ISERROR(VLOOKUP($A155,Bestellungen!$6:$1048576,MATCH(Kasse!N$5,Bestellungen!$A$5:$X$5,0),0))=FALSE,SUMIF(Kalkulation!$A$6:$A$40,Kasse!N$5&amp;"*",Kalkulation!$C$6:$C$40)*VLOOKUP($A155,Bestellungen!$6:$1048576,MATCH(Kasse!N$5,Bestellungen!$A$5:$X$5,0),0),"")</f>
        <v/>
      </c>
      <c r="O155" s="26" t="str">
        <f>IF(ISERROR(VLOOKUP($A155,Bestellungen!$6:$1048576,MATCH(Kasse!O$5,Bestellungen!$A$5:$X$5,0),0))=FALSE,SUMIF(Kalkulation!$A$6:$A$40,Kasse!O$5&amp;"*",Kalkulation!$C$6:$C$40)*VLOOKUP($A155,Bestellungen!$6:$1048576,MATCH(Kasse!O$5,Bestellungen!$A$5:$X$5,0),0),"")</f>
        <v/>
      </c>
      <c r="P155" s="26" t="str">
        <f>IF(ISERROR(VLOOKUP($A155,Bestellungen!$6:$1048576,MATCH(Kasse!P$5,Bestellungen!$A$5:$X$5,0),0))=FALSE,SUMIF(Kalkulation!$A$6:$A$40,Kasse!P$5&amp;"*",Kalkulation!$C$6:$C$40)*VLOOKUP($A155,Bestellungen!$6:$1048576,MATCH(Kasse!P$5,Bestellungen!$A$5:$X$5,0),0),"")</f>
        <v/>
      </c>
      <c r="Q155" s="26" t="str">
        <f>IF(ISERROR(VLOOKUP($A155,Bestellungen!$6:$1048576,MATCH(Kasse!Q$5,Bestellungen!$A$5:$X$5,0),0))=FALSE,SUMIF(Kalkulation!$A$6:$A$40,Kasse!Q$5&amp;"*",Kalkulation!$C$6:$C$40)*VLOOKUP($A155,Bestellungen!$6:$1048576,MATCH(Kasse!Q$5,Bestellungen!$A$5:$X$5,0),0),"")</f>
        <v/>
      </c>
      <c r="R155" s="26" t="str">
        <f>IF(ISERROR(VLOOKUP($A155,Bestellungen!$6:$1048576,MATCH(Kasse!R$5,Bestellungen!$A$5:$X$5,0),0))=FALSE,SUMIF(Kalkulation!$A$6:$A$40,Kasse!R$5&amp;"*",Kalkulation!$C$6:$C$40)*VLOOKUP($A155,Bestellungen!$6:$1048576,MATCH(Kasse!R$5,Bestellungen!$A$5:$X$5,0),0),"")</f>
        <v/>
      </c>
      <c r="S155" s="26" t="str">
        <f>IF(ISERROR(VLOOKUP($A155,Bestellungen!$6:$1048576,MATCH(Kasse!S$5,Bestellungen!$A$5:$X$5,0),0))=FALSE,SUMIF(Kalkulation!$A$6:$A$40,Kasse!S$5&amp;"*",Kalkulation!$C$6:$C$40)*VLOOKUP($A155,Bestellungen!$6:$1048576,MATCH(Kasse!S$5,Bestellungen!$A$5:$X$5,0),0),"")</f>
        <v/>
      </c>
      <c r="T155" s="26" t="str">
        <f>IF(ISERROR(VLOOKUP($A155,Bestellungen!$6:$1048576,MATCH(Kasse!T$5,Bestellungen!$A$5:$X$5,0),0))=FALSE,SUMIF(Kalkulation!$A$6:$A$40,Kasse!T$5&amp;"*",Kalkulation!$C$6:$C$40)*VLOOKUP($A155,Bestellungen!$6:$1048576,MATCH(Kasse!T$5,Bestellungen!$A$5:$X$5,0),0),"")</f>
        <v/>
      </c>
      <c r="U155" s="26" t="str">
        <f t="shared" si="4"/>
        <v/>
      </c>
      <c r="W155" s="26" t="str">
        <f t="shared" si="5"/>
        <v/>
      </c>
      <c r="X155" s="26"/>
      <c r="Y155" s="26"/>
      <c r="Z155" s="26"/>
      <c r="AA155" s="26"/>
    </row>
    <row r="156" spans="1:27" x14ac:dyDescent="0.25">
      <c r="A156" t="str">
        <f>IF(LEN(Bestellungen!$A156)&gt;0,Bestellungen!$A156,"")</f>
        <v/>
      </c>
      <c r="B156" s="26" t="str">
        <f>IF(ISERROR(VLOOKUP($A156,Bestellungen!$6:$1048576,MATCH(Kasse!B$5,Bestellungen!$A$5:$X$5,0),0))=FALSE,SUMIF(Kalkulation!$A$6:$A$40,Kasse!B$5&amp;"*",Kalkulation!$C$6:$C$40)*VLOOKUP($A156,Bestellungen!$6:$1048576,MATCH(Kasse!B$5,Bestellungen!$A$5:$X$5,0),0),"")</f>
        <v/>
      </c>
      <c r="C156" s="26" t="str">
        <f>IF(ISERROR(VLOOKUP($A156,Bestellungen!$6:$1048576,MATCH(Kasse!C$5,Bestellungen!$A$5:$X$5,0),0))=FALSE,SUMIF(Kalkulation!$A$6:$A$40,Kasse!C$5&amp;"*",Kalkulation!$C$6:$C$40)*VLOOKUP($A156,Bestellungen!$6:$1048576,MATCH(Kasse!C$5,Bestellungen!$A$5:$X$5,0),0),"")</f>
        <v/>
      </c>
      <c r="D156" s="26" t="str">
        <f>IF(ISERROR(VLOOKUP($A156,Bestellungen!$6:$1048576,MATCH(Kasse!D$5,Bestellungen!$A$5:$X$5,0),0))=FALSE,SUMIF(Kalkulation!$A$6:$A$40,Kasse!D$5&amp;"*",Kalkulation!$C$6:$C$40)*VLOOKUP($A156,Bestellungen!$6:$1048576,MATCH(Kasse!D$5,Bestellungen!$A$5:$X$5,0),0),"")</f>
        <v/>
      </c>
      <c r="E156" s="26" t="str">
        <f>IF(ISERROR(VLOOKUP($A156,Bestellungen!$6:$1048576,MATCH(Kasse!E$5,Bestellungen!$A$5:$X$5,0),0))=FALSE,SUMIF(Kalkulation!$A$6:$A$40,Kasse!E$5&amp;"*",Kalkulation!$C$6:$C$40)*VLOOKUP($A156,Bestellungen!$6:$1048576,MATCH(Kasse!E$5,Bestellungen!$A$5:$X$5,0),0),"")</f>
        <v/>
      </c>
      <c r="F156" s="26" t="str">
        <f>IF(ISERROR(VLOOKUP($A156,Bestellungen!$6:$1048576,MATCH(Kasse!F$5,Bestellungen!$A$5:$X$5,0),0))=FALSE,SUMIF(Kalkulation!$A$6:$A$40,Kasse!F$5&amp;"*",Kalkulation!$C$6:$C$40)*VLOOKUP($A156,Bestellungen!$6:$1048576,MATCH(Kasse!F$5,Bestellungen!$A$5:$X$5,0),0),"")</f>
        <v/>
      </c>
      <c r="G156" s="26" t="str">
        <f>IF(ISERROR(VLOOKUP($A156,Bestellungen!$6:$1048576,MATCH(Kasse!G$5,Bestellungen!$A$5:$X$5,0),0))=FALSE,SUMIF(Kalkulation!$A$6:$A$40,Kasse!G$5&amp;"*",Kalkulation!$C$6:$C$40)*VLOOKUP($A156,Bestellungen!$6:$1048576,MATCH(Kasse!G$5,Bestellungen!$A$5:$X$5,0),0),"")</f>
        <v/>
      </c>
      <c r="H156" s="26" t="str">
        <f>IF(ISERROR(VLOOKUP($A156,Bestellungen!$6:$1048576,MATCH(Kasse!H$5,Bestellungen!$A$5:$X$5,0),0))=FALSE,SUMIF(Kalkulation!$A$6:$A$40,Kasse!H$5&amp;"*",Kalkulation!$C$6:$C$40)*VLOOKUP($A156,Bestellungen!$6:$1048576,MATCH(Kasse!H$5,Bestellungen!$A$5:$X$5,0),0),"")</f>
        <v/>
      </c>
      <c r="I156" s="26" t="str">
        <f>IF(ISERROR(VLOOKUP($A156,Bestellungen!$6:$1048576,MATCH(Kasse!I$5,Bestellungen!$A$5:$X$5,0),0))=FALSE,SUMIF(Kalkulation!$A$6:$A$40,Kasse!I$5&amp;"*",Kalkulation!$C$6:$C$40)*VLOOKUP($A156,Bestellungen!$6:$1048576,MATCH(Kasse!I$5,Bestellungen!$A$5:$X$5,0),0),"")</f>
        <v/>
      </c>
      <c r="J156" s="26" t="str">
        <f>IF(ISERROR(VLOOKUP($A156,Bestellungen!$6:$1048576,MATCH(Kasse!J$5,Bestellungen!$A$5:$X$5,0),0))=FALSE,SUMIF(Kalkulation!$A$6:$A$40,Kasse!J$5&amp;"*",Kalkulation!$C$6:$C$40)*VLOOKUP($A156,Bestellungen!$6:$1048576,MATCH(Kasse!J$5,Bestellungen!$A$5:$X$5,0),0),"")</f>
        <v/>
      </c>
      <c r="K156" s="26" t="str">
        <f>IF(ISERROR(VLOOKUP($A156,Bestellungen!$6:$1048576,MATCH(Kasse!K$5,Bestellungen!$A$5:$X$5,0),0))=FALSE,SUMIF(Kalkulation!$A$6:$A$40,Kasse!K$5&amp;"*",Kalkulation!$C$6:$C$40)*VLOOKUP($A156,Bestellungen!$6:$1048576,MATCH(Kasse!K$5,Bestellungen!$A$5:$X$5,0),0),"")</f>
        <v/>
      </c>
      <c r="L156" s="26" t="str">
        <f>IF(ISERROR(VLOOKUP($A156,Bestellungen!$6:$1048576,MATCH(Kasse!L$5,Bestellungen!$A$5:$X$5,0),0))=FALSE,SUMIF(Kalkulation!$A$6:$A$40,Kasse!L$5&amp;"*",Kalkulation!$C$6:$C$40)*VLOOKUP($A156,Bestellungen!$6:$1048576,MATCH(Kasse!L$5,Bestellungen!$A$5:$X$5,0),0),"")</f>
        <v/>
      </c>
      <c r="M156" s="26" t="str">
        <f>IF(ISERROR(VLOOKUP($A156,Bestellungen!$6:$1048576,MATCH(Kasse!M$5,Bestellungen!$A$5:$X$5,0),0))=FALSE,SUMIF(Kalkulation!$A$6:$A$40,Kasse!M$5&amp;"*",Kalkulation!$C$6:$C$40)*VLOOKUP($A156,Bestellungen!$6:$1048576,MATCH(Kasse!M$5,Bestellungen!$A$5:$X$5,0),0),"")</f>
        <v/>
      </c>
      <c r="N156" s="26" t="str">
        <f>IF(ISERROR(VLOOKUP($A156,Bestellungen!$6:$1048576,MATCH(Kasse!N$5,Bestellungen!$A$5:$X$5,0),0))=FALSE,SUMIF(Kalkulation!$A$6:$A$40,Kasse!N$5&amp;"*",Kalkulation!$C$6:$C$40)*VLOOKUP($A156,Bestellungen!$6:$1048576,MATCH(Kasse!N$5,Bestellungen!$A$5:$X$5,0),0),"")</f>
        <v/>
      </c>
      <c r="O156" s="26" t="str">
        <f>IF(ISERROR(VLOOKUP($A156,Bestellungen!$6:$1048576,MATCH(Kasse!O$5,Bestellungen!$A$5:$X$5,0),0))=FALSE,SUMIF(Kalkulation!$A$6:$A$40,Kasse!O$5&amp;"*",Kalkulation!$C$6:$C$40)*VLOOKUP($A156,Bestellungen!$6:$1048576,MATCH(Kasse!O$5,Bestellungen!$A$5:$X$5,0),0),"")</f>
        <v/>
      </c>
      <c r="P156" s="26" t="str">
        <f>IF(ISERROR(VLOOKUP($A156,Bestellungen!$6:$1048576,MATCH(Kasse!P$5,Bestellungen!$A$5:$X$5,0),0))=FALSE,SUMIF(Kalkulation!$A$6:$A$40,Kasse!P$5&amp;"*",Kalkulation!$C$6:$C$40)*VLOOKUP($A156,Bestellungen!$6:$1048576,MATCH(Kasse!P$5,Bestellungen!$A$5:$X$5,0),0),"")</f>
        <v/>
      </c>
      <c r="Q156" s="26" t="str">
        <f>IF(ISERROR(VLOOKUP($A156,Bestellungen!$6:$1048576,MATCH(Kasse!Q$5,Bestellungen!$A$5:$X$5,0),0))=FALSE,SUMIF(Kalkulation!$A$6:$A$40,Kasse!Q$5&amp;"*",Kalkulation!$C$6:$C$40)*VLOOKUP($A156,Bestellungen!$6:$1048576,MATCH(Kasse!Q$5,Bestellungen!$A$5:$X$5,0),0),"")</f>
        <v/>
      </c>
      <c r="R156" s="26" t="str">
        <f>IF(ISERROR(VLOOKUP($A156,Bestellungen!$6:$1048576,MATCH(Kasse!R$5,Bestellungen!$A$5:$X$5,0),0))=FALSE,SUMIF(Kalkulation!$A$6:$A$40,Kasse!R$5&amp;"*",Kalkulation!$C$6:$C$40)*VLOOKUP($A156,Bestellungen!$6:$1048576,MATCH(Kasse!R$5,Bestellungen!$A$5:$X$5,0),0),"")</f>
        <v/>
      </c>
      <c r="S156" s="26" t="str">
        <f>IF(ISERROR(VLOOKUP($A156,Bestellungen!$6:$1048576,MATCH(Kasse!S$5,Bestellungen!$A$5:$X$5,0),0))=FALSE,SUMIF(Kalkulation!$A$6:$A$40,Kasse!S$5&amp;"*",Kalkulation!$C$6:$C$40)*VLOOKUP($A156,Bestellungen!$6:$1048576,MATCH(Kasse!S$5,Bestellungen!$A$5:$X$5,0),0),"")</f>
        <v/>
      </c>
      <c r="T156" s="26" t="str">
        <f>IF(ISERROR(VLOOKUP($A156,Bestellungen!$6:$1048576,MATCH(Kasse!T$5,Bestellungen!$A$5:$X$5,0),0))=FALSE,SUMIF(Kalkulation!$A$6:$A$40,Kasse!T$5&amp;"*",Kalkulation!$C$6:$C$40)*VLOOKUP($A156,Bestellungen!$6:$1048576,MATCH(Kasse!T$5,Bestellungen!$A$5:$X$5,0),0),"")</f>
        <v/>
      </c>
      <c r="U156" s="26" t="str">
        <f t="shared" si="4"/>
        <v/>
      </c>
      <c r="W156" s="26" t="str">
        <f t="shared" si="5"/>
        <v/>
      </c>
      <c r="X156" s="26"/>
      <c r="Y156" s="26"/>
      <c r="Z156" s="26"/>
      <c r="AA156" s="26"/>
    </row>
    <row r="157" spans="1:27" x14ac:dyDescent="0.25">
      <c r="A157" t="str">
        <f>IF(LEN(Bestellungen!$A157)&gt;0,Bestellungen!$A157,"")</f>
        <v/>
      </c>
      <c r="B157" s="26" t="str">
        <f>IF(ISERROR(VLOOKUP($A157,Bestellungen!$6:$1048576,MATCH(Kasse!B$5,Bestellungen!$A$5:$X$5,0),0))=FALSE,SUMIF(Kalkulation!$A$6:$A$40,Kasse!B$5&amp;"*",Kalkulation!$C$6:$C$40)*VLOOKUP($A157,Bestellungen!$6:$1048576,MATCH(Kasse!B$5,Bestellungen!$A$5:$X$5,0),0),"")</f>
        <v/>
      </c>
      <c r="C157" s="26" t="str">
        <f>IF(ISERROR(VLOOKUP($A157,Bestellungen!$6:$1048576,MATCH(Kasse!C$5,Bestellungen!$A$5:$X$5,0),0))=FALSE,SUMIF(Kalkulation!$A$6:$A$40,Kasse!C$5&amp;"*",Kalkulation!$C$6:$C$40)*VLOOKUP($A157,Bestellungen!$6:$1048576,MATCH(Kasse!C$5,Bestellungen!$A$5:$X$5,0),0),"")</f>
        <v/>
      </c>
      <c r="D157" s="26" t="str">
        <f>IF(ISERROR(VLOOKUP($A157,Bestellungen!$6:$1048576,MATCH(Kasse!D$5,Bestellungen!$A$5:$X$5,0),0))=FALSE,SUMIF(Kalkulation!$A$6:$A$40,Kasse!D$5&amp;"*",Kalkulation!$C$6:$C$40)*VLOOKUP($A157,Bestellungen!$6:$1048576,MATCH(Kasse!D$5,Bestellungen!$A$5:$X$5,0),0),"")</f>
        <v/>
      </c>
      <c r="E157" s="26" t="str">
        <f>IF(ISERROR(VLOOKUP($A157,Bestellungen!$6:$1048576,MATCH(Kasse!E$5,Bestellungen!$A$5:$X$5,0),0))=FALSE,SUMIF(Kalkulation!$A$6:$A$40,Kasse!E$5&amp;"*",Kalkulation!$C$6:$C$40)*VLOOKUP($A157,Bestellungen!$6:$1048576,MATCH(Kasse!E$5,Bestellungen!$A$5:$X$5,0),0),"")</f>
        <v/>
      </c>
      <c r="F157" s="26" t="str">
        <f>IF(ISERROR(VLOOKUP($A157,Bestellungen!$6:$1048576,MATCH(Kasse!F$5,Bestellungen!$A$5:$X$5,0),0))=FALSE,SUMIF(Kalkulation!$A$6:$A$40,Kasse!F$5&amp;"*",Kalkulation!$C$6:$C$40)*VLOOKUP($A157,Bestellungen!$6:$1048576,MATCH(Kasse!F$5,Bestellungen!$A$5:$X$5,0),0),"")</f>
        <v/>
      </c>
      <c r="G157" s="26" t="str">
        <f>IF(ISERROR(VLOOKUP($A157,Bestellungen!$6:$1048576,MATCH(Kasse!G$5,Bestellungen!$A$5:$X$5,0),0))=FALSE,SUMIF(Kalkulation!$A$6:$A$40,Kasse!G$5&amp;"*",Kalkulation!$C$6:$C$40)*VLOOKUP($A157,Bestellungen!$6:$1048576,MATCH(Kasse!G$5,Bestellungen!$A$5:$X$5,0),0),"")</f>
        <v/>
      </c>
      <c r="H157" s="26" t="str">
        <f>IF(ISERROR(VLOOKUP($A157,Bestellungen!$6:$1048576,MATCH(Kasse!H$5,Bestellungen!$A$5:$X$5,0),0))=FALSE,SUMIF(Kalkulation!$A$6:$A$40,Kasse!H$5&amp;"*",Kalkulation!$C$6:$C$40)*VLOOKUP($A157,Bestellungen!$6:$1048576,MATCH(Kasse!H$5,Bestellungen!$A$5:$X$5,0),0),"")</f>
        <v/>
      </c>
      <c r="I157" s="26" t="str">
        <f>IF(ISERROR(VLOOKUP($A157,Bestellungen!$6:$1048576,MATCH(Kasse!I$5,Bestellungen!$A$5:$X$5,0),0))=FALSE,SUMIF(Kalkulation!$A$6:$A$40,Kasse!I$5&amp;"*",Kalkulation!$C$6:$C$40)*VLOOKUP($A157,Bestellungen!$6:$1048576,MATCH(Kasse!I$5,Bestellungen!$A$5:$X$5,0),0),"")</f>
        <v/>
      </c>
      <c r="J157" s="26" t="str">
        <f>IF(ISERROR(VLOOKUP($A157,Bestellungen!$6:$1048576,MATCH(Kasse!J$5,Bestellungen!$A$5:$X$5,0),0))=FALSE,SUMIF(Kalkulation!$A$6:$A$40,Kasse!J$5&amp;"*",Kalkulation!$C$6:$C$40)*VLOOKUP($A157,Bestellungen!$6:$1048576,MATCH(Kasse!J$5,Bestellungen!$A$5:$X$5,0),0),"")</f>
        <v/>
      </c>
      <c r="K157" s="26" t="str">
        <f>IF(ISERROR(VLOOKUP($A157,Bestellungen!$6:$1048576,MATCH(Kasse!K$5,Bestellungen!$A$5:$X$5,0),0))=FALSE,SUMIF(Kalkulation!$A$6:$A$40,Kasse!K$5&amp;"*",Kalkulation!$C$6:$C$40)*VLOOKUP($A157,Bestellungen!$6:$1048576,MATCH(Kasse!K$5,Bestellungen!$A$5:$X$5,0),0),"")</f>
        <v/>
      </c>
      <c r="L157" s="26" t="str">
        <f>IF(ISERROR(VLOOKUP($A157,Bestellungen!$6:$1048576,MATCH(Kasse!L$5,Bestellungen!$A$5:$X$5,0),0))=FALSE,SUMIF(Kalkulation!$A$6:$A$40,Kasse!L$5&amp;"*",Kalkulation!$C$6:$C$40)*VLOOKUP($A157,Bestellungen!$6:$1048576,MATCH(Kasse!L$5,Bestellungen!$A$5:$X$5,0),0),"")</f>
        <v/>
      </c>
      <c r="M157" s="26" t="str">
        <f>IF(ISERROR(VLOOKUP($A157,Bestellungen!$6:$1048576,MATCH(Kasse!M$5,Bestellungen!$A$5:$X$5,0),0))=FALSE,SUMIF(Kalkulation!$A$6:$A$40,Kasse!M$5&amp;"*",Kalkulation!$C$6:$C$40)*VLOOKUP($A157,Bestellungen!$6:$1048576,MATCH(Kasse!M$5,Bestellungen!$A$5:$X$5,0),0),"")</f>
        <v/>
      </c>
      <c r="N157" s="26" t="str">
        <f>IF(ISERROR(VLOOKUP($A157,Bestellungen!$6:$1048576,MATCH(Kasse!N$5,Bestellungen!$A$5:$X$5,0),0))=FALSE,SUMIF(Kalkulation!$A$6:$A$40,Kasse!N$5&amp;"*",Kalkulation!$C$6:$C$40)*VLOOKUP($A157,Bestellungen!$6:$1048576,MATCH(Kasse!N$5,Bestellungen!$A$5:$X$5,0),0),"")</f>
        <v/>
      </c>
      <c r="O157" s="26" t="str">
        <f>IF(ISERROR(VLOOKUP($A157,Bestellungen!$6:$1048576,MATCH(Kasse!O$5,Bestellungen!$A$5:$X$5,0),0))=FALSE,SUMIF(Kalkulation!$A$6:$A$40,Kasse!O$5&amp;"*",Kalkulation!$C$6:$C$40)*VLOOKUP($A157,Bestellungen!$6:$1048576,MATCH(Kasse!O$5,Bestellungen!$A$5:$X$5,0),0),"")</f>
        <v/>
      </c>
      <c r="P157" s="26" t="str">
        <f>IF(ISERROR(VLOOKUP($A157,Bestellungen!$6:$1048576,MATCH(Kasse!P$5,Bestellungen!$A$5:$X$5,0),0))=FALSE,SUMIF(Kalkulation!$A$6:$A$40,Kasse!P$5&amp;"*",Kalkulation!$C$6:$C$40)*VLOOKUP($A157,Bestellungen!$6:$1048576,MATCH(Kasse!P$5,Bestellungen!$A$5:$X$5,0),0),"")</f>
        <v/>
      </c>
      <c r="Q157" s="26" t="str">
        <f>IF(ISERROR(VLOOKUP($A157,Bestellungen!$6:$1048576,MATCH(Kasse!Q$5,Bestellungen!$A$5:$X$5,0),0))=FALSE,SUMIF(Kalkulation!$A$6:$A$40,Kasse!Q$5&amp;"*",Kalkulation!$C$6:$C$40)*VLOOKUP($A157,Bestellungen!$6:$1048576,MATCH(Kasse!Q$5,Bestellungen!$A$5:$X$5,0),0),"")</f>
        <v/>
      </c>
      <c r="R157" s="26" t="str">
        <f>IF(ISERROR(VLOOKUP($A157,Bestellungen!$6:$1048576,MATCH(Kasse!R$5,Bestellungen!$A$5:$X$5,0),0))=FALSE,SUMIF(Kalkulation!$A$6:$A$40,Kasse!R$5&amp;"*",Kalkulation!$C$6:$C$40)*VLOOKUP($A157,Bestellungen!$6:$1048576,MATCH(Kasse!R$5,Bestellungen!$A$5:$X$5,0),0),"")</f>
        <v/>
      </c>
      <c r="S157" s="26" t="str">
        <f>IF(ISERROR(VLOOKUP($A157,Bestellungen!$6:$1048576,MATCH(Kasse!S$5,Bestellungen!$A$5:$X$5,0),0))=FALSE,SUMIF(Kalkulation!$A$6:$A$40,Kasse!S$5&amp;"*",Kalkulation!$C$6:$C$40)*VLOOKUP($A157,Bestellungen!$6:$1048576,MATCH(Kasse!S$5,Bestellungen!$A$5:$X$5,0),0),"")</f>
        <v/>
      </c>
      <c r="T157" s="26" t="str">
        <f>IF(ISERROR(VLOOKUP($A157,Bestellungen!$6:$1048576,MATCH(Kasse!T$5,Bestellungen!$A$5:$X$5,0),0))=FALSE,SUMIF(Kalkulation!$A$6:$A$40,Kasse!T$5&amp;"*",Kalkulation!$C$6:$C$40)*VLOOKUP($A157,Bestellungen!$6:$1048576,MATCH(Kasse!T$5,Bestellungen!$A$5:$X$5,0),0),"")</f>
        <v/>
      </c>
      <c r="U157" s="26" t="str">
        <f t="shared" si="4"/>
        <v/>
      </c>
      <c r="W157" s="26" t="str">
        <f t="shared" si="5"/>
        <v/>
      </c>
      <c r="X157" s="26"/>
      <c r="Y157" s="26"/>
      <c r="Z157" s="26"/>
      <c r="AA157" s="26"/>
    </row>
    <row r="158" spans="1:27" x14ac:dyDescent="0.25">
      <c r="A158" t="str">
        <f>IF(LEN(Bestellungen!$A158)&gt;0,Bestellungen!$A158,"")</f>
        <v/>
      </c>
      <c r="B158" s="26" t="str">
        <f>IF(ISERROR(VLOOKUP($A158,Bestellungen!$6:$1048576,MATCH(Kasse!B$5,Bestellungen!$A$5:$X$5,0),0))=FALSE,SUMIF(Kalkulation!$A$6:$A$40,Kasse!B$5&amp;"*",Kalkulation!$C$6:$C$40)*VLOOKUP($A158,Bestellungen!$6:$1048576,MATCH(Kasse!B$5,Bestellungen!$A$5:$X$5,0),0),"")</f>
        <v/>
      </c>
      <c r="C158" s="26" t="str">
        <f>IF(ISERROR(VLOOKUP($A158,Bestellungen!$6:$1048576,MATCH(Kasse!C$5,Bestellungen!$A$5:$X$5,0),0))=FALSE,SUMIF(Kalkulation!$A$6:$A$40,Kasse!C$5&amp;"*",Kalkulation!$C$6:$C$40)*VLOOKUP($A158,Bestellungen!$6:$1048576,MATCH(Kasse!C$5,Bestellungen!$A$5:$X$5,0),0),"")</f>
        <v/>
      </c>
      <c r="D158" s="26" t="str">
        <f>IF(ISERROR(VLOOKUP($A158,Bestellungen!$6:$1048576,MATCH(Kasse!D$5,Bestellungen!$A$5:$X$5,0),0))=FALSE,SUMIF(Kalkulation!$A$6:$A$40,Kasse!D$5&amp;"*",Kalkulation!$C$6:$C$40)*VLOOKUP($A158,Bestellungen!$6:$1048576,MATCH(Kasse!D$5,Bestellungen!$A$5:$X$5,0),0),"")</f>
        <v/>
      </c>
      <c r="E158" s="26" t="str">
        <f>IF(ISERROR(VLOOKUP($A158,Bestellungen!$6:$1048576,MATCH(Kasse!E$5,Bestellungen!$A$5:$X$5,0),0))=FALSE,SUMIF(Kalkulation!$A$6:$A$40,Kasse!E$5&amp;"*",Kalkulation!$C$6:$C$40)*VLOOKUP($A158,Bestellungen!$6:$1048576,MATCH(Kasse!E$5,Bestellungen!$A$5:$X$5,0),0),"")</f>
        <v/>
      </c>
      <c r="F158" s="26" t="str">
        <f>IF(ISERROR(VLOOKUP($A158,Bestellungen!$6:$1048576,MATCH(Kasse!F$5,Bestellungen!$A$5:$X$5,0),0))=FALSE,SUMIF(Kalkulation!$A$6:$A$40,Kasse!F$5&amp;"*",Kalkulation!$C$6:$C$40)*VLOOKUP($A158,Bestellungen!$6:$1048576,MATCH(Kasse!F$5,Bestellungen!$A$5:$X$5,0),0),"")</f>
        <v/>
      </c>
      <c r="G158" s="26" t="str">
        <f>IF(ISERROR(VLOOKUP($A158,Bestellungen!$6:$1048576,MATCH(Kasse!G$5,Bestellungen!$A$5:$X$5,0),0))=FALSE,SUMIF(Kalkulation!$A$6:$A$40,Kasse!G$5&amp;"*",Kalkulation!$C$6:$C$40)*VLOOKUP($A158,Bestellungen!$6:$1048576,MATCH(Kasse!G$5,Bestellungen!$A$5:$X$5,0),0),"")</f>
        <v/>
      </c>
      <c r="H158" s="26" t="str">
        <f>IF(ISERROR(VLOOKUP($A158,Bestellungen!$6:$1048576,MATCH(Kasse!H$5,Bestellungen!$A$5:$X$5,0),0))=FALSE,SUMIF(Kalkulation!$A$6:$A$40,Kasse!H$5&amp;"*",Kalkulation!$C$6:$C$40)*VLOOKUP($A158,Bestellungen!$6:$1048576,MATCH(Kasse!H$5,Bestellungen!$A$5:$X$5,0),0),"")</f>
        <v/>
      </c>
      <c r="I158" s="26" t="str">
        <f>IF(ISERROR(VLOOKUP($A158,Bestellungen!$6:$1048576,MATCH(Kasse!I$5,Bestellungen!$A$5:$X$5,0),0))=FALSE,SUMIF(Kalkulation!$A$6:$A$40,Kasse!I$5&amp;"*",Kalkulation!$C$6:$C$40)*VLOOKUP($A158,Bestellungen!$6:$1048576,MATCH(Kasse!I$5,Bestellungen!$A$5:$X$5,0),0),"")</f>
        <v/>
      </c>
      <c r="J158" s="26" t="str">
        <f>IF(ISERROR(VLOOKUP($A158,Bestellungen!$6:$1048576,MATCH(Kasse!J$5,Bestellungen!$A$5:$X$5,0),0))=FALSE,SUMIF(Kalkulation!$A$6:$A$40,Kasse!J$5&amp;"*",Kalkulation!$C$6:$C$40)*VLOOKUP($A158,Bestellungen!$6:$1048576,MATCH(Kasse!J$5,Bestellungen!$A$5:$X$5,0),0),"")</f>
        <v/>
      </c>
      <c r="K158" s="26" t="str">
        <f>IF(ISERROR(VLOOKUP($A158,Bestellungen!$6:$1048576,MATCH(Kasse!K$5,Bestellungen!$A$5:$X$5,0),0))=FALSE,SUMIF(Kalkulation!$A$6:$A$40,Kasse!K$5&amp;"*",Kalkulation!$C$6:$C$40)*VLOOKUP($A158,Bestellungen!$6:$1048576,MATCH(Kasse!K$5,Bestellungen!$A$5:$X$5,0),0),"")</f>
        <v/>
      </c>
      <c r="L158" s="26" t="str">
        <f>IF(ISERROR(VLOOKUP($A158,Bestellungen!$6:$1048576,MATCH(Kasse!L$5,Bestellungen!$A$5:$X$5,0),0))=FALSE,SUMIF(Kalkulation!$A$6:$A$40,Kasse!L$5&amp;"*",Kalkulation!$C$6:$C$40)*VLOOKUP($A158,Bestellungen!$6:$1048576,MATCH(Kasse!L$5,Bestellungen!$A$5:$X$5,0),0),"")</f>
        <v/>
      </c>
      <c r="M158" s="26" t="str">
        <f>IF(ISERROR(VLOOKUP($A158,Bestellungen!$6:$1048576,MATCH(Kasse!M$5,Bestellungen!$A$5:$X$5,0),0))=FALSE,SUMIF(Kalkulation!$A$6:$A$40,Kasse!M$5&amp;"*",Kalkulation!$C$6:$C$40)*VLOOKUP($A158,Bestellungen!$6:$1048576,MATCH(Kasse!M$5,Bestellungen!$A$5:$X$5,0),0),"")</f>
        <v/>
      </c>
      <c r="N158" s="26" t="str">
        <f>IF(ISERROR(VLOOKUP($A158,Bestellungen!$6:$1048576,MATCH(Kasse!N$5,Bestellungen!$A$5:$X$5,0),0))=FALSE,SUMIF(Kalkulation!$A$6:$A$40,Kasse!N$5&amp;"*",Kalkulation!$C$6:$C$40)*VLOOKUP($A158,Bestellungen!$6:$1048576,MATCH(Kasse!N$5,Bestellungen!$A$5:$X$5,0),0),"")</f>
        <v/>
      </c>
      <c r="O158" s="26" t="str">
        <f>IF(ISERROR(VLOOKUP($A158,Bestellungen!$6:$1048576,MATCH(Kasse!O$5,Bestellungen!$A$5:$X$5,0),0))=FALSE,SUMIF(Kalkulation!$A$6:$A$40,Kasse!O$5&amp;"*",Kalkulation!$C$6:$C$40)*VLOOKUP($A158,Bestellungen!$6:$1048576,MATCH(Kasse!O$5,Bestellungen!$A$5:$X$5,0),0),"")</f>
        <v/>
      </c>
      <c r="P158" s="26" t="str">
        <f>IF(ISERROR(VLOOKUP($A158,Bestellungen!$6:$1048576,MATCH(Kasse!P$5,Bestellungen!$A$5:$X$5,0),0))=FALSE,SUMIF(Kalkulation!$A$6:$A$40,Kasse!P$5&amp;"*",Kalkulation!$C$6:$C$40)*VLOOKUP($A158,Bestellungen!$6:$1048576,MATCH(Kasse!P$5,Bestellungen!$A$5:$X$5,0),0),"")</f>
        <v/>
      </c>
      <c r="Q158" s="26" t="str">
        <f>IF(ISERROR(VLOOKUP($A158,Bestellungen!$6:$1048576,MATCH(Kasse!Q$5,Bestellungen!$A$5:$X$5,0),0))=FALSE,SUMIF(Kalkulation!$A$6:$A$40,Kasse!Q$5&amp;"*",Kalkulation!$C$6:$C$40)*VLOOKUP($A158,Bestellungen!$6:$1048576,MATCH(Kasse!Q$5,Bestellungen!$A$5:$X$5,0),0),"")</f>
        <v/>
      </c>
      <c r="R158" s="26" t="str">
        <f>IF(ISERROR(VLOOKUP($A158,Bestellungen!$6:$1048576,MATCH(Kasse!R$5,Bestellungen!$A$5:$X$5,0),0))=FALSE,SUMIF(Kalkulation!$A$6:$A$40,Kasse!R$5&amp;"*",Kalkulation!$C$6:$C$40)*VLOOKUP($A158,Bestellungen!$6:$1048576,MATCH(Kasse!R$5,Bestellungen!$A$5:$X$5,0),0),"")</f>
        <v/>
      </c>
      <c r="S158" s="26" t="str">
        <f>IF(ISERROR(VLOOKUP($A158,Bestellungen!$6:$1048576,MATCH(Kasse!S$5,Bestellungen!$A$5:$X$5,0),0))=FALSE,SUMIF(Kalkulation!$A$6:$A$40,Kasse!S$5&amp;"*",Kalkulation!$C$6:$C$40)*VLOOKUP($A158,Bestellungen!$6:$1048576,MATCH(Kasse!S$5,Bestellungen!$A$5:$X$5,0),0),"")</f>
        <v/>
      </c>
      <c r="T158" s="26" t="str">
        <f>IF(ISERROR(VLOOKUP($A158,Bestellungen!$6:$1048576,MATCH(Kasse!T$5,Bestellungen!$A$5:$X$5,0),0))=FALSE,SUMIF(Kalkulation!$A$6:$A$40,Kasse!T$5&amp;"*",Kalkulation!$C$6:$C$40)*VLOOKUP($A158,Bestellungen!$6:$1048576,MATCH(Kasse!T$5,Bestellungen!$A$5:$X$5,0),0),"")</f>
        <v/>
      </c>
      <c r="U158" s="26" t="str">
        <f t="shared" si="4"/>
        <v/>
      </c>
      <c r="W158" s="26" t="str">
        <f t="shared" si="5"/>
        <v/>
      </c>
      <c r="X158" s="26"/>
      <c r="Y158" s="26"/>
      <c r="Z158" s="26"/>
      <c r="AA158" s="26"/>
    </row>
    <row r="159" spans="1:27" x14ac:dyDescent="0.25">
      <c r="A159" t="str">
        <f>IF(LEN(Bestellungen!$A159)&gt;0,Bestellungen!$A159,"")</f>
        <v/>
      </c>
      <c r="B159" s="26" t="str">
        <f>IF(ISERROR(VLOOKUP($A159,Bestellungen!$6:$1048576,MATCH(Kasse!B$5,Bestellungen!$A$5:$X$5,0),0))=FALSE,SUMIF(Kalkulation!$A$6:$A$40,Kasse!B$5&amp;"*",Kalkulation!$C$6:$C$40)*VLOOKUP($A159,Bestellungen!$6:$1048576,MATCH(Kasse!B$5,Bestellungen!$A$5:$X$5,0),0),"")</f>
        <v/>
      </c>
      <c r="C159" s="26" t="str">
        <f>IF(ISERROR(VLOOKUP($A159,Bestellungen!$6:$1048576,MATCH(Kasse!C$5,Bestellungen!$A$5:$X$5,0),0))=FALSE,SUMIF(Kalkulation!$A$6:$A$40,Kasse!C$5&amp;"*",Kalkulation!$C$6:$C$40)*VLOOKUP($A159,Bestellungen!$6:$1048576,MATCH(Kasse!C$5,Bestellungen!$A$5:$X$5,0),0),"")</f>
        <v/>
      </c>
      <c r="D159" s="26" t="str">
        <f>IF(ISERROR(VLOOKUP($A159,Bestellungen!$6:$1048576,MATCH(Kasse!D$5,Bestellungen!$A$5:$X$5,0),0))=FALSE,SUMIF(Kalkulation!$A$6:$A$40,Kasse!D$5&amp;"*",Kalkulation!$C$6:$C$40)*VLOOKUP($A159,Bestellungen!$6:$1048576,MATCH(Kasse!D$5,Bestellungen!$A$5:$X$5,0),0),"")</f>
        <v/>
      </c>
      <c r="E159" s="26" t="str">
        <f>IF(ISERROR(VLOOKUP($A159,Bestellungen!$6:$1048576,MATCH(Kasse!E$5,Bestellungen!$A$5:$X$5,0),0))=FALSE,SUMIF(Kalkulation!$A$6:$A$40,Kasse!E$5&amp;"*",Kalkulation!$C$6:$C$40)*VLOOKUP($A159,Bestellungen!$6:$1048576,MATCH(Kasse!E$5,Bestellungen!$A$5:$X$5,0),0),"")</f>
        <v/>
      </c>
      <c r="F159" s="26" t="str">
        <f>IF(ISERROR(VLOOKUP($A159,Bestellungen!$6:$1048576,MATCH(Kasse!F$5,Bestellungen!$A$5:$X$5,0),0))=FALSE,SUMIF(Kalkulation!$A$6:$A$40,Kasse!F$5&amp;"*",Kalkulation!$C$6:$C$40)*VLOOKUP($A159,Bestellungen!$6:$1048576,MATCH(Kasse!F$5,Bestellungen!$A$5:$X$5,0),0),"")</f>
        <v/>
      </c>
      <c r="G159" s="26" t="str">
        <f>IF(ISERROR(VLOOKUP($A159,Bestellungen!$6:$1048576,MATCH(Kasse!G$5,Bestellungen!$A$5:$X$5,0),0))=FALSE,SUMIF(Kalkulation!$A$6:$A$40,Kasse!G$5&amp;"*",Kalkulation!$C$6:$C$40)*VLOOKUP($A159,Bestellungen!$6:$1048576,MATCH(Kasse!G$5,Bestellungen!$A$5:$X$5,0),0),"")</f>
        <v/>
      </c>
      <c r="H159" s="26" t="str">
        <f>IF(ISERROR(VLOOKUP($A159,Bestellungen!$6:$1048576,MATCH(Kasse!H$5,Bestellungen!$A$5:$X$5,0),0))=FALSE,SUMIF(Kalkulation!$A$6:$A$40,Kasse!H$5&amp;"*",Kalkulation!$C$6:$C$40)*VLOOKUP($A159,Bestellungen!$6:$1048576,MATCH(Kasse!H$5,Bestellungen!$A$5:$X$5,0),0),"")</f>
        <v/>
      </c>
      <c r="I159" s="26" t="str">
        <f>IF(ISERROR(VLOOKUP($A159,Bestellungen!$6:$1048576,MATCH(Kasse!I$5,Bestellungen!$A$5:$X$5,0),0))=FALSE,SUMIF(Kalkulation!$A$6:$A$40,Kasse!I$5&amp;"*",Kalkulation!$C$6:$C$40)*VLOOKUP($A159,Bestellungen!$6:$1048576,MATCH(Kasse!I$5,Bestellungen!$A$5:$X$5,0),0),"")</f>
        <v/>
      </c>
      <c r="J159" s="26" t="str">
        <f>IF(ISERROR(VLOOKUP($A159,Bestellungen!$6:$1048576,MATCH(Kasse!J$5,Bestellungen!$A$5:$X$5,0),0))=FALSE,SUMIF(Kalkulation!$A$6:$A$40,Kasse!J$5&amp;"*",Kalkulation!$C$6:$C$40)*VLOOKUP($A159,Bestellungen!$6:$1048576,MATCH(Kasse!J$5,Bestellungen!$A$5:$X$5,0),0),"")</f>
        <v/>
      </c>
      <c r="K159" s="26" t="str">
        <f>IF(ISERROR(VLOOKUP($A159,Bestellungen!$6:$1048576,MATCH(Kasse!K$5,Bestellungen!$A$5:$X$5,0),0))=FALSE,SUMIF(Kalkulation!$A$6:$A$40,Kasse!K$5&amp;"*",Kalkulation!$C$6:$C$40)*VLOOKUP($A159,Bestellungen!$6:$1048576,MATCH(Kasse!K$5,Bestellungen!$A$5:$X$5,0),0),"")</f>
        <v/>
      </c>
      <c r="L159" s="26" t="str">
        <f>IF(ISERROR(VLOOKUP($A159,Bestellungen!$6:$1048576,MATCH(Kasse!L$5,Bestellungen!$A$5:$X$5,0),0))=FALSE,SUMIF(Kalkulation!$A$6:$A$40,Kasse!L$5&amp;"*",Kalkulation!$C$6:$C$40)*VLOOKUP($A159,Bestellungen!$6:$1048576,MATCH(Kasse!L$5,Bestellungen!$A$5:$X$5,0),0),"")</f>
        <v/>
      </c>
      <c r="M159" s="26" t="str">
        <f>IF(ISERROR(VLOOKUP($A159,Bestellungen!$6:$1048576,MATCH(Kasse!M$5,Bestellungen!$A$5:$X$5,0),0))=FALSE,SUMIF(Kalkulation!$A$6:$A$40,Kasse!M$5&amp;"*",Kalkulation!$C$6:$C$40)*VLOOKUP($A159,Bestellungen!$6:$1048576,MATCH(Kasse!M$5,Bestellungen!$A$5:$X$5,0),0),"")</f>
        <v/>
      </c>
      <c r="N159" s="26" t="str">
        <f>IF(ISERROR(VLOOKUP($A159,Bestellungen!$6:$1048576,MATCH(Kasse!N$5,Bestellungen!$A$5:$X$5,0),0))=FALSE,SUMIF(Kalkulation!$A$6:$A$40,Kasse!N$5&amp;"*",Kalkulation!$C$6:$C$40)*VLOOKUP($A159,Bestellungen!$6:$1048576,MATCH(Kasse!N$5,Bestellungen!$A$5:$X$5,0),0),"")</f>
        <v/>
      </c>
      <c r="O159" s="26" t="str">
        <f>IF(ISERROR(VLOOKUP($A159,Bestellungen!$6:$1048576,MATCH(Kasse!O$5,Bestellungen!$A$5:$X$5,0),0))=FALSE,SUMIF(Kalkulation!$A$6:$A$40,Kasse!O$5&amp;"*",Kalkulation!$C$6:$C$40)*VLOOKUP($A159,Bestellungen!$6:$1048576,MATCH(Kasse!O$5,Bestellungen!$A$5:$X$5,0),0),"")</f>
        <v/>
      </c>
      <c r="P159" s="26" t="str">
        <f>IF(ISERROR(VLOOKUP($A159,Bestellungen!$6:$1048576,MATCH(Kasse!P$5,Bestellungen!$A$5:$X$5,0),0))=FALSE,SUMIF(Kalkulation!$A$6:$A$40,Kasse!P$5&amp;"*",Kalkulation!$C$6:$C$40)*VLOOKUP($A159,Bestellungen!$6:$1048576,MATCH(Kasse!P$5,Bestellungen!$A$5:$X$5,0),0),"")</f>
        <v/>
      </c>
      <c r="Q159" s="26" t="str">
        <f>IF(ISERROR(VLOOKUP($A159,Bestellungen!$6:$1048576,MATCH(Kasse!Q$5,Bestellungen!$A$5:$X$5,0),0))=FALSE,SUMIF(Kalkulation!$A$6:$A$40,Kasse!Q$5&amp;"*",Kalkulation!$C$6:$C$40)*VLOOKUP($A159,Bestellungen!$6:$1048576,MATCH(Kasse!Q$5,Bestellungen!$A$5:$X$5,0),0),"")</f>
        <v/>
      </c>
      <c r="R159" s="26" t="str">
        <f>IF(ISERROR(VLOOKUP($A159,Bestellungen!$6:$1048576,MATCH(Kasse!R$5,Bestellungen!$A$5:$X$5,0),0))=FALSE,SUMIF(Kalkulation!$A$6:$A$40,Kasse!R$5&amp;"*",Kalkulation!$C$6:$C$40)*VLOOKUP($A159,Bestellungen!$6:$1048576,MATCH(Kasse!R$5,Bestellungen!$A$5:$X$5,0),0),"")</f>
        <v/>
      </c>
      <c r="S159" s="26" t="str">
        <f>IF(ISERROR(VLOOKUP($A159,Bestellungen!$6:$1048576,MATCH(Kasse!S$5,Bestellungen!$A$5:$X$5,0),0))=FALSE,SUMIF(Kalkulation!$A$6:$A$40,Kasse!S$5&amp;"*",Kalkulation!$C$6:$C$40)*VLOOKUP($A159,Bestellungen!$6:$1048576,MATCH(Kasse!S$5,Bestellungen!$A$5:$X$5,0),0),"")</f>
        <v/>
      </c>
      <c r="T159" s="26" t="str">
        <f>IF(ISERROR(VLOOKUP($A159,Bestellungen!$6:$1048576,MATCH(Kasse!T$5,Bestellungen!$A$5:$X$5,0),0))=FALSE,SUMIF(Kalkulation!$A$6:$A$40,Kasse!T$5&amp;"*",Kalkulation!$C$6:$C$40)*VLOOKUP($A159,Bestellungen!$6:$1048576,MATCH(Kasse!T$5,Bestellungen!$A$5:$X$5,0),0),"")</f>
        <v/>
      </c>
      <c r="U159" s="26" t="str">
        <f t="shared" si="4"/>
        <v/>
      </c>
      <c r="W159" s="26" t="str">
        <f t="shared" si="5"/>
        <v/>
      </c>
      <c r="X159" s="26"/>
      <c r="Y159" s="26"/>
      <c r="Z159" s="26"/>
      <c r="AA159" s="26"/>
    </row>
    <row r="160" spans="1:27" x14ac:dyDescent="0.25">
      <c r="A160" t="str">
        <f>IF(LEN(Bestellungen!$A160)&gt;0,Bestellungen!$A160,"")</f>
        <v/>
      </c>
      <c r="B160" s="26" t="str">
        <f>IF(ISERROR(VLOOKUP($A160,Bestellungen!$6:$1048576,MATCH(Kasse!B$5,Bestellungen!$A$5:$X$5,0),0))=FALSE,SUMIF(Kalkulation!$A$6:$A$40,Kasse!B$5&amp;"*",Kalkulation!$C$6:$C$40)*VLOOKUP($A160,Bestellungen!$6:$1048576,MATCH(Kasse!B$5,Bestellungen!$A$5:$X$5,0),0),"")</f>
        <v/>
      </c>
      <c r="C160" s="26" t="str">
        <f>IF(ISERROR(VLOOKUP($A160,Bestellungen!$6:$1048576,MATCH(Kasse!C$5,Bestellungen!$A$5:$X$5,0),0))=FALSE,SUMIF(Kalkulation!$A$6:$A$40,Kasse!C$5&amp;"*",Kalkulation!$C$6:$C$40)*VLOOKUP($A160,Bestellungen!$6:$1048576,MATCH(Kasse!C$5,Bestellungen!$A$5:$X$5,0),0),"")</f>
        <v/>
      </c>
      <c r="D160" s="26" t="str">
        <f>IF(ISERROR(VLOOKUP($A160,Bestellungen!$6:$1048576,MATCH(Kasse!D$5,Bestellungen!$A$5:$X$5,0),0))=FALSE,SUMIF(Kalkulation!$A$6:$A$40,Kasse!D$5&amp;"*",Kalkulation!$C$6:$C$40)*VLOOKUP($A160,Bestellungen!$6:$1048576,MATCH(Kasse!D$5,Bestellungen!$A$5:$X$5,0),0),"")</f>
        <v/>
      </c>
      <c r="E160" s="26" t="str">
        <f>IF(ISERROR(VLOOKUP($A160,Bestellungen!$6:$1048576,MATCH(Kasse!E$5,Bestellungen!$A$5:$X$5,0),0))=FALSE,SUMIF(Kalkulation!$A$6:$A$40,Kasse!E$5&amp;"*",Kalkulation!$C$6:$C$40)*VLOOKUP($A160,Bestellungen!$6:$1048576,MATCH(Kasse!E$5,Bestellungen!$A$5:$X$5,0),0),"")</f>
        <v/>
      </c>
      <c r="F160" s="26" t="str">
        <f>IF(ISERROR(VLOOKUP($A160,Bestellungen!$6:$1048576,MATCH(Kasse!F$5,Bestellungen!$A$5:$X$5,0),0))=FALSE,SUMIF(Kalkulation!$A$6:$A$40,Kasse!F$5&amp;"*",Kalkulation!$C$6:$C$40)*VLOOKUP($A160,Bestellungen!$6:$1048576,MATCH(Kasse!F$5,Bestellungen!$A$5:$X$5,0),0),"")</f>
        <v/>
      </c>
      <c r="G160" s="26" t="str">
        <f>IF(ISERROR(VLOOKUP($A160,Bestellungen!$6:$1048576,MATCH(Kasse!G$5,Bestellungen!$A$5:$X$5,0),0))=FALSE,SUMIF(Kalkulation!$A$6:$A$40,Kasse!G$5&amp;"*",Kalkulation!$C$6:$C$40)*VLOOKUP($A160,Bestellungen!$6:$1048576,MATCH(Kasse!G$5,Bestellungen!$A$5:$X$5,0),0),"")</f>
        <v/>
      </c>
      <c r="H160" s="26" t="str">
        <f>IF(ISERROR(VLOOKUP($A160,Bestellungen!$6:$1048576,MATCH(Kasse!H$5,Bestellungen!$A$5:$X$5,0),0))=FALSE,SUMIF(Kalkulation!$A$6:$A$40,Kasse!H$5&amp;"*",Kalkulation!$C$6:$C$40)*VLOOKUP($A160,Bestellungen!$6:$1048576,MATCH(Kasse!H$5,Bestellungen!$A$5:$X$5,0),0),"")</f>
        <v/>
      </c>
      <c r="I160" s="26" t="str">
        <f>IF(ISERROR(VLOOKUP($A160,Bestellungen!$6:$1048576,MATCH(Kasse!I$5,Bestellungen!$A$5:$X$5,0),0))=FALSE,SUMIF(Kalkulation!$A$6:$A$40,Kasse!I$5&amp;"*",Kalkulation!$C$6:$C$40)*VLOOKUP($A160,Bestellungen!$6:$1048576,MATCH(Kasse!I$5,Bestellungen!$A$5:$X$5,0),0),"")</f>
        <v/>
      </c>
      <c r="J160" s="26" t="str">
        <f>IF(ISERROR(VLOOKUP($A160,Bestellungen!$6:$1048576,MATCH(Kasse!J$5,Bestellungen!$A$5:$X$5,0),0))=FALSE,SUMIF(Kalkulation!$A$6:$A$40,Kasse!J$5&amp;"*",Kalkulation!$C$6:$C$40)*VLOOKUP($A160,Bestellungen!$6:$1048576,MATCH(Kasse!J$5,Bestellungen!$A$5:$X$5,0),0),"")</f>
        <v/>
      </c>
      <c r="K160" s="26" t="str">
        <f>IF(ISERROR(VLOOKUP($A160,Bestellungen!$6:$1048576,MATCH(Kasse!K$5,Bestellungen!$A$5:$X$5,0),0))=FALSE,SUMIF(Kalkulation!$A$6:$A$40,Kasse!K$5&amp;"*",Kalkulation!$C$6:$C$40)*VLOOKUP($A160,Bestellungen!$6:$1048576,MATCH(Kasse!K$5,Bestellungen!$A$5:$X$5,0),0),"")</f>
        <v/>
      </c>
      <c r="L160" s="26" t="str">
        <f>IF(ISERROR(VLOOKUP($A160,Bestellungen!$6:$1048576,MATCH(Kasse!L$5,Bestellungen!$A$5:$X$5,0),0))=FALSE,SUMIF(Kalkulation!$A$6:$A$40,Kasse!L$5&amp;"*",Kalkulation!$C$6:$C$40)*VLOOKUP($A160,Bestellungen!$6:$1048576,MATCH(Kasse!L$5,Bestellungen!$A$5:$X$5,0),0),"")</f>
        <v/>
      </c>
      <c r="M160" s="26" t="str">
        <f>IF(ISERROR(VLOOKUP($A160,Bestellungen!$6:$1048576,MATCH(Kasse!M$5,Bestellungen!$A$5:$X$5,0),0))=FALSE,SUMIF(Kalkulation!$A$6:$A$40,Kasse!M$5&amp;"*",Kalkulation!$C$6:$C$40)*VLOOKUP($A160,Bestellungen!$6:$1048576,MATCH(Kasse!M$5,Bestellungen!$A$5:$X$5,0),0),"")</f>
        <v/>
      </c>
      <c r="N160" s="26" t="str">
        <f>IF(ISERROR(VLOOKUP($A160,Bestellungen!$6:$1048576,MATCH(Kasse!N$5,Bestellungen!$A$5:$X$5,0),0))=FALSE,SUMIF(Kalkulation!$A$6:$A$40,Kasse!N$5&amp;"*",Kalkulation!$C$6:$C$40)*VLOOKUP($A160,Bestellungen!$6:$1048576,MATCH(Kasse!N$5,Bestellungen!$A$5:$X$5,0),0),"")</f>
        <v/>
      </c>
      <c r="O160" s="26" t="str">
        <f>IF(ISERROR(VLOOKUP($A160,Bestellungen!$6:$1048576,MATCH(Kasse!O$5,Bestellungen!$A$5:$X$5,0),0))=FALSE,SUMIF(Kalkulation!$A$6:$A$40,Kasse!O$5&amp;"*",Kalkulation!$C$6:$C$40)*VLOOKUP($A160,Bestellungen!$6:$1048576,MATCH(Kasse!O$5,Bestellungen!$A$5:$X$5,0),0),"")</f>
        <v/>
      </c>
      <c r="P160" s="26" t="str">
        <f>IF(ISERROR(VLOOKUP($A160,Bestellungen!$6:$1048576,MATCH(Kasse!P$5,Bestellungen!$A$5:$X$5,0),0))=FALSE,SUMIF(Kalkulation!$A$6:$A$40,Kasse!P$5&amp;"*",Kalkulation!$C$6:$C$40)*VLOOKUP($A160,Bestellungen!$6:$1048576,MATCH(Kasse!P$5,Bestellungen!$A$5:$X$5,0),0),"")</f>
        <v/>
      </c>
      <c r="Q160" s="26" t="str">
        <f>IF(ISERROR(VLOOKUP($A160,Bestellungen!$6:$1048576,MATCH(Kasse!Q$5,Bestellungen!$A$5:$X$5,0),0))=FALSE,SUMIF(Kalkulation!$A$6:$A$40,Kasse!Q$5&amp;"*",Kalkulation!$C$6:$C$40)*VLOOKUP($A160,Bestellungen!$6:$1048576,MATCH(Kasse!Q$5,Bestellungen!$A$5:$X$5,0),0),"")</f>
        <v/>
      </c>
      <c r="R160" s="26" t="str">
        <f>IF(ISERROR(VLOOKUP($A160,Bestellungen!$6:$1048576,MATCH(Kasse!R$5,Bestellungen!$A$5:$X$5,0),0))=FALSE,SUMIF(Kalkulation!$A$6:$A$40,Kasse!R$5&amp;"*",Kalkulation!$C$6:$C$40)*VLOOKUP($A160,Bestellungen!$6:$1048576,MATCH(Kasse!R$5,Bestellungen!$A$5:$X$5,0),0),"")</f>
        <v/>
      </c>
      <c r="S160" s="26" t="str">
        <f>IF(ISERROR(VLOOKUP($A160,Bestellungen!$6:$1048576,MATCH(Kasse!S$5,Bestellungen!$A$5:$X$5,0),0))=FALSE,SUMIF(Kalkulation!$A$6:$A$40,Kasse!S$5&amp;"*",Kalkulation!$C$6:$C$40)*VLOOKUP($A160,Bestellungen!$6:$1048576,MATCH(Kasse!S$5,Bestellungen!$A$5:$X$5,0),0),"")</f>
        <v/>
      </c>
      <c r="T160" s="26" t="str">
        <f>IF(ISERROR(VLOOKUP($A160,Bestellungen!$6:$1048576,MATCH(Kasse!T$5,Bestellungen!$A$5:$X$5,0),0))=FALSE,SUMIF(Kalkulation!$A$6:$A$40,Kasse!T$5&amp;"*",Kalkulation!$C$6:$C$40)*VLOOKUP($A160,Bestellungen!$6:$1048576,MATCH(Kasse!T$5,Bestellungen!$A$5:$X$5,0),0),"")</f>
        <v/>
      </c>
      <c r="U160" s="26" t="str">
        <f t="shared" si="4"/>
        <v/>
      </c>
      <c r="W160" s="26" t="str">
        <f t="shared" si="5"/>
        <v/>
      </c>
      <c r="X160" s="26"/>
      <c r="Y160" s="26"/>
      <c r="Z160" s="26"/>
      <c r="AA160" s="26"/>
    </row>
    <row r="161" spans="1:27" x14ac:dyDescent="0.25">
      <c r="A161" t="str">
        <f>IF(LEN(Bestellungen!$A161)&gt;0,Bestellungen!$A161,"")</f>
        <v/>
      </c>
      <c r="B161" s="26" t="str">
        <f>IF(ISERROR(VLOOKUP($A161,Bestellungen!$6:$1048576,MATCH(Kasse!B$5,Bestellungen!$A$5:$X$5,0),0))=FALSE,SUMIF(Kalkulation!$A$6:$A$40,Kasse!B$5&amp;"*",Kalkulation!$C$6:$C$40)*VLOOKUP($A161,Bestellungen!$6:$1048576,MATCH(Kasse!B$5,Bestellungen!$A$5:$X$5,0),0),"")</f>
        <v/>
      </c>
      <c r="C161" s="26" t="str">
        <f>IF(ISERROR(VLOOKUP($A161,Bestellungen!$6:$1048576,MATCH(Kasse!C$5,Bestellungen!$A$5:$X$5,0),0))=FALSE,SUMIF(Kalkulation!$A$6:$A$40,Kasse!C$5&amp;"*",Kalkulation!$C$6:$C$40)*VLOOKUP($A161,Bestellungen!$6:$1048576,MATCH(Kasse!C$5,Bestellungen!$A$5:$X$5,0),0),"")</f>
        <v/>
      </c>
      <c r="D161" s="26" t="str">
        <f>IF(ISERROR(VLOOKUP($A161,Bestellungen!$6:$1048576,MATCH(Kasse!D$5,Bestellungen!$A$5:$X$5,0),0))=FALSE,SUMIF(Kalkulation!$A$6:$A$40,Kasse!D$5&amp;"*",Kalkulation!$C$6:$C$40)*VLOOKUP($A161,Bestellungen!$6:$1048576,MATCH(Kasse!D$5,Bestellungen!$A$5:$X$5,0),0),"")</f>
        <v/>
      </c>
      <c r="E161" s="26" t="str">
        <f>IF(ISERROR(VLOOKUP($A161,Bestellungen!$6:$1048576,MATCH(Kasse!E$5,Bestellungen!$A$5:$X$5,0),0))=FALSE,SUMIF(Kalkulation!$A$6:$A$40,Kasse!E$5&amp;"*",Kalkulation!$C$6:$C$40)*VLOOKUP($A161,Bestellungen!$6:$1048576,MATCH(Kasse!E$5,Bestellungen!$A$5:$X$5,0),0),"")</f>
        <v/>
      </c>
      <c r="F161" s="26" t="str">
        <f>IF(ISERROR(VLOOKUP($A161,Bestellungen!$6:$1048576,MATCH(Kasse!F$5,Bestellungen!$A$5:$X$5,0),0))=FALSE,SUMIF(Kalkulation!$A$6:$A$40,Kasse!F$5&amp;"*",Kalkulation!$C$6:$C$40)*VLOOKUP($A161,Bestellungen!$6:$1048576,MATCH(Kasse!F$5,Bestellungen!$A$5:$X$5,0),0),"")</f>
        <v/>
      </c>
      <c r="G161" s="26" t="str">
        <f>IF(ISERROR(VLOOKUP($A161,Bestellungen!$6:$1048576,MATCH(Kasse!G$5,Bestellungen!$A$5:$X$5,0),0))=FALSE,SUMIF(Kalkulation!$A$6:$A$40,Kasse!G$5&amp;"*",Kalkulation!$C$6:$C$40)*VLOOKUP($A161,Bestellungen!$6:$1048576,MATCH(Kasse!G$5,Bestellungen!$A$5:$X$5,0),0),"")</f>
        <v/>
      </c>
      <c r="H161" s="26" t="str">
        <f>IF(ISERROR(VLOOKUP($A161,Bestellungen!$6:$1048576,MATCH(Kasse!H$5,Bestellungen!$A$5:$X$5,0),0))=FALSE,SUMIF(Kalkulation!$A$6:$A$40,Kasse!H$5&amp;"*",Kalkulation!$C$6:$C$40)*VLOOKUP($A161,Bestellungen!$6:$1048576,MATCH(Kasse!H$5,Bestellungen!$A$5:$X$5,0),0),"")</f>
        <v/>
      </c>
      <c r="I161" s="26" t="str">
        <f>IF(ISERROR(VLOOKUP($A161,Bestellungen!$6:$1048576,MATCH(Kasse!I$5,Bestellungen!$A$5:$X$5,0),0))=FALSE,SUMIF(Kalkulation!$A$6:$A$40,Kasse!I$5&amp;"*",Kalkulation!$C$6:$C$40)*VLOOKUP($A161,Bestellungen!$6:$1048576,MATCH(Kasse!I$5,Bestellungen!$A$5:$X$5,0),0),"")</f>
        <v/>
      </c>
      <c r="J161" s="26" t="str">
        <f>IF(ISERROR(VLOOKUP($A161,Bestellungen!$6:$1048576,MATCH(Kasse!J$5,Bestellungen!$A$5:$X$5,0),0))=FALSE,SUMIF(Kalkulation!$A$6:$A$40,Kasse!J$5&amp;"*",Kalkulation!$C$6:$C$40)*VLOOKUP($A161,Bestellungen!$6:$1048576,MATCH(Kasse!J$5,Bestellungen!$A$5:$X$5,0),0),"")</f>
        <v/>
      </c>
      <c r="K161" s="26" t="str">
        <f>IF(ISERROR(VLOOKUP($A161,Bestellungen!$6:$1048576,MATCH(Kasse!K$5,Bestellungen!$A$5:$X$5,0),0))=FALSE,SUMIF(Kalkulation!$A$6:$A$40,Kasse!K$5&amp;"*",Kalkulation!$C$6:$C$40)*VLOOKUP($A161,Bestellungen!$6:$1048576,MATCH(Kasse!K$5,Bestellungen!$A$5:$X$5,0),0),"")</f>
        <v/>
      </c>
      <c r="L161" s="26" t="str">
        <f>IF(ISERROR(VLOOKUP($A161,Bestellungen!$6:$1048576,MATCH(Kasse!L$5,Bestellungen!$A$5:$X$5,0),0))=FALSE,SUMIF(Kalkulation!$A$6:$A$40,Kasse!L$5&amp;"*",Kalkulation!$C$6:$C$40)*VLOOKUP($A161,Bestellungen!$6:$1048576,MATCH(Kasse!L$5,Bestellungen!$A$5:$X$5,0),0),"")</f>
        <v/>
      </c>
      <c r="M161" s="26" t="str">
        <f>IF(ISERROR(VLOOKUP($A161,Bestellungen!$6:$1048576,MATCH(Kasse!M$5,Bestellungen!$A$5:$X$5,0),0))=FALSE,SUMIF(Kalkulation!$A$6:$A$40,Kasse!M$5&amp;"*",Kalkulation!$C$6:$C$40)*VLOOKUP($A161,Bestellungen!$6:$1048576,MATCH(Kasse!M$5,Bestellungen!$A$5:$X$5,0),0),"")</f>
        <v/>
      </c>
      <c r="N161" s="26" t="str">
        <f>IF(ISERROR(VLOOKUP($A161,Bestellungen!$6:$1048576,MATCH(Kasse!N$5,Bestellungen!$A$5:$X$5,0),0))=FALSE,SUMIF(Kalkulation!$A$6:$A$40,Kasse!N$5&amp;"*",Kalkulation!$C$6:$C$40)*VLOOKUP($A161,Bestellungen!$6:$1048576,MATCH(Kasse!N$5,Bestellungen!$A$5:$X$5,0),0),"")</f>
        <v/>
      </c>
      <c r="O161" s="26" t="str">
        <f>IF(ISERROR(VLOOKUP($A161,Bestellungen!$6:$1048576,MATCH(Kasse!O$5,Bestellungen!$A$5:$X$5,0),0))=FALSE,SUMIF(Kalkulation!$A$6:$A$40,Kasse!O$5&amp;"*",Kalkulation!$C$6:$C$40)*VLOOKUP($A161,Bestellungen!$6:$1048576,MATCH(Kasse!O$5,Bestellungen!$A$5:$X$5,0),0),"")</f>
        <v/>
      </c>
      <c r="P161" s="26" t="str">
        <f>IF(ISERROR(VLOOKUP($A161,Bestellungen!$6:$1048576,MATCH(Kasse!P$5,Bestellungen!$A$5:$X$5,0),0))=FALSE,SUMIF(Kalkulation!$A$6:$A$40,Kasse!P$5&amp;"*",Kalkulation!$C$6:$C$40)*VLOOKUP($A161,Bestellungen!$6:$1048576,MATCH(Kasse!P$5,Bestellungen!$A$5:$X$5,0),0),"")</f>
        <v/>
      </c>
      <c r="Q161" s="26" t="str">
        <f>IF(ISERROR(VLOOKUP($A161,Bestellungen!$6:$1048576,MATCH(Kasse!Q$5,Bestellungen!$A$5:$X$5,0),0))=FALSE,SUMIF(Kalkulation!$A$6:$A$40,Kasse!Q$5&amp;"*",Kalkulation!$C$6:$C$40)*VLOOKUP($A161,Bestellungen!$6:$1048576,MATCH(Kasse!Q$5,Bestellungen!$A$5:$X$5,0),0),"")</f>
        <v/>
      </c>
      <c r="R161" s="26" t="str">
        <f>IF(ISERROR(VLOOKUP($A161,Bestellungen!$6:$1048576,MATCH(Kasse!R$5,Bestellungen!$A$5:$X$5,0),0))=FALSE,SUMIF(Kalkulation!$A$6:$A$40,Kasse!R$5&amp;"*",Kalkulation!$C$6:$C$40)*VLOOKUP($A161,Bestellungen!$6:$1048576,MATCH(Kasse!R$5,Bestellungen!$A$5:$X$5,0),0),"")</f>
        <v/>
      </c>
      <c r="S161" s="26" t="str">
        <f>IF(ISERROR(VLOOKUP($A161,Bestellungen!$6:$1048576,MATCH(Kasse!S$5,Bestellungen!$A$5:$X$5,0),0))=FALSE,SUMIF(Kalkulation!$A$6:$A$40,Kasse!S$5&amp;"*",Kalkulation!$C$6:$C$40)*VLOOKUP($A161,Bestellungen!$6:$1048576,MATCH(Kasse!S$5,Bestellungen!$A$5:$X$5,0),0),"")</f>
        <v/>
      </c>
      <c r="T161" s="26" t="str">
        <f>IF(ISERROR(VLOOKUP($A161,Bestellungen!$6:$1048576,MATCH(Kasse!T$5,Bestellungen!$A$5:$X$5,0),0))=FALSE,SUMIF(Kalkulation!$A$6:$A$40,Kasse!T$5&amp;"*",Kalkulation!$C$6:$C$40)*VLOOKUP($A161,Bestellungen!$6:$1048576,MATCH(Kasse!T$5,Bestellungen!$A$5:$X$5,0),0),"")</f>
        <v/>
      </c>
      <c r="U161" s="26" t="str">
        <f t="shared" si="4"/>
        <v/>
      </c>
      <c r="W161" s="26" t="str">
        <f t="shared" si="5"/>
        <v/>
      </c>
      <c r="X161" s="26"/>
      <c r="Y161" s="26"/>
      <c r="Z161" s="26"/>
      <c r="AA161" s="26"/>
    </row>
    <row r="162" spans="1:27" x14ac:dyDescent="0.25">
      <c r="A162" t="str">
        <f>IF(LEN(Bestellungen!$A162)&gt;0,Bestellungen!$A162,"")</f>
        <v/>
      </c>
      <c r="B162" s="26" t="str">
        <f>IF(ISERROR(VLOOKUP($A162,Bestellungen!$6:$1048576,MATCH(Kasse!B$5,Bestellungen!$A$5:$X$5,0),0))=FALSE,SUMIF(Kalkulation!$A$6:$A$40,Kasse!B$5&amp;"*",Kalkulation!$C$6:$C$40)*VLOOKUP($A162,Bestellungen!$6:$1048576,MATCH(Kasse!B$5,Bestellungen!$A$5:$X$5,0),0),"")</f>
        <v/>
      </c>
      <c r="C162" s="26" t="str">
        <f>IF(ISERROR(VLOOKUP($A162,Bestellungen!$6:$1048576,MATCH(Kasse!C$5,Bestellungen!$A$5:$X$5,0),0))=FALSE,SUMIF(Kalkulation!$A$6:$A$40,Kasse!C$5&amp;"*",Kalkulation!$C$6:$C$40)*VLOOKUP($A162,Bestellungen!$6:$1048576,MATCH(Kasse!C$5,Bestellungen!$A$5:$X$5,0),0),"")</f>
        <v/>
      </c>
      <c r="D162" s="26" t="str">
        <f>IF(ISERROR(VLOOKUP($A162,Bestellungen!$6:$1048576,MATCH(Kasse!D$5,Bestellungen!$A$5:$X$5,0),0))=FALSE,SUMIF(Kalkulation!$A$6:$A$40,Kasse!D$5&amp;"*",Kalkulation!$C$6:$C$40)*VLOOKUP($A162,Bestellungen!$6:$1048576,MATCH(Kasse!D$5,Bestellungen!$A$5:$X$5,0),0),"")</f>
        <v/>
      </c>
      <c r="E162" s="26" t="str">
        <f>IF(ISERROR(VLOOKUP($A162,Bestellungen!$6:$1048576,MATCH(Kasse!E$5,Bestellungen!$A$5:$X$5,0),0))=FALSE,SUMIF(Kalkulation!$A$6:$A$40,Kasse!E$5&amp;"*",Kalkulation!$C$6:$C$40)*VLOOKUP($A162,Bestellungen!$6:$1048576,MATCH(Kasse!E$5,Bestellungen!$A$5:$X$5,0),0),"")</f>
        <v/>
      </c>
      <c r="F162" s="26" t="str">
        <f>IF(ISERROR(VLOOKUP($A162,Bestellungen!$6:$1048576,MATCH(Kasse!F$5,Bestellungen!$A$5:$X$5,0),0))=FALSE,SUMIF(Kalkulation!$A$6:$A$40,Kasse!F$5&amp;"*",Kalkulation!$C$6:$C$40)*VLOOKUP($A162,Bestellungen!$6:$1048576,MATCH(Kasse!F$5,Bestellungen!$A$5:$X$5,0),0),"")</f>
        <v/>
      </c>
      <c r="G162" s="26" t="str">
        <f>IF(ISERROR(VLOOKUP($A162,Bestellungen!$6:$1048576,MATCH(Kasse!G$5,Bestellungen!$A$5:$X$5,0),0))=FALSE,SUMIF(Kalkulation!$A$6:$A$40,Kasse!G$5&amp;"*",Kalkulation!$C$6:$C$40)*VLOOKUP($A162,Bestellungen!$6:$1048576,MATCH(Kasse!G$5,Bestellungen!$A$5:$X$5,0),0),"")</f>
        <v/>
      </c>
      <c r="H162" s="26" t="str">
        <f>IF(ISERROR(VLOOKUP($A162,Bestellungen!$6:$1048576,MATCH(Kasse!H$5,Bestellungen!$A$5:$X$5,0),0))=FALSE,SUMIF(Kalkulation!$A$6:$A$40,Kasse!H$5&amp;"*",Kalkulation!$C$6:$C$40)*VLOOKUP($A162,Bestellungen!$6:$1048576,MATCH(Kasse!H$5,Bestellungen!$A$5:$X$5,0),0),"")</f>
        <v/>
      </c>
      <c r="I162" s="26" t="str">
        <f>IF(ISERROR(VLOOKUP($A162,Bestellungen!$6:$1048576,MATCH(Kasse!I$5,Bestellungen!$A$5:$X$5,0),0))=FALSE,SUMIF(Kalkulation!$A$6:$A$40,Kasse!I$5&amp;"*",Kalkulation!$C$6:$C$40)*VLOOKUP($A162,Bestellungen!$6:$1048576,MATCH(Kasse!I$5,Bestellungen!$A$5:$X$5,0),0),"")</f>
        <v/>
      </c>
      <c r="J162" s="26" t="str">
        <f>IF(ISERROR(VLOOKUP($A162,Bestellungen!$6:$1048576,MATCH(Kasse!J$5,Bestellungen!$A$5:$X$5,0),0))=FALSE,SUMIF(Kalkulation!$A$6:$A$40,Kasse!J$5&amp;"*",Kalkulation!$C$6:$C$40)*VLOOKUP($A162,Bestellungen!$6:$1048576,MATCH(Kasse!J$5,Bestellungen!$A$5:$X$5,0),0),"")</f>
        <v/>
      </c>
      <c r="K162" s="26" t="str">
        <f>IF(ISERROR(VLOOKUP($A162,Bestellungen!$6:$1048576,MATCH(Kasse!K$5,Bestellungen!$A$5:$X$5,0),0))=FALSE,SUMIF(Kalkulation!$A$6:$A$40,Kasse!K$5&amp;"*",Kalkulation!$C$6:$C$40)*VLOOKUP($A162,Bestellungen!$6:$1048576,MATCH(Kasse!K$5,Bestellungen!$A$5:$X$5,0),0),"")</f>
        <v/>
      </c>
      <c r="L162" s="26" t="str">
        <f>IF(ISERROR(VLOOKUP($A162,Bestellungen!$6:$1048576,MATCH(Kasse!L$5,Bestellungen!$A$5:$X$5,0),0))=FALSE,SUMIF(Kalkulation!$A$6:$A$40,Kasse!L$5&amp;"*",Kalkulation!$C$6:$C$40)*VLOOKUP($A162,Bestellungen!$6:$1048576,MATCH(Kasse!L$5,Bestellungen!$A$5:$X$5,0),0),"")</f>
        <v/>
      </c>
      <c r="M162" s="26" t="str">
        <f>IF(ISERROR(VLOOKUP($A162,Bestellungen!$6:$1048576,MATCH(Kasse!M$5,Bestellungen!$A$5:$X$5,0),0))=FALSE,SUMIF(Kalkulation!$A$6:$A$40,Kasse!M$5&amp;"*",Kalkulation!$C$6:$C$40)*VLOOKUP($A162,Bestellungen!$6:$1048576,MATCH(Kasse!M$5,Bestellungen!$A$5:$X$5,0),0),"")</f>
        <v/>
      </c>
      <c r="N162" s="26" t="str">
        <f>IF(ISERROR(VLOOKUP($A162,Bestellungen!$6:$1048576,MATCH(Kasse!N$5,Bestellungen!$A$5:$X$5,0),0))=FALSE,SUMIF(Kalkulation!$A$6:$A$40,Kasse!N$5&amp;"*",Kalkulation!$C$6:$C$40)*VLOOKUP($A162,Bestellungen!$6:$1048576,MATCH(Kasse!N$5,Bestellungen!$A$5:$X$5,0),0),"")</f>
        <v/>
      </c>
      <c r="O162" s="26" t="str">
        <f>IF(ISERROR(VLOOKUP($A162,Bestellungen!$6:$1048576,MATCH(Kasse!O$5,Bestellungen!$A$5:$X$5,0),0))=FALSE,SUMIF(Kalkulation!$A$6:$A$40,Kasse!O$5&amp;"*",Kalkulation!$C$6:$C$40)*VLOOKUP($A162,Bestellungen!$6:$1048576,MATCH(Kasse!O$5,Bestellungen!$A$5:$X$5,0),0),"")</f>
        <v/>
      </c>
      <c r="P162" s="26" t="str">
        <f>IF(ISERROR(VLOOKUP($A162,Bestellungen!$6:$1048576,MATCH(Kasse!P$5,Bestellungen!$A$5:$X$5,0),0))=FALSE,SUMIF(Kalkulation!$A$6:$A$40,Kasse!P$5&amp;"*",Kalkulation!$C$6:$C$40)*VLOOKUP($A162,Bestellungen!$6:$1048576,MATCH(Kasse!P$5,Bestellungen!$A$5:$X$5,0),0),"")</f>
        <v/>
      </c>
      <c r="Q162" s="26" t="str">
        <f>IF(ISERROR(VLOOKUP($A162,Bestellungen!$6:$1048576,MATCH(Kasse!Q$5,Bestellungen!$A$5:$X$5,0),0))=FALSE,SUMIF(Kalkulation!$A$6:$A$40,Kasse!Q$5&amp;"*",Kalkulation!$C$6:$C$40)*VLOOKUP($A162,Bestellungen!$6:$1048576,MATCH(Kasse!Q$5,Bestellungen!$A$5:$X$5,0),0),"")</f>
        <v/>
      </c>
      <c r="R162" s="26" t="str">
        <f>IF(ISERROR(VLOOKUP($A162,Bestellungen!$6:$1048576,MATCH(Kasse!R$5,Bestellungen!$A$5:$X$5,0),0))=FALSE,SUMIF(Kalkulation!$A$6:$A$40,Kasse!R$5&amp;"*",Kalkulation!$C$6:$C$40)*VLOOKUP($A162,Bestellungen!$6:$1048576,MATCH(Kasse!R$5,Bestellungen!$A$5:$X$5,0),0),"")</f>
        <v/>
      </c>
      <c r="S162" s="26" t="str">
        <f>IF(ISERROR(VLOOKUP($A162,Bestellungen!$6:$1048576,MATCH(Kasse!S$5,Bestellungen!$A$5:$X$5,0),0))=FALSE,SUMIF(Kalkulation!$A$6:$A$40,Kasse!S$5&amp;"*",Kalkulation!$C$6:$C$40)*VLOOKUP($A162,Bestellungen!$6:$1048576,MATCH(Kasse!S$5,Bestellungen!$A$5:$X$5,0),0),"")</f>
        <v/>
      </c>
      <c r="T162" s="26" t="str">
        <f>IF(ISERROR(VLOOKUP($A162,Bestellungen!$6:$1048576,MATCH(Kasse!T$5,Bestellungen!$A$5:$X$5,0),0))=FALSE,SUMIF(Kalkulation!$A$6:$A$40,Kasse!T$5&amp;"*",Kalkulation!$C$6:$C$40)*VLOOKUP($A162,Bestellungen!$6:$1048576,MATCH(Kasse!T$5,Bestellungen!$A$5:$X$5,0),0),"")</f>
        <v/>
      </c>
      <c r="U162" s="26" t="str">
        <f t="shared" si="4"/>
        <v/>
      </c>
      <c r="W162" s="26" t="str">
        <f t="shared" si="5"/>
        <v/>
      </c>
      <c r="X162" s="26"/>
      <c r="Y162" s="26"/>
      <c r="Z162" s="26"/>
      <c r="AA162" s="26"/>
    </row>
    <row r="163" spans="1:27" x14ac:dyDescent="0.25">
      <c r="A163" t="str">
        <f>IF(LEN(Bestellungen!$A163)&gt;0,Bestellungen!$A163,"")</f>
        <v/>
      </c>
      <c r="B163" s="26" t="str">
        <f>IF(ISERROR(VLOOKUP($A163,Bestellungen!$6:$1048576,MATCH(Kasse!B$5,Bestellungen!$A$5:$X$5,0),0))=FALSE,SUMIF(Kalkulation!$A$6:$A$40,Kasse!B$5&amp;"*",Kalkulation!$C$6:$C$40)*VLOOKUP($A163,Bestellungen!$6:$1048576,MATCH(Kasse!B$5,Bestellungen!$A$5:$X$5,0),0),"")</f>
        <v/>
      </c>
      <c r="C163" s="26" t="str">
        <f>IF(ISERROR(VLOOKUP($A163,Bestellungen!$6:$1048576,MATCH(Kasse!C$5,Bestellungen!$A$5:$X$5,0),0))=FALSE,SUMIF(Kalkulation!$A$6:$A$40,Kasse!C$5&amp;"*",Kalkulation!$C$6:$C$40)*VLOOKUP($A163,Bestellungen!$6:$1048576,MATCH(Kasse!C$5,Bestellungen!$A$5:$X$5,0),0),"")</f>
        <v/>
      </c>
      <c r="D163" s="26" t="str">
        <f>IF(ISERROR(VLOOKUP($A163,Bestellungen!$6:$1048576,MATCH(Kasse!D$5,Bestellungen!$A$5:$X$5,0),0))=FALSE,SUMIF(Kalkulation!$A$6:$A$40,Kasse!D$5&amp;"*",Kalkulation!$C$6:$C$40)*VLOOKUP($A163,Bestellungen!$6:$1048576,MATCH(Kasse!D$5,Bestellungen!$A$5:$X$5,0),0),"")</f>
        <v/>
      </c>
      <c r="E163" s="26" t="str">
        <f>IF(ISERROR(VLOOKUP($A163,Bestellungen!$6:$1048576,MATCH(Kasse!E$5,Bestellungen!$A$5:$X$5,0),0))=FALSE,SUMIF(Kalkulation!$A$6:$A$40,Kasse!E$5&amp;"*",Kalkulation!$C$6:$C$40)*VLOOKUP($A163,Bestellungen!$6:$1048576,MATCH(Kasse!E$5,Bestellungen!$A$5:$X$5,0),0),"")</f>
        <v/>
      </c>
      <c r="F163" s="26" t="str">
        <f>IF(ISERROR(VLOOKUP($A163,Bestellungen!$6:$1048576,MATCH(Kasse!F$5,Bestellungen!$A$5:$X$5,0),0))=FALSE,SUMIF(Kalkulation!$A$6:$A$40,Kasse!F$5&amp;"*",Kalkulation!$C$6:$C$40)*VLOOKUP($A163,Bestellungen!$6:$1048576,MATCH(Kasse!F$5,Bestellungen!$A$5:$X$5,0),0),"")</f>
        <v/>
      </c>
      <c r="G163" s="26" t="str">
        <f>IF(ISERROR(VLOOKUP($A163,Bestellungen!$6:$1048576,MATCH(Kasse!G$5,Bestellungen!$A$5:$X$5,0),0))=FALSE,SUMIF(Kalkulation!$A$6:$A$40,Kasse!G$5&amp;"*",Kalkulation!$C$6:$C$40)*VLOOKUP($A163,Bestellungen!$6:$1048576,MATCH(Kasse!G$5,Bestellungen!$A$5:$X$5,0),0),"")</f>
        <v/>
      </c>
      <c r="H163" s="26" t="str">
        <f>IF(ISERROR(VLOOKUP($A163,Bestellungen!$6:$1048576,MATCH(Kasse!H$5,Bestellungen!$A$5:$X$5,0),0))=FALSE,SUMIF(Kalkulation!$A$6:$A$40,Kasse!H$5&amp;"*",Kalkulation!$C$6:$C$40)*VLOOKUP($A163,Bestellungen!$6:$1048576,MATCH(Kasse!H$5,Bestellungen!$A$5:$X$5,0),0),"")</f>
        <v/>
      </c>
      <c r="I163" s="26" t="str">
        <f>IF(ISERROR(VLOOKUP($A163,Bestellungen!$6:$1048576,MATCH(Kasse!I$5,Bestellungen!$A$5:$X$5,0),0))=FALSE,SUMIF(Kalkulation!$A$6:$A$40,Kasse!I$5&amp;"*",Kalkulation!$C$6:$C$40)*VLOOKUP($A163,Bestellungen!$6:$1048576,MATCH(Kasse!I$5,Bestellungen!$A$5:$X$5,0),0),"")</f>
        <v/>
      </c>
      <c r="J163" s="26" t="str">
        <f>IF(ISERROR(VLOOKUP($A163,Bestellungen!$6:$1048576,MATCH(Kasse!J$5,Bestellungen!$A$5:$X$5,0),0))=FALSE,SUMIF(Kalkulation!$A$6:$A$40,Kasse!J$5&amp;"*",Kalkulation!$C$6:$C$40)*VLOOKUP($A163,Bestellungen!$6:$1048576,MATCH(Kasse!J$5,Bestellungen!$A$5:$X$5,0),0),"")</f>
        <v/>
      </c>
      <c r="K163" s="26" t="str">
        <f>IF(ISERROR(VLOOKUP($A163,Bestellungen!$6:$1048576,MATCH(Kasse!K$5,Bestellungen!$A$5:$X$5,0),0))=FALSE,SUMIF(Kalkulation!$A$6:$A$40,Kasse!K$5&amp;"*",Kalkulation!$C$6:$C$40)*VLOOKUP($A163,Bestellungen!$6:$1048576,MATCH(Kasse!K$5,Bestellungen!$A$5:$X$5,0),0),"")</f>
        <v/>
      </c>
      <c r="L163" s="26" t="str">
        <f>IF(ISERROR(VLOOKUP($A163,Bestellungen!$6:$1048576,MATCH(Kasse!L$5,Bestellungen!$A$5:$X$5,0),0))=FALSE,SUMIF(Kalkulation!$A$6:$A$40,Kasse!L$5&amp;"*",Kalkulation!$C$6:$C$40)*VLOOKUP($A163,Bestellungen!$6:$1048576,MATCH(Kasse!L$5,Bestellungen!$A$5:$X$5,0),0),"")</f>
        <v/>
      </c>
      <c r="M163" s="26" t="str">
        <f>IF(ISERROR(VLOOKUP($A163,Bestellungen!$6:$1048576,MATCH(Kasse!M$5,Bestellungen!$A$5:$X$5,0),0))=FALSE,SUMIF(Kalkulation!$A$6:$A$40,Kasse!M$5&amp;"*",Kalkulation!$C$6:$C$40)*VLOOKUP($A163,Bestellungen!$6:$1048576,MATCH(Kasse!M$5,Bestellungen!$A$5:$X$5,0),0),"")</f>
        <v/>
      </c>
      <c r="N163" s="26" t="str">
        <f>IF(ISERROR(VLOOKUP($A163,Bestellungen!$6:$1048576,MATCH(Kasse!N$5,Bestellungen!$A$5:$X$5,0),0))=FALSE,SUMIF(Kalkulation!$A$6:$A$40,Kasse!N$5&amp;"*",Kalkulation!$C$6:$C$40)*VLOOKUP($A163,Bestellungen!$6:$1048576,MATCH(Kasse!N$5,Bestellungen!$A$5:$X$5,0),0),"")</f>
        <v/>
      </c>
      <c r="O163" s="26" t="str">
        <f>IF(ISERROR(VLOOKUP($A163,Bestellungen!$6:$1048576,MATCH(Kasse!O$5,Bestellungen!$A$5:$X$5,0),0))=FALSE,SUMIF(Kalkulation!$A$6:$A$40,Kasse!O$5&amp;"*",Kalkulation!$C$6:$C$40)*VLOOKUP($A163,Bestellungen!$6:$1048576,MATCH(Kasse!O$5,Bestellungen!$A$5:$X$5,0),0),"")</f>
        <v/>
      </c>
      <c r="P163" s="26" t="str">
        <f>IF(ISERROR(VLOOKUP($A163,Bestellungen!$6:$1048576,MATCH(Kasse!P$5,Bestellungen!$A$5:$X$5,0),0))=FALSE,SUMIF(Kalkulation!$A$6:$A$40,Kasse!P$5&amp;"*",Kalkulation!$C$6:$C$40)*VLOOKUP($A163,Bestellungen!$6:$1048576,MATCH(Kasse!P$5,Bestellungen!$A$5:$X$5,0),0),"")</f>
        <v/>
      </c>
      <c r="Q163" s="26" t="str">
        <f>IF(ISERROR(VLOOKUP($A163,Bestellungen!$6:$1048576,MATCH(Kasse!Q$5,Bestellungen!$A$5:$X$5,0),0))=FALSE,SUMIF(Kalkulation!$A$6:$A$40,Kasse!Q$5&amp;"*",Kalkulation!$C$6:$C$40)*VLOOKUP($A163,Bestellungen!$6:$1048576,MATCH(Kasse!Q$5,Bestellungen!$A$5:$X$5,0),0),"")</f>
        <v/>
      </c>
      <c r="R163" s="26" t="str">
        <f>IF(ISERROR(VLOOKUP($A163,Bestellungen!$6:$1048576,MATCH(Kasse!R$5,Bestellungen!$A$5:$X$5,0),0))=FALSE,SUMIF(Kalkulation!$A$6:$A$40,Kasse!R$5&amp;"*",Kalkulation!$C$6:$C$40)*VLOOKUP($A163,Bestellungen!$6:$1048576,MATCH(Kasse!R$5,Bestellungen!$A$5:$X$5,0),0),"")</f>
        <v/>
      </c>
      <c r="S163" s="26" t="str">
        <f>IF(ISERROR(VLOOKUP($A163,Bestellungen!$6:$1048576,MATCH(Kasse!S$5,Bestellungen!$A$5:$X$5,0),0))=FALSE,SUMIF(Kalkulation!$A$6:$A$40,Kasse!S$5&amp;"*",Kalkulation!$C$6:$C$40)*VLOOKUP($A163,Bestellungen!$6:$1048576,MATCH(Kasse!S$5,Bestellungen!$A$5:$X$5,0),0),"")</f>
        <v/>
      </c>
      <c r="T163" s="26" t="str">
        <f>IF(ISERROR(VLOOKUP($A163,Bestellungen!$6:$1048576,MATCH(Kasse!T$5,Bestellungen!$A$5:$X$5,0),0))=FALSE,SUMIF(Kalkulation!$A$6:$A$40,Kasse!T$5&amp;"*",Kalkulation!$C$6:$C$40)*VLOOKUP($A163,Bestellungen!$6:$1048576,MATCH(Kasse!T$5,Bestellungen!$A$5:$X$5,0),0),"")</f>
        <v/>
      </c>
      <c r="U163" s="26" t="str">
        <f t="shared" si="4"/>
        <v/>
      </c>
      <c r="W163" s="26" t="str">
        <f t="shared" si="5"/>
        <v/>
      </c>
      <c r="X163" s="26"/>
      <c r="Y163" s="26"/>
      <c r="Z163" s="26"/>
      <c r="AA163" s="26"/>
    </row>
    <row r="164" spans="1:27" x14ac:dyDescent="0.25">
      <c r="A164" t="str">
        <f>IF(LEN(Bestellungen!$A164)&gt;0,Bestellungen!$A164,"")</f>
        <v/>
      </c>
      <c r="B164" s="26" t="str">
        <f>IF(ISERROR(VLOOKUP($A164,Bestellungen!$6:$1048576,MATCH(Kasse!B$5,Bestellungen!$A$5:$X$5,0),0))=FALSE,SUMIF(Kalkulation!$A$6:$A$40,Kasse!B$5&amp;"*",Kalkulation!$C$6:$C$40)*VLOOKUP($A164,Bestellungen!$6:$1048576,MATCH(Kasse!B$5,Bestellungen!$A$5:$X$5,0),0),"")</f>
        <v/>
      </c>
      <c r="C164" s="26" t="str">
        <f>IF(ISERROR(VLOOKUP($A164,Bestellungen!$6:$1048576,MATCH(Kasse!C$5,Bestellungen!$A$5:$X$5,0),0))=FALSE,SUMIF(Kalkulation!$A$6:$A$40,Kasse!C$5&amp;"*",Kalkulation!$C$6:$C$40)*VLOOKUP($A164,Bestellungen!$6:$1048576,MATCH(Kasse!C$5,Bestellungen!$A$5:$X$5,0),0),"")</f>
        <v/>
      </c>
      <c r="D164" s="26" t="str">
        <f>IF(ISERROR(VLOOKUP($A164,Bestellungen!$6:$1048576,MATCH(Kasse!D$5,Bestellungen!$A$5:$X$5,0),0))=FALSE,SUMIF(Kalkulation!$A$6:$A$40,Kasse!D$5&amp;"*",Kalkulation!$C$6:$C$40)*VLOOKUP($A164,Bestellungen!$6:$1048576,MATCH(Kasse!D$5,Bestellungen!$A$5:$X$5,0),0),"")</f>
        <v/>
      </c>
      <c r="E164" s="26" t="str">
        <f>IF(ISERROR(VLOOKUP($A164,Bestellungen!$6:$1048576,MATCH(Kasse!E$5,Bestellungen!$A$5:$X$5,0),0))=FALSE,SUMIF(Kalkulation!$A$6:$A$40,Kasse!E$5&amp;"*",Kalkulation!$C$6:$C$40)*VLOOKUP($A164,Bestellungen!$6:$1048576,MATCH(Kasse!E$5,Bestellungen!$A$5:$X$5,0),0),"")</f>
        <v/>
      </c>
      <c r="F164" s="26" t="str">
        <f>IF(ISERROR(VLOOKUP($A164,Bestellungen!$6:$1048576,MATCH(Kasse!F$5,Bestellungen!$A$5:$X$5,0),0))=FALSE,SUMIF(Kalkulation!$A$6:$A$40,Kasse!F$5&amp;"*",Kalkulation!$C$6:$C$40)*VLOOKUP($A164,Bestellungen!$6:$1048576,MATCH(Kasse!F$5,Bestellungen!$A$5:$X$5,0),0),"")</f>
        <v/>
      </c>
      <c r="G164" s="26" t="str">
        <f>IF(ISERROR(VLOOKUP($A164,Bestellungen!$6:$1048576,MATCH(Kasse!G$5,Bestellungen!$A$5:$X$5,0),0))=FALSE,SUMIF(Kalkulation!$A$6:$A$40,Kasse!G$5&amp;"*",Kalkulation!$C$6:$C$40)*VLOOKUP($A164,Bestellungen!$6:$1048576,MATCH(Kasse!G$5,Bestellungen!$A$5:$X$5,0),0),"")</f>
        <v/>
      </c>
      <c r="H164" s="26" t="str">
        <f>IF(ISERROR(VLOOKUP($A164,Bestellungen!$6:$1048576,MATCH(Kasse!H$5,Bestellungen!$A$5:$X$5,0),0))=FALSE,SUMIF(Kalkulation!$A$6:$A$40,Kasse!H$5&amp;"*",Kalkulation!$C$6:$C$40)*VLOOKUP($A164,Bestellungen!$6:$1048576,MATCH(Kasse!H$5,Bestellungen!$A$5:$X$5,0),0),"")</f>
        <v/>
      </c>
      <c r="I164" s="26" t="str">
        <f>IF(ISERROR(VLOOKUP($A164,Bestellungen!$6:$1048576,MATCH(Kasse!I$5,Bestellungen!$A$5:$X$5,0),0))=FALSE,SUMIF(Kalkulation!$A$6:$A$40,Kasse!I$5&amp;"*",Kalkulation!$C$6:$C$40)*VLOOKUP($A164,Bestellungen!$6:$1048576,MATCH(Kasse!I$5,Bestellungen!$A$5:$X$5,0),0),"")</f>
        <v/>
      </c>
      <c r="J164" s="26" t="str">
        <f>IF(ISERROR(VLOOKUP($A164,Bestellungen!$6:$1048576,MATCH(Kasse!J$5,Bestellungen!$A$5:$X$5,0),0))=FALSE,SUMIF(Kalkulation!$A$6:$A$40,Kasse!J$5&amp;"*",Kalkulation!$C$6:$C$40)*VLOOKUP($A164,Bestellungen!$6:$1048576,MATCH(Kasse!J$5,Bestellungen!$A$5:$X$5,0),0),"")</f>
        <v/>
      </c>
      <c r="K164" s="26" t="str">
        <f>IF(ISERROR(VLOOKUP($A164,Bestellungen!$6:$1048576,MATCH(Kasse!K$5,Bestellungen!$A$5:$X$5,0),0))=FALSE,SUMIF(Kalkulation!$A$6:$A$40,Kasse!K$5&amp;"*",Kalkulation!$C$6:$C$40)*VLOOKUP($A164,Bestellungen!$6:$1048576,MATCH(Kasse!K$5,Bestellungen!$A$5:$X$5,0),0),"")</f>
        <v/>
      </c>
      <c r="L164" s="26" t="str">
        <f>IF(ISERROR(VLOOKUP($A164,Bestellungen!$6:$1048576,MATCH(Kasse!L$5,Bestellungen!$A$5:$X$5,0),0))=FALSE,SUMIF(Kalkulation!$A$6:$A$40,Kasse!L$5&amp;"*",Kalkulation!$C$6:$C$40)*VLOOKUP($A164,Bestellungen!$6:$1048576,MATCH(Kasse!L$5,Bestellungen!$A$5:$X$5,0),0),"")</f>
        <v/>
      </c>
      <c r="M164" s="26" t="str">
        <f>IF(ISERROR(VLOOKUP($A164,Bestellungen!$6:$1048576,MATCH(Kasse!M$5,Bestellungen!$A$5:$X$5,0),0))=FALSE,SUMIF(Kalkulation!$A$6:$A$40,Kasse!M$5&amp;"*",Kalkulation!$C$6:$C$40)*VLOOKUP($A164,Bestellungen!$6:$1048576,MATCH(Kasse!M$5,Bestellungen!$A$5:$X$5,0),0),"")</f>
        <v/>
      </c>
      <c r="N164" s="26" t="str">
        <f>IF(ISERROR(VLOOKUP($A164,Bestellungen!$6:$1048576,MATCH(Kasse!N$5,Bestellungen!$A$5:$X$5,0),0))=FALSE,SUMIF(Kalkulation!$A$6:$A$40,Kasse!N$5&amp;"*",Kalkulation!$C$6:$C$40)*VLOOKUP($A164,Bestellungen!$6:$1048576,MATCH(Kasse!N$5,Bestellungen!$A$5:$X$5,0),0),"")</f>
        <v/>
      </c>
      <c r="O164" s="26" t="str">
        <f>IF(ISERROR(VLOOKUP($A164,Bestellungen!$6:$1048576,MATCH(Kasse!O$5,Bestellungen!$A$5:$X$5,0),0))=FALSE,SUMIF(Kalkulation!$A$6:$A$40,Kasse!O$5&amp;"*",Kalkulation!$C$6:$C$40)*VLOOKUP($A164,Bestellungen!$6:$1048576,MATCH(Kasse!O$5,Bestellungen!$A$5:$X$5,0),0),"")</f>
        <v/>
      </c>
      <c r="P164" s="26" t="str">
        <f>IF(ISERROR(VLOOKUP($A164,Bestellungen!$6:$1048576,MATCH(Kasse!P$5,Bestellungen!$A$5:$X$5,0),0))=FALSE,SUMIF(Kalkulation!$A$6:$A$40,Kasse!P$5&amp;"*",Kalkulation!$C$6:$C$40)*VLOOKUP($A164,Bestellungen!$6:$1048576,MATCH(Kasse!P$5,Bestellungen!$A$5:$X$5,0),0),"")</f>
        <v/>
      </c>
      <c r="Q164" s="26" t="str">
        <f>IF(ISERROR(VLOOKUP($A164,Bestellungen!$6:$1048576,MATCH(Kasse!Q$5,Bestellungen!$A$5:$X$5,0),0))=FALSE,SUMIF(Kalkulation!$A$6:$A$40,Kasse!Q$5&amp;"*",Kalkulation!$C$6:$C$40)*VLOOKUP($A164,Bestellungen!$6:$1048576,MATCH(Kasse!Q$5,Bestellungen!$A$5:$X$5,0),0),"")</f>
        <v/>
      </c>
      <c r="R164" s="26" t="str">
        <f>IF(ISERROR(VLOOKUP($A164,Bestellungen!$6:$1048576,MATCH(Kasse!R$5,Bestellungen!$A$5:$X$5,0),0))=FALSE,SUMIF(Kalkulation!$A$6:$A$40,Kasse!R$5&amp;"*",Kalkulation!$C$6:$C$40)*VLOOKUP($A164,Bestellungen!$6:$1048576,MATCH(Kasse!R$5,Bestellungen!$A$5:$X$5,0),0),"")</f>
        <v/>
      </c>
      <c r="S164" s="26" t="str">
        <f>IF(ISERROR(VLOOKUP($A164,Bestellungen!$6:$1048576,MATCH(Kasse!S$5,Bestellungen!$A$5:$X$5,0),0))=FALSE,SUMIF(Kalkulation!$A$6:$A$40,Kasse!S$5&amp;"*",Kalkulation!$C$6:$C$40)*VLOOKUP($A164,Bestellungen!$6:$1048576,MATCH(Kasse!S$5,Bestellungen!$A$5:$X$5,0),0),"")</f>
        <v/>
      </c>
      <c r="T164" s="26" t="str">
        <f>IF(ISERROR(VLOOKUP($A164,Bestellungen!$6:$1048576,MATCH(Kasse!T$5,Bestellungen!$A$5:$X$5,0),0))=FALSE,SUMIF(Kalkulation!$A$6:$A$40,Kasse!T$5&amp;"*",Kalkulation!$C$6:$C$40)*VLOOKUP($A164,Bestellungen!$6:$1048576,MATCH(Kasse!T$5,Bestellungen!$A$5:$X$5,0),0),"")</f>
        <v/>
      </c>
      <c r="U164" s="26" t="str">
        <f t="shared" si="4"/>
        <v/>
      </c>
      <c r="W164" s="26" t="str">
        <f t="shared" si="5"/>
        <v/>
      </c>
      <c r="X164" s="26"/>
      <c r="Y164" s="26"/>
      <c r="Z164" s="26"/>
      <c r="AA164" s="26"/>
    </row>
    <row r="165" spans="1:27" x14ac:dyDescent="0.25">
      <c r="A165" t="str">
        <f>IF(LEN(Bestellungen!$A165)&gt;0,Bestellungen!$A165,"")</f>
        <v/>
      </c>
      <c r="B165" s="26" t="str">
        <f>IF(ISERROR(VLOOKUP($A165,Bestellungen!$6:$1048576,MATCH(Kasse!B$5,Bestellungen!$A$5:$X$5,0),0))=FALSE,SUMIF(Kalkulation!$A$6:$A$40,Kasse!B$5&amp;"*",Kalkulation!$C$6:$C$40)*VLOOKUP($A165,Bestellungen!$6:$1048576,MATCH(Kasse!B$5,Bestellungen!$A$5:$X$5,0),0),"")</f>
        <v/>
      </c>
      <c r="C165" s="26" t="str">
        <f>IF(ISERROR(VLOOKUP($A165,Bestellungen!$6:$1048576,MATCH(Kasse!C$5,Bestellungen!$A$5:$X$5,0),0))=FALSE,SUMIF(Kalkulation!$A$6:$A$40,Kasse!C$5&amp;"*",Kalkulation!$C$6:$C$40)*VLOOKUP($A165,Bestellungen!$6:$1048576,MATCH(Kasse!C$5,Bestellungen!$A$5:$X$5,0),0),"")</f>
        <v/>
      </c>
      <c r="D165" s="26" t="str">
        <f>IF(ISERROR(VLOOKUP($A165,Bestellungen!$6:$1048576,MATCH(Kasse!D$5,Bestellungen!$A$5:$X$5,0),0))=FALSE,SUMIF(Kalkulation!$A$6:$A$40,Kasse!D$5&amp;"*",Kalkulation!$C$6:$C$40)*VLOOKUP($A165,Bestellungen!$6:$1048576,MATCH(Kasse!D$5,Bestellungen!$A$5:$X$5,0),0),"")</f>
        <v/>
      </c>
      <c r="E165" s="26" t="str">
        <f>IF(ISERROR(VLOOKUP($A165,Bestellungen!$6:$1048576,MATCH(Kasse!E$5,Bestellungen!$A$5:$X$5,0),0))=FALSE,SUMIF(Kalkulation!$A$6:$A$40,Kasse!E$5&amp;"*",Kalkulation!$C$6:$C$40)*VLOOKUP($A165,Bestellungen!$6:$1048576,MATCH(Kasse!E$5,Bestellungen!$A$5:$X$5,0),0),"")</f>
        <v/>
      </c>
      <c r="F165" s="26" t="str">
        <f>IF(ISERROR(VLOOKUP($A165,Bestellungen!$6:$1048576,MATCH(Kasse!F$5,Bestellungen!$A$5:$X$5,0),0))=FALSE,SUMIF(Kalkulation!$A$6:$A$40,Kasse!F$5&amp;"*",Kalkulation!$C$6:$C$40)*VLOOKUP($A165,Bestellungen!$6:$1048576,MATCH(Kasse!F$5,Bestellungen!$A$5:$X$5,0),0),"")</f>
        <v/>
      </c>
      <c r="G165" s="26" t="str">
        <f>IF(ISERROR(VLOOKUP($A165,Bestellungen!$6:$1048576,MATCH(Kasse!G$5,Bestellungen!$A$5:$X$5,0),0))=FALSE,SUMIF(Kalkulation!$A$6:$A$40,Kasse!G$5&amp;"*",Kalkulation!$C$6:$C$40)*VLOOKUP($A165,Bestellungen!$6:$1048576,MATCH(Kasse!G$5,Bestellungen!$A$5:$X$5,0),0),"")</f>
        <v/>
      </c>
      <c r="H165" s="26" t="str">
        <f>IF(ISERROR(VLOOKUP($A165,Bestellungen!$6:$1048576,MATCH(Kasse!H$5,Bestellungen!$A$5:$X$5,0),0))=FALSE,SUMIF(Kalkulation!$A$6:$A$40,Kasse!H$5&amp;"*",Kalkulation!$C$6:$C$40)*VLOOKUP($A165,Bestellungen!$6:$1048576,MATCH(Kasse!H$5,Bestellungen!$A$5:$X$5,0),0),"")</f>
        <v/>
      </c>
      <c r="I165" s="26" t="str">
        <f>IF(ISERROR(VLOOKUP($A165,Bestellungen!$6:$1048576,MATCH(Kasse!I$5,Bestellungen!$A$5:$X$5,0),0))=FALSE,SUMIF(Kalkulation!$A$6:$A$40,Kasse!I$5&amp;"*",Kalkulation!$C$6:$C$40)*VLOOKUP($A165,Bestellungen!$6:$1048576,MATCH(Kasse!I$5,Bestellungen!$A$5:$X$5,0),0),"")</f>
        <v/>
      </c>
      <c r="J165" s="26" t="str">
        <f>IF(ISERROR(VLOOKUP($A165,Bestellungen!$6:$1048576,MATCH(Kasse!J$5,Bestellungen!$A$5:$X$5,0),0))=FALSE,SUMIF(Kalkulation!$A$6:$A$40,Kasse!J$5&amp;"*",Kalkulation!$C$6:$C$40)*VLOOKUP($A165,Bestellungen!$6:$1048576,MATCH(Kasse!J$5,Bestellungen!$A$5:$X$5,0),0),"")</f>
        <v/>
      </c>
      <c r="K165" s="26" t="str">
        <f>IF(ISERROR(VLOOKUP($A165,Bestellungen!$6:$1048576,MATCH(Kasse!K$5,Bestellungen!$A$5:$X$5,0),0))=FALSE,SUMIF(Kalkulation!$A$6:$A$40,Kasse!K$5&amp;"*",Kalkulation!$C$6:$C$40)*VLOOKUP($A165,Bestellungen!$6:$1048576,MATCH(Kasse!K$5,Bestellungen!$A$5:$X$5,0),0),"")</f>
        <v/>
      </c>
      <c r="L165" s="26" t="str">
        <f>IF(ISERROR(VLOOKUP($A165,Bestellungen!$6:$1048576,MATCH(Kasse!L$5,Bestellungen!$A$5:$X$5,0),0))=FALSE,SUMIF(Kalkulation!$A$6:$A$40,Kasse!L$5&amp;"*",Kalkulation!$C$6:$C$40)*VLOOKUP($A165,Bestellungen!$6:$1048576,MATCH(Kasse!L$5,Bestellungen!$A$5:$X$5,0),0),"")</f>
        <v/>
      </c>
      <c r="M165" s="26" t="str">
        <f>IF(ISERROR(VLOOKUP($A165,Bestellungen!$6:$1048576,MATCH(Kasse!M$5,Bestellungen!$A$5:$X$5,0),0))=FALSE,SUMIF(Kalkulation!$A$6:$A$40,Kasse!M$5&amp;"*",Kalkulation!$C$6:$C$40)*VLOOKUP($A165,Bestellungen!$6:$1048576,MATCH(Kasse!M$5,Bestellungen!$A$5:$X$5,0),0),"")</f>
        <v/>
      </c>
      <c r="N165" s="26" t="str">
        <f>IF(ISERROR(VLOOKUP($A165,Bestellungen!$6:$1048576,MATCH(Kasse!N$5,Bestellungen!$A$5:$X$5,0),0))=FALSE,SUMIF(Kalkulation!$A$6:$A$40,Kasse!N$5&amp;"*",Kalkulation!$C$6:$C$40)*VLOOKUP($A165,Bestellungen!$6:$1048576,MATCH(Kasse!N$5,Bestellungen!$A$5:$X$5,0),0),"")</f>
        <v/>
      </c>
      <c r="O165" s="26" t="str">
        <f>IF(ISERROR(VLOOKUP($A165,Bestellungen!$6:$1048576,MATCH(Kasse!O$5,Bestellungen!$A$5:$X$5,0),0))=FALSE,SUMIF(Kalkulation!$A$6:$A$40,Kasse!O$5&amp;"*",Kalkulation!$C$6:$C$40)*VLOOKUP($A165,Bestellungen!$6:$1048576,MATCH(Kasse!O$5,Bestellungen!$A$5:$X$5,0),0),"")</f>
        <v/>
      </c>
      <c r="P165" s="26" t="str">
        <f>IF(ISERROR(VLOOKUP($A165,Bestellungen!$6:$1048576,MATCH(Kasse!P$5,Bestellungen!$A$5:$X$5,0),0))=FALSE,SUMIF(Kalkulation!$A$6:$A$40,Kasse!P$5&amp;"*",Kalkulation!$C$6:$C$40)*VLOOKUP($A165,Bestellungen!$6:$1048576,MATCH(Kasse!P$5,Bestellungen!$A$5:$X$5,0),0),"")</f>
        <v/>
      </c>
      <c r="Q165" s="26" t="str">
        <f>IF(ISERROR(VLOOKUP($A165,Bestellungen!$6:$1048576,MATCH(Kasse!Q$5,Bestellungen!$A$5:$X$5,0),0))=FALSE,SUMIF(Kalkulation!$A$6:$A$40,Kasse!Q$5&amp;"*",Kalkulation!$C$6:$C$40)*VLOOKUP($A165,Bestellungen!$6:$1048576,MATCH(Kasse!Q$5,Bestellungen!$A$5:$X$5,0),0),"")</f>
        <v/>
      </c>
      <c r="R165" s="26" t="str">
        <f>IF(ISERROR(VLOOKUP($A165,Bestellungen!$6:$1048576,MATCH(Kasse!R$5,Bestellungen!$A$5:$X$5,0),0))=FALSE,SUMIF(Kalkulation!$A$6:$A$40,Kasse!R$5&amp;"*",Kalkulation!$C$6:$C$40)*VLOOKUP($A165,Bestellungen!$6:$1048576,MATCH(Kasse!R$5,Bestellungen!$A$5:$X$5,0),0),"")</f>
        <v/>
      </c>
      <c r="S165" s="26" t="str">
        <f>IF(ISERROR(VLOOKUP($A165,Bestellungen!$6:$1048576,MATCH(Kasse!S$5,Bestellungen!$A$5:$X$5,0),0))=FALSE,SUMIF(Kalkulation!$A$6:$A$40,Kasse!S$5&amp;"*",Kalkulation!$C$6:$C$40)*VLOOKUP($A165,Bestellungen!$6:$1048576,MATCH(Kasse!S$5,Bestellungen!$A$5:$X$5,0),0),"")</f>
        <v/>
      </c>
      <c r="T165" s="26" t="str">
        <f>IF(ISERROR(VLOOKUP($A165,Bestellungen!$6:$1048576,MATCH(Kasse!T$5,Bestellungen!$A$5:$X$5,0),0))=FALSE,SUMIF(Kalkulation!$A$6:$A$40,Kasse!T$5&amp;"*",Kalkulation!$C$6:$C$40)*VLOOKUP($A165,Bestellungen!$6:$1048576,MATCH(Kasse!T$5,Bestellungen!$A$5:$X$5,0),0),"")</f>
        <v/>
      </c>
      <c r="U165" s="26" t="str">
        <f t="shared" si="4"/>
        <v/>
      </c>
      <c r="W165" s="26" t="str">
        <f t="shared" si="5"/>
        <v/>
      </c>
      <c r="X165" s="26"/>
      <c r="Y165" s="26"/>
      <c r="Z165" s="26"/>
      <c r="AA165" s="26"/>
    </row>
    <row r="166" spans="1:27" x14ac:dyDescent="0.25">
      <c r="A166" t="str">
        <f>IF(LEN(Bestellungen!$A166)&gt;0,Bestellungen!$A166,"")</f>
        <v/>
      </c>
      <c r="B166" s="26" t="str">
        <f>IF(ISERROR(VLOOKUP($A166,Bestellungen!$6:$1048576,MATCH(Kasse!B$5,Bestellungen!$A$5:$X$5,0),0))=FALSE,SUMIF(Kalkulation!$A$6:$A$40,Kasse!B$5&amp;"*",Kalkulation!$C$6:$C$40)*VLOOKUP($A166,Bestellungen!$6:$1048576,MATCH(Kasse!B$5,Bestellungen!$A$5:$X$5,0),0),"")</f>
        <v/>
      </c>
      <c r="C166" s="26" t="str">
        <f>IF(ISERROR(VLOOKUP($A166,Bestellungen!$6:$1048576,MATCH(Kasse!C$5,Bestellungen!$A$5:$X$5,0),0))=FALSE,SUMIF(Kalkulation!$A$6:$A$40,Kasse!C$5&amp;"*",Kalkulation!$C$6:$C$40)*VLOOKUP($A166,Bestellungen!$6:$1048576,MATCH(Kasse!C$5,Bestellungen!$A$5:$X$5,0),0),"")</f>
        <v/>
      </c>
      <c r="D166" s="26" t="str">
        <f>IF(ISERROR(VLOOKUP($A166,Bestellungen!$6:$1048576,MATCH(Kasse!D$5,Bestellungen!$A$5:$X$5,0),0))=FALSE,SUMIF(Kalkulation!$A$6:$A$40,Kasse!D$5&amp;"*",Kalkulation!$C$6:$C$40)*VLOOKUP($A166,Bestellungen!$6:$1048576,MATCH(Kasse!D$5,Bestellungen!$A$5:$X$5,0),0),"")</f>
        <v/>
      </c>
      <c r="E166" s="26" t="str">
        <f>IF(ISERROR(VLOOKUP($A166,Bestellungen!$6:$1048576,MATCH(Kasse!E$5,Bestellungen!$A$5:$X$5,0),0))=FALSE,SUMIF(Kalkulation!$A$6:$A$40,Kasse!E$5&amp;"*",Kalkulation!$C$6:$C$40)*VLOOKUP($A166,Bestellungen!$6:$1048576,MATCH(Kasse!E$5,Bestellungen!$A$5:$X$5,0),0),"")</f>
        <v/>
      </c>
      <c r="F166" s="26" t="str">
        <f>IF(ISERROR(VLOOKUP($A166,Bestellungen!$6:$1048576,MATCH(Kasse!F$5,Bestellungen!$A$5:$X$5,0),0))=FALSE,SUMIF(Kalkulation!$A$6:$A$40,Kasse!F$5&amp;"*",Kalkulation!$C$6:$C$40)*VLOOKUP($A166,Bestellungen!$6:$1048576,MATCH(Kasse!F$5,Bestellungen!$A$5:$X$5,0),0),"")</f>
        <v/>
      </c>
      <c r="G166" s="26" t="str">
        <f>IF(ISERROR(VLOOKUP($A166,Bestellungen!$6:$1048576,MATCH(Kasse!G$5,Bestellungen!$A$5:$X$5,0),0))=FALSE,SUMIF(Kalkulation!$A$6:$A$40,Kasse!G$5&amp;"*",Kalkulation!$C$6:$C$40)*VLOOKUP($A166,Bestellungen!$6:$1048576,MATCH(Kasse!G$5,Bestellungen!$A$5:$X$5,0),0),"")</f>
        <v/>
      </c>
      <c r="H166" s="26" t="str">
        <f>IF(ISERROR(VLOOKUP($A166,Bestellungen!$6:$1048576,MATCH(Kasse!H$5,Bestellungen!$A$5:$X$5,0),0))=FALSE,SUMIF(Kalkulation!$A$6:$A$40,Kasse!H$5&amp;"*",Kalkulation!$C$6:$C$40)*VLOOKUP($A166,Bestellungen!$6:$1048576,MATCH(Kasse!H$5,Bestellungen!$A$5:$X$5,0),0),"")</f>
        <v/>
      </c>
      <c r="I166" s="26" t="str">
        <f>IF(ISERROR(VLOOKUP($A166,Bestellungen!$6:$1048576,MATCH(Kasse!I$5,Bestellungen!$A$5:$X$5,0),0))=FALSE,SUMIF(Kalkulation!$A$6:$A$40,Kasse!I$5&amp;"*",Kalkulation!$C$6:$C$40)*VLOOKUP($A166,Bestellungen!$6:$1048576,MATCH(Kasse!I$5,Bestellungen!$A$5:$X$5,0),0),"")</f>
        <v/>
      </c>
      <c r="J166" s="26" t="str">
        <f>IF(ISERROR(VLOOKUP($A166,Bestellungen!$6:$1048576,MATCH(Kasse!J$5,Bestellungen!$A$5:$X$5,0),0))=FALSE,SUMIF(Kalkulation!$A$6:$A$40,Kasse!J$5&amp;"*",Kalkulation!$C$6:$C$40)*VLOOKUP($A166,Bestellungen!$6:$1048576,MATCH(Kasse!J$5,Bestellungen!$A$5:$X$5,0),0),"")</f>
        <v/>
      </c>
      <c r="K166" s="26" t="str">
        <f>IF(ISERROR(VLOOKUP($A166,Bestellungen!$6:$1048576,MATCH(Kasse!K$5,Bestellungen!$A$5:$X$5,0),0))=FALSE,SUMIF(Kalkulation!$A$6:$A$40,Kasse!K$5&amp;"*",Kalkulation!$C$6:$C$40)*VLOOKUP($A166,Bestellungen!$6:$1048576,MATCH(Kasse!K$5,Bestellungen!$A$5:$X$5,0),0),"")</f>
        <v/>
      </c>
      <c r="L166" s="26" t="str">
        <f>IF(ISERROR(VLOOKUP($A166,Bestellungen!$6:$1048576,MATCH(Kasse!L$5,Bestellungen!$A$5:$X$5,0),0))=FALSE,SUMIF(Kalkulation!$A$6:$A$40,Kasse!L$5&amp;"*",Kalkulation!$C$6:$C$40)*VLOOKUP($A166,Bestellungen!$6:$1048576,MATCH(Kasse!L$5,Bestellungen!$A$5:$X$5,0),0),"")</f>
        <v/>
      </c>
      <c r="M166" s="26" t="str">
        <f>IF(ISERROR(VLOOKUP($A166,Bestellungen!$6:$1048576,MATCH(Kasse!M$5,Bestellungen!$A$5:$X$5,0),0))=FALSE,SUMIF(Kalkulation!$A$6:$A$40,Kasse!M$5&amp;"*",Kalkulation!$C$6:$C$40)*VLOOKUP($A166,Bestellungen!$6:$1048576,MATCH(Kasse!M$5,Bestellungen!$A$5:$X$5,0),0),"")</f>
        <v/>
      </c>
      <c r="N166" s="26" t="str">
        <f>IF(ISERROR(VLOOKUP($A166,Bestellungen!$6:$1048576,MATCH(Kasse!N$5,Bestellungen!$A$5:$X$5,0),0))=FALSE,SUMIF(Kalkulation!$A$6:$A$40,Kasse!N$5&amp;"*",Kalkulation!$C$6:$C$40)*VLOOKUP($A166,Bestellungen!$6:$1048576,MATCH(Kasse!N$5,Bestellungen!$A$5:$X$5,0),0),"")</f>
        <v/>
      </c>
      <c r="O166" s="26" t="str">
        <f>IF(ISERROR(VLOOKUP($A166,Bestellungen!$6:$1048576,MATCH(Kasse!O$5,Bestellungen!$A$5:$X$5,0),0))=FALSE,SUMIF(Kalkulation!$A$6:$A$40,Kasse!O$5&amp;"*",Kalkulation!$C$6:$C$40)*VLOOKUP($A166,Bestellungen!$6:$1048576,MATCH(Kasse!O$5,Bestellungen!$A$5:$X$5,0),0),"")</f>
        <v/>
      </c>
      <c r="P166" s="26" t="str">
        <f>IF(ISERROR(VLOOKUP($A166,Bestellungen!$6:$1048576,MATCH(Kasse!P$5,Bestellungen!$A$5:$X$5,0),0))=FALSE,SUMIF(Kalkulation!$A$6:$A$40,Kasse!P$5&amp;"*",Kalkulation!$C$6:$C$40)*VLOOKUP($A166,Bestellungen!$6:$1048576,MATCH(Kasse!P$5,Bestellungen!$A$5:$X$5,0),0),"")</f>
        <v/>
      </c>
      <c r="Q166" s="26" t="str">
        <f>IF(ISERROR(VLOOKUP($A166,Bestellungen!$6:$1048576,MATCH(Kasse!Q$5,Bestellungen!$A$5:$X$5,0),0))=FALSE,SUMIF(Kalkulation!$A$6:$A$40,Kasse!Q$5&amp;"*",Kalkulation!$C$6:$C$40)*VLOOKUP($A166,Bestellungen!$6:$1048576,MATCH(Kasse!Q$5,Bestellungen!$A$5:$X$5,0),0),"")</f>
        <v/>
      </c>
      <c r="R166" s="26" t="str">
        <f>IF(ISERROR(VLOOKUP($A166,Bestellungen!$6:$1048576,MATCH(Kasse!R$5,Bestellungen!$A$5:$X$5,0),0))=FALSE,SUMIF(Kalkulation!$A$6:$A$40,Kasse!R$5&amp;"*",Kalkulation!$C$6:$C$40)*VLOOKUP($A166,Bestellungen!$6:$1048576,MATCH(Kasse!R$5,Bestellungen!$A$5:$X$5,0),0),"")</f>
        <v/>
      </c>
      <c r="S166" s="26" t="str">
        <f>IF(ISERROR(VLOOKUP($A166,Bestellungen!$6:$1048576,MATCH(Kasse!S$5,Bestellungen!$A$5:$X$5,0),0))=FALSE,SUMIF(Kalkulation!$A$6:$A$40,Kasse!S$5&amp;"*",Kalkulation!$C$6:$C$40)*VLOOKUP($A166,Bestellungen!$6:$1048576,MATCH(Kasse!S$5,Bestellungen!$A$5:$X$5,0),0),"")</f>
        <v/>
      </c>
      <c r="T166" s="26" t="str">
        <f>IF(ISERROR(VLOOKUP($A166,Bestellungen!$6:$1048576,MATCH(Kasse!T$5,Bestellungen!$A$5:$X$5,0),0))=FALSE,SUMIF(Kalkulation!$A$6:$A$40,Kasse!T$5&amp;"*",Kalkulation!$C$6:$C$40)*VLOOKUP($A166,Bestellungen!$6:$1048576,MATCH(Kasse!T$5,Bestellungen!$A$5:$X$5,0),0),"")</f>
        <v/>
      </c>
      <c r="U166" s="26" t="str">
        <f t="shared" si="4"/>
        <v/>
      </c>
      <c r="W166" s="26" t="str">
        <f t="shared" si="5"/>
        <v/>
      </c>
      <c r="X166" s="26"/>
      <c r="Y166" s="26"/>
      <c r="Z166" s="26"/>
      <c r="AA166" s="26"/>
    </row>
    <row r="167" spans="1:27" x14ac:dyDescent="0.25">
      <c r="A167" t="str">
        <f>IF(LEN(Bestellungen!$A167)&gt;0,Bestellungen!$A167,"")</f>
        <v/>
      </c>
      <c r="B167" s="26" t="str">
        <f>IF(ISERROR(VLOOKUP($A167,Bestellungen!$6:$1048576,MATCH(Kasse!B$5,Bestellungen!$A$5:$X$5,0),0))=FALSE,SUMIF(Kalkulation!$A$6:$A$40,Kasse!B$5&amp;"*",Kalkulation!$C$6:$C$40)*VLOOKUP($A167,Bestellungen!$6:$1048576,MATCH(Kasse!B$5,Bestellungen!$A$5:$X$5,0),0),"")</f>
        <v/>
      </c>
      <c r="C167" s="26" t="str">
        <f>IF(ISERROR(VLOOKUP($A167,Bestellungen!$6:$1048576,MATCH(Kasse!C$5,Bestellungen!$A$5:$X$5,0),0))=FALSE,SUMIF(Kalkulation!$A$6:$A$40,Kasse!C$5&amp;"*",Kalkulation!$C$6:$C$40)*VLOOKUP($A167,Bestellungen!$6:$1048576,MATCH(Kasse!C$5,Bestellungen!$A$5:$X$5,0),0),"")</f>
        <v/>
      </c>
      <c r="D167" s="26" t="str">
        <f>IF(ISERROR(VLOOKUP($A167,Bestellungen!$6:$1048576,MATCH(Kasse!D$5,Bestellungen!$A$5:$X$5,0),0))=FALSE,SUMIF(Kalkulation!$A$6:$A$40,Kasse!D$5&amp;"*",Kalkulation!$C$6:$C$40)*VLOOKUP($A167,Bestellungen!$6:$1048576,MATCH(Kasse!D$5,Bestellungen!$A$5:$X$5,0),0),"")</f>
        <v/>
      </c>
      <c r="E167" s="26" t="str">
        <f>IF(ISERROR(VLOOKUP($A167,Bestellungen!$6:$1048576,MATCH(Kasse!E$5,Bestellungen!$A$5:$X$5,0),0))=FALSE,SUMIF(Kalkulation!$A$6:$A$40,Kasse!E$5&amp;"*",Kalkulation!$C$6:$C$40)*VLOOKUP($A167,Bestellungen!$6:$1048576,MATCH(Kasse!E$5,Bestellungen!$A$5:$X$5,0),0),"")</f>
        <v/>
      </c>
      <c r="F167" s="26" t="str">
        <f>IF(ISERROR(VLOOKUP($A167,Bestellungen!$6:$1048576,MATCH(Kasse!F$5,Bestellungen!$A$5:$X$5,0),0))=FALSE,SUMIF(Kalkulation!$A$6:$A$40,Kasse!F$5&amp;"*",Kalkulation!$C$6:$C$40)*VLOOKUP($A167,Bestellungen!$6:$1048576,MATCH(Kasse!F$5,Bestellungen!$A$5:$X$5,0),0),"")</f>
        <v/>
      </c>
      <c r="G167" s="26" t="str">
        <f>IF(ISERROR(VLOOKUP($A167,Bestellungen!$6:$1048576,MATCH(Kasse!G$5,Bestellungen!$A$5:$X$5,0),0))=FALSE,SUMIF(Kalkulation!$A$6:$A$40,Kasse!G$5&amp;"*",Kalkulation!$C$6:$C$40)*VLOOKUP($A167,Bestellungen!$6:$1048576,MATCH(Kasse!G$5,Bestellungen!$A$5:$X$5,0),0),"")</f>
        <v/>
      </c>
      <c r="H167" s="26" t="str">
        <f>IF(ISERROR(VLOOKUP($A167,Bestellungen!$6:$1048576,MATCH(Kasse!H$5,Bestellungen!$A$5:$X$5,0),0))=FALSE,SUMIF(Kalkulation!$A$6:$A$40,Kasse!H$5&amp;"*",Kalkulation!$C$6:$C$40)*VLOOKUP($A167,Bestellungen!$6:$1048576,MATCH(Kasse!H$5,Bestellungen!$A$5:$X$5,0),0),"")</f>
        <v/>
      </c>
      <c r="I167" s="26" t="str">
        <f>IF(ISERROR(VLOOKUP($A167,Bestellungen!$6:$1048576,MATCH(Kasse!I$5,Bestellungen!$A$5:$X$5,0),0))=FALSE,SUMIF(Kalkulation!$A$6:$A$40,Kasse!I$5&amp;"*",Kalkulation!$C$6:$C$40)*VLOOKUP($A167,Bestellungen!$6:$1048576,MATCH(Kasse!I$5,Bestellungen!$A$5:$X$5,0),0),"")</f>
        <v/>
      </c>
      <c r="J167" s="26" t="str">
        <f>IF(ISERROR(VLOOKUP($A167,Bestellungen!$6:$1048576,MATCH(Kasse!J$5,Bestellungen!$A$5:$X$5,0),0))=FALSE,SUMIF(Kalkulation!$A$6:$A$40,Kasse!J$5&amp;"*",Kalkulation!$C$6:$C$40)*VLOOKUP($A167,Bestellungen!$6:$1048576,MATCH(Kasse!J$5,Bestellungen!$A$5:$X$5,0),0),"")</f>
        <v/>
      </c>
      <c r="K167" s="26" t="str">
        <f>IF(ISERROR(VLOOKUP($A167,Bestellungen!$6:$1048576,MATCH(Kasse!K$5,Bestellungen!$A$5:$X$5,0),0))=FALSE,SUMIF(Kalkulation!$A$6:$A$40,Kasse!K$5&amp;"*",Kalkulation!$C$6:$C$40)*VLOOKUP($A167,Bestellungen!$6:$1048576,MATCH(Kasse!K$5,Bestellungen!$A$5:$X$5,0),0),"")</f>
        <v/>
      </c>
      <c r="L167" s="26" t="str">
        <f>IF(ISERROR(VLOOKUP($A167,Bestellungen!$6:$1048576,MATCH(Kasse!L$5,Bestellungen!$A$5:$X$5,0),0))=FALSE,SUMIF(Kalkulation!$A$6:$A$40,Kasse!L$5&amp;"*",Kalkulation!$C$6:$C$40)*VLOOKUP($A167,Bestellungen!$6:$1048576,MATCH(Kasse!L$5,Bestellungen!$A$5:$X$5,0),0),"")</f>
        <v/>
      </c>
      <c r="M167" s="26" t="str">
        <f>IF(ISERROR(VLOOKUP($A167,Bestellungen!$6:$1048576,MATCH(Kasse!M$5,Bestellungen!$A$5:$X$5,0),0))=FALSE,SUMIF(Kalkulation!$A$6:$A$40,Kasse!M$5&amp;"*",Kalkulation!$C$6:$C$40)*VLOOKUP($A167,Bestellungen!$6:$1048576,MATCH(Kasse!M$5,Bestellungen!$A$5:$X$5,0),0),"")</f>
        <v/>
      </c>
      <c r="N167" s="26" t="str">
        <f>IF(ISERROR(VLOOKUP($A167,Bestellungen!$6:$1048576,MATCH(Kasse!N$5,Bestellungen!$A$5:$X$5,0),0))=FALSE,SUMIF(Kalkulation!$A$6:$A$40,Kasse!N$5&amp;"*",Kalkulation!$C$6:$C$40)*VLOOKUP($A167,Bestellungen!$6:$1048576,MATCH(Kasse!N$5,Bestellungen!$A$5:$X$5,0),0),"")</f>
        <v/>
      </c>
      <c r="O167" s="26" t="str">
        <f>IF(ISERROR(VLOOKUP($A167,Bestellungen!$6:$1048576,MATCH(Kasse!O$5,Bestellungen!$A$5:$X$5,0),0))=FALSE,SUMIF(Kalkulation!$A$6:$A$40,Kasse!O$5&amp;"*",Kalkulation!$C$6:$C$40)*VLOOKUP($A167,Bestellungen!$6:$1048576,MATCH(Kasse!O$5,Bestellungen!$A$5:$X$5,0),0),"")</f>
        <v/>
      </c>
      <c r="P167" s="26" t="str">
        <f>IF(ISERROR(VLOOKUP($A167,Bestellungen!$6:$1048576,MATCH(Kasse!P$5,Bestellungen!$A$5:$X$5,0),0))=FALSE,SUMIF(Kalkulation!$A$6:$A$40,Kasse!P$5&amp;"*",Kalkulation!$C$6:$C$40)*VLOOKUP($A167,Bestellungen!$6:$1048576,MATCH(Kasse!P$5,Bestellungen!$A$5:$X$5,0),0),"")</f>
        <v/>
      </c>
      <c r="Q167" s="26" t="str">
        <f>IF(ISERROR(VLOOKUP($A167,Bestellungen!$6:$1048576,MATCH(Kasse!Q$5,Bestellungen!$A$5:$X$5,0),0))=FALSE,SUMIF(Kalkulation!$A$6:$A$40,Kasse!Q$5&amp;"*",Kalkulation!$C$6:$C$40)*VLOOKUP($A167,Bestellungen!$6:$1048576,MATCH(Kasse!Q$5,Bestellungen!$A$5:$X$5,0),0),"")</f>
        <v/>
      </c>
      <c r="R167" s="26" t="str">
        <f>IF(ISERROR(VLOOKUP($A167,Bestellungen!$6:$1048576,MATCH(Kasse!R$5,Bestellungen!$A$5:$X$5,0),0))=FALSE,SUMIF(Kalkulation!$A$6:$A$40,Kasse!R$5&amp;"*",Kalkulation!$C$6:$C$40)*VLOOKUP($A167,Bestellungen!$6:$1048576,MATCH(Kasse!R$5,Bestellungen!$A$5:$X$5,0),0),"")</f>
        <v/>
      </c>
      <c r="S167" s="26" t="str">
        <f>IF(ISERROR(VLOOKUP($A167,Bestellungen!$6:$1048576,MATCH(Kasse!S$5,Bestellungen!$A$5:$X$5,0),0))=FALSE,SUMIF(Kalkulation!$A$6:$A$40,Kasse!S$5&amp;"*",Kalkulation!$C$6:$C$40)*VLOOKUP($A167,Bestellungen!$6:$1048576,MATCH(Kasse!S$5,Bestellungen!$A$5:$X$5,0),0),"")</f>
        <v/>
      </c>
      <c r="T167" s="26" t="str">
        <f>IF(ISERROR(VLOOKUP($A167,Bestellungen!$6:$1048576,MATCH(Kasse!T$5,Bestellungen!$A$5:$X$5,0),0))=FALSE,SUMIF(Kalkulation!$A$6:$A$40,Kasse!T$5&amp;"*",Kalkulation!$C$6:$C$40)*VLOOKUP($A167,Bestellungen!$6:$1048576,MATCH(Kasse!T$5,Bestellungen!$A$5:$X$5,0),0),"")</f>
        <v/>
      </c>
      <c r="U167" s="26" t="str">
        <f t="shared" si="4"/>
        <v/>
      </c>
      <c r="W167" s="26" t="str">
        <f t="shared" si="5"/>
        <v/>
      </c>
      <c r="X167" s="26"/>
      <c r="Y167" s="26"/>
      <c r="Z167" s="26"/>
      <c r="AA167" s="26"/>
    </row>
    <row r="168" spans="1:27" x14ac:dyDescent="0.25">
      <c r="A168" t="str">
        <f>IF(LEN(Bestellungen!$A168)&gt;0,Bestellungen!$A168,"")</f>
        <v/>
      </c>
      <c r="B168" s="26" t="str">
        <f>IF(ISERROR(VLOOKUP($A168,Bestellungen!$6:$1048576,MATCH(Kasse!B$5,Bestellungen!$A$5:$X$5,0),0))=FALSE,SUMIF(Kalkulation!$A$6:$A$40,Kasse!B$5&amp;"*",Kalkulation!$C$6:$C$40)*VLOOKUP($A168,Bestellungen!$6:$1048576,MATCH(Kasse!B$5,Bestellungen!$A$5:$X$5,0),0),"")</f>
        <v/>
      </c>
      <c r="C168" s="26" t="str">
        <f>IF(ISERROR(VLOOKUP($A168,Bestellungen!$6:$1048576,MATCH(Kasse!C$5,Bestellungen!$A$5:$X$5,0),0))=FALSE,SUMIF(Kalkulation!$A$6:$A$40,Kasse!C$5&amp;"*",Kalkulation!$C$6:$C$40)*VLOOKUP($A168,Bestellungen!$6:$1048576,MATCH(Kasse!C$5,Bestellungen!$A$5:$X$5,0),0),"")</f>
        <v/>
      </c>
      <c r="D168" s="26" t="str">
        <f>IF(ISERROR(VLOOKUP($A168,Bestellungen!$6:$1048576,MATCH(Kasse!D$5,Bestellungen!$A$5:$X$5,0),0))=FALSE,SUMIF(Kalkulation!$A$6:$A$40,Kasse!D$5&amp;"*",Kalkulation!$C$6:$C$40)*VLOOKUP($A168,Bestellungen!$6:$1048576,MATCH(Kasse!D$5,Bestellungen!$A$5:$X$5,0),0),"")</f>
        <v/>
      </c>
      <c r="E168" s="26" t="str">
        <f>IF(ISERROR(VLOOKUP($A168,Bestellungen!$6:$1048576,MATCH(Kasse!E$5,Bestellungen!$A$5:$X$5,0),0))=FALSE,SUMIF(Kalkulation!$A$6:$A$40,Kasse!E$5&amp;"*",Kalkulation!$C$6:$C$40)*VLOOKUP($A168,Bestellungen!$6:$1048576,MATCH(Kasse!E$5,Bestellungen!$A$5:$X$5,0),0),"")</f>
        <v/>
      </c>
      <c r="F168" s="26" t="str">
        <f>IF(ISERROR(VLOOKUP($A168,Bestellungen!$6:$1048576,MATCH(Kasse!F$5,Bestellungen!$A$5:$X$5,0),0))=FALSE,SUMIF(Kalkulation!$A$6:$A$40,Kasse!F$5&amp;"*",Kalkulation!$C$6:$C$40)*VLOOKUP($A168,Bestellungen!$6:$1048576,MATCH(Kasse!F$5,Bestellungen!$A$5:$X$5,0),0),"")</f>
        <v/>
      </c>
      <c r="G168" s="26" t="str">
        <f>IF(ISERROR(VLOOKUP($A168,Bestellungen!$6:$1048576,MATCH(Kasse!G$5,Bestellungen!$A$5:$X$5,0),0))=FALSE,SUMIF(Kalkulation!$A$6:$A$40,Kasse!G$5&amp;"*",Kalkulation!$C$6:$C$40)*VLOOKUP($A168,Bestellungen!$6:$1048576,MATCH(Kasse!G$5,Bestellungen!$A$5:$X$5,0),0),"")</f>
        <v/>
      </c>
      <c r="H168" s="26" t="str">
        <f>IF(ISERROR(VLOOKUP($A168,Bestellungen!$6:$1048576,MATCH(Kasse!H$5,Bestellungen!$A$5:$X$5,0),0))=FALSE,SUMIF(Kalkulation!$A$6:$A$40,Kasse!H$5&amp;"*",Kalkulation!$C$6:$C$40)*VLOOKUP($A168,Bestellungen!$6:$1048576,MATCH(Kasse!H$5,Bestellungen!$A$5:$X$5,0),0),"")</f>
        <v/>
      </c>
      <c r="I168" s="26" t="str">
        <f>IF(ISERROR(VLOOKUP($A168,Bestellungen!$6:$1048576,MATCH(Kasse!I$5,Bestellungen!$A$5:$X$5,0),0))=FALSE,SUMIF(Kalkulation!$A$6:$A$40,Kasse!I$5&amp;"*",Kalkulation!$C$6:$C$40)*VLOOKUP($A168,Bestellungen!$6:$1048576,MATCH(Kasse!I$5,Bestellungen!$A$5:$X$5,0),0),"")</f>
        <v/>
      </c>
      <c r="J168" s="26" t="str">
        <f>IF(ISERROR(VLOOKUP($A168,Bestellungen!$6:$1048576,MATCH(Kasse!J$5,Bestellungen!$A$5:$X$5,0),0))=FALSE,SUMIF(Kalkulation!$A$6:$A$40,Kasse!J$5&amp;"*",Kalkulation!$C$6:$C$40)*VLOOKUP($A168,Bestellungen!$6:$1048576,MATCH(Kasse!J$5,Bestellungen!$A$5:$X$5,0),0),"")</f>
        <v/>
      </c>
      <c r="K168" s="26" t="str">
        <f>IF(ISERROR(VLOOKUP($A168,Bestellungen!$6:$1048576,MATCH(Kasse!K$5,Bestellungen!$A$5:$X$5,0),0))=FALSE,SUMIF(Kalkulation!$A$6:$A$40,Kasse!K$5&amp;"*",Kalkulation!$C$6:$C$40)*VLOOKUP($A168,Bestellungen!$6:$1048576,MATCH(Kasse!K$5,Bestellungen!$A$5:$X$5,0),0),"")</f>
        <v/>
      </c>
      <c r="L168" s="26" t="str">
        <f>IF(ISERROR(VLOOKUP($A168,Bestellungen!$6:$1048576,MATCH(Kasse!L$5,Bestellungen!$A$5:$X$5,0),0))=FALSE,SUMIF(Kalkulation!$A$6:$A$40,Kasse!L$5&amp;"*",Kalkulation!$C$6:$C$40)*VLOOKUP($A168,Bestellungen!$6:$1048576,MATCH(Kasse!L$5,Bestellungen!$A$5:$X$5,0),0),"")</f>
        <v/>
      </c>
      <c r="M168" s="26" t="str">
        <f>IF(ISERROR(VLOOKUP($A168,Bestellungen!$6:$1048576,MATCH(Kasse!M$5,Bestellungen!$A$5:$X$5,0),0))=FALSE,SUMIF(Kalkulation!$A$6:$A$40,Kasse!M$5&amp;"*",Kalkulation!$C$6:$C$40)*VLOOKUP($A168,Bestellungen!$6:$1048576,MATCH(Kasse!M$5,Bestellungen!$A$5:$X$5,0),0),"")</f>
        <v/>
      </c>
      <c r="N168" s="26" t="str">
        <f>IF(ISERROR(VLOOKUP($A168,Bestellungen!$6:$1048576,MATCH(Kasse!N$5,Bestellungen!$A$5:$X$5,0),0))=FALSE,SUMIF(Kalkulation!$A$6:$A$40,Kasse!N$5&amp;"*",Kalkulation!$C$6:$C$40)*VLOOKUP($A168,Bestellungen!$6:$1048576,MATCH(Kasse!N$5,Bestellungen!$A$5:$X$5,0),0),"")</f>
        <v/>
      </c>
      <c r="O168" s="26" t="str">
        <f>IF(ISERROR(VLOOKUP($A168,Bestellungen!$6:$1048576,MATCH(Kasse!O$5,Bestellungen!$A$5:$X$5,0),0))=FALSE,SUMIF(Kalkulation!$A$6:$A$40,Kasse!O$5&amp;"*",Kalkulation!$C$6:$C$40)*VLOOKUP($A168,Bestellungen!$6:$1048576,MATCH(Kasse!O$5,Bestellungen!$A$5:$X$5,0),0),"")</f>
        <v/>
      </c>
      <c r="P168" s="26" t="str">
        <f>IF(ISERROR(VLOOKUP($A168,Bestellungen!$6:$1048576,MATCH(Kasse!P$5,Bestellungen!$A$5:$X$5,0),0))=FALSE,SUMIF(Kalkulation!$A$6:$A$40,Kasse!P$5&amp;"*",Kalkulation!$C$6:$C$40)*VLOOKUP($A168,Bestellungen!$6:$1048576,MATCH(Kasse!P$5,Bestellungen!$A$5:$X$5,0),0),"")</f>
        <v/>
      </c>
      <c r="Q168" s="26" t="str">
        <f>IF(ISERROR(VLOOKUP($A168,Bestellungen!$6:$1048576,MATCH(Kasse!Q$5,Bestellungen!$A$5:$X$5,0),0))=FALSE,SUMIF(Kalkulation!$A$6:$A$40,Kasse!Q$5&amp;"*",Kalkulation!$C$6:$C$40)*VLOOKUP($A168,Bestellungen!$6:$1048576,MATCH(Kasse!Q$5,Bestellungen!$A$5:$X$5,0),0),"")</f>
        <v/>
      </c>
      <c r="R168" s="26" t="str">
        <f>IF(ISERROR(VLOOKUP($A168,Bestellungen!$6:$1048576,MATCH(Kasse!R$5,Bestellungen!$A$5:$X$5,0),0))=FALSE,SUMIF(Kalkulation!$A$6:$A$40,Kasse!R$5&amp;"*",Kalkulation!$C$6:$C$40)*VLOOKUP($A168,Bestellungen!$6:$1048576,MATCH(Kasse!R$5,Bestellungen!$A$5:$X$5,0),0),"")</f>
        <v/>
      </c>
      <c r="S168" s="26" t="str">
        <f>IF(ISERROR(VLOOKUP($A168,Bestellungen!$6:$1048576,MATCH(Kasse!S$5,Bestellungen!$A$5:$X$5,0),0))=FALSE,SUMIF(Kalkulation!$A$6:$A$40,Kasse!S$5&amp;"*",Kalkulation!$C$6:$C$40)*VLOOKUP($A168,Bestellungen!$6:$1048576,MATCH(Kasse!S$5,Bestellungen!$A$5:$X$5,0),0),"")</f>
        <v/>
      </c>
      <c r="T168" s="26" t="str">
        <f>IF(ISERROR(VLOOKUP($A168,Bestellungen!$6:$1048576,MATCH(Kasse!T$5,Bestellungen!$A$5:$X$5,0),0))=FALSE,SUMIF(Kalkulation!$A$6:$A$40,Kasse!T$5&amp;"*",Kalkulation!$C$6:$C$40)*VLOOKUP($A168,Bestellungen!$6:$1048576,MATCH(Kasse!T$5,Bestellungen!$A$5:$X$5,0),0),"")</f>
        <v/>
      </c>
      <c r="U168" s="26" t="str">
        <f t="shared" si="4"/>
        <v/>
      </c>
      <c r="W168" s="26" t="str">
        <f t="shared" si="5"/>
        <v/>
      </c>
      <c r="X168" s="26"/>
      <c r="Y168" s="26"/>
      <c r="Z168" s="26"/>
      <c r="AA168" s="26"/>
    </row>
    <row r="169" spans="1:27" x14ac:dyDescent="0.25">
      <c r="A169" t="str">
        <f>IF(LEN(Bestellungen!$A169)&gt;0,Bestellungen!$A169,"")</f>
        <v/>
      </c>
      <c r="B169" s="26" t="str">
        <f>IF(ISERROR(VLOOKUP($A169,Bestellungen!$6:$1048576,MATCH(Kasse!B$5,Bestellungen!$A$5:$X$5,0),0))=FALSE,SUMIF(Kalkulation!$A$6:$A$40,Kasse!B$5&amp;"*",Kalkulation!$C$6:$C$40)*VLOOKUP($A169,Bestellungen!$6:$1048576,MATCH(Kasse!B$5,Bestellungen!$A$5:$X$5,0),0),"")</f>
        <v/>
      </c>
      <c r="C169" s="26" t="str">
        <f>IF(ISERROR(VLOOKUP($A169,Bestellungen!$6:$1048576,MATCH(Kasse!C$5,Bestellungen!$A$5:$X$5,0),0))=FALSE,SUMIF(Kalkulation!$A$6:$A$40,Kasse!C$5&amp;"*",Kalkulation!$C$6:$C$40)*VLOOKUP($A169,Bestellungen!$6:$1048576,MATCH(Kasse!C$5,Bestellungen!$A$5:$X$5,0),0),"")</f>
        <v/>
      </c>
      <c r="D169" s="26" t="str">
        <f>IF(ISERROR(VLOOKUP($A169,Bestellungen!$6:$1048576,MATCH(Kasse!D$5,Bestellungen!$A$5:$X$5,0),0))=FALSE,SUMIF(Kalkulation!$A$6:$A$40,Kasse!D$5&amp;"*",Kalkulation!$C$6:$C$40)*VLOOKUP($A169,Bestellungen!$6:$1048576,MATCH(Kasse!D$5,Bestellungen!$A$5:$X$5,0),0),"")</f>
        <v/>
      </c>
      <c r="E169" s="26" t="str">
        <f>IF(ISERROR(VLOOKUP($A169,Bestellungen!$6:$1048576,MATCH(Kasse!E$5,Bestellungen!$A$5:$X$5,0),0))=FALSE,SUMIF(Kalkulation!$A$6:$A$40,Kasse!E$5&amp;"*",Kalkulation!$C$6:$C$40)*VLOOKUP($A169,Bestellungen!$6:$1048576,MATCH(Kasse!E$5,Bestellungen!$A$5:$X$5,0),0),"")</f>
        <v/>
      </c>
      <c r="F169" s="26" t="str">
        <f>IF(ISERROR(VLOOKUP($A169,Bestellungen!$6:$1048576,MATCH(Kasse!F$5,Bestellungen!$A$5:$X$5,0),0))=FALSE,SUMIF(Kalkulation!$A$6:$A$40,Kasse!F$5&amp;"*",Kalkulation!$C$6:$C$40)*VLOOKUP($A169,Bestellungen!$6:$1048576,MATCH(Kasse!F$5,Bestellungen!$A$5:$X$5,0),0),"")</f>
        <v/>
      </c>
      <c r="G169" s="26" t="str">
        <f>IF(ISERROR(VLOOKUP($A169,Bestellungen!$6:$1048576,MATCH(Kasse!G$5,Bestellungen!$A$5:$X$5,0),0))=FALSE,SUMIF(Kalkulation!$A$6:$A$40,Kasse!G$5&amp;"*",Kalkulation!$C$6:$C$40)*VLOOKUP($A169,Bestellungen!$6:$1048576,MATCH(Kasse!G$5,Bestellungen!$A$5:$X$5,0),0),"")</f>
        <v/>
      </c>
      <c r="H169" s="26" t="str">
        <f>IF(ISERROR(VLOOKUP($A169,Bestellungen!$6:$1048576,MATCH(Kasse!H$5,Bestellungen!$A$5:$X$5,0),0))=FALSE,SUMIF(Kalkulation!$A$6:$A$40,Kasse!H$5&amp;"*",Kalkulation!$C$6:$C$40)*VLOOKUP($A169,Bestellungen!$6:$1048576,MATCH(Kasse!H$5,Bestellungen!$A$5:$X$5,0),0),"")</f>
        <v/>
      </c>
      <c r="I169" s="26" t="str">
        <f>IF(ISERROR(VLOOKUP($A169,Bestellungen!$6:$1048576,MATCH(Kasse!I$5,Bestellungen!$A$5:$X$5,0),0))=FALSE,SUMIF(Kalkulation!$A$6:$A$40,Kasse!I$5&amp;"*",Kalkulation!$C$6:$C$40)*VLOOKUP($A169,Bestellungen!$6:$1048576,MATCH(Kasse!I$5,Bestellungen!$A$5:$X$5,0),0),"")</f>
        <v/>
      </c>
      <c r="J169" s="26" t="str">
        <f>IF(ISERROR(VLOOKUP($A169,Bestellungen!$6:$1048576,MATCH(Kasse!J$5,Bestellungen!$A$5:$X$5,0),0))=FALSE,SUMIF(Kalkulation!$A$6:$A$40,Kasse!J$5&amp;"*",Kalkulation!$C$6:$C$40)*VLOOKUP($A169,Bestellungen!$6:$1048576,MATCH(Kasse!J$5,Bestellungen!$A$5:$X$5,0),0),"")</f>
        <v/>
      </c>
      <c r="K169" s="26" t="str">
        <f>IF(ISERROR(VLOOKUP($A169,Bestellungen!$6:$1048576,MATCH(Kasse!K$5,Bestellungen!$A$5:$X$5,0),0))=FALSE,SUMIF(Kalkulation!$A$6:$A$40,Kasse!K$5&amp;"*",Kalkulation!$C$6:$C$40)*VLOOKUP($A169,Bestellungen!$6:$1048576,MATCH(Kasse!K$5,Bestellungen!$A$5:$X$5,0),0),"")</f>
        <v/>
      </c>
      <c r="L169" s="26" t="str">
        <f>IF(ISERROR(VLOOKUP($A169,Bestellungen!$6:$1048576,MATCH(Kasse!L$5,Bestellungen!$A$5:$X$5,0),0))=FALSE,SUMIF(Kalkulation!$A$6:$A$40,Kasse!L$5&amp;"*",Kalkulation!$C$6:$C$40)*VLOOKUP($A169,Bestellungen!$6:$1048576,MATCH(Kasse!L$5,Bestellungen!$A$5:$X$5,0),0),"")</f>
        <v/>
      </c>
      <c r="M169" s="26" t="str">
        <f>IF(ISERROR(VLOOKUP($A169,Bestellungen!$6:$1048576,MATCH(Kasse!M$5,Bestellungen!$A$5:$X$5,0),0))=FALSE,SUMIF(Kalkulation!$A$6:$A$40,Kasse!M$5&amp;"*",Kalkulation!$C$6:$C$40)*VLOOKUP($A169,Bestellungen!$6:$1048576,MATCH(Kasse!M$5,Bestellungen!$A$5:$X$5,0),0),"")</f>
        <v/>
      </c>
      <c r="N169" s="26" t="str">
        <f>IF(ISERROR(VLOOKUP($A169,Bestellungen!$6:$1048576,MATCH(Kasse!N$5,Bestellungen!$A$5:$X$5,0),0))=FALSE,SUMIF(Kalkulation!$A$6:$A$40,Kasse!N$5&amp;"*",Kalkulation!$C$6:$C$40)*VLOOKUP($A169,Bestellungen!$6:$1048576,MATCH(Kasse!N$5,Bestellungen!$A$5:$X$5,0),0),"")</f>
        <v/>
      </c>
      <c r="O169" s="26" t="str">
        <f>IF(ISERROR(VLOOKUP($A169,Bestellungen!$6:$1048576,MATCH(Kasse!O$5,Bestellungen!$A$5:$X$5,0),0))=FALSE,SUMIF(Kalkulation!$A$6:$A$40,Kasse!O$5&amp;"*",Kalkulation!$C$6:$C$40)*VLOOKUP($A169,Bestellungen!$6:$1048576,MATCH(Kasse!O$5,Bestellungen!$A$5:$X$5,0),0),"")</f>
        <v/>
      </c>
      <c r="P169" s="26" t="str">
        <f>IF(ISERROR(VLOOKUP($A169,Bestellungen!$6:$1048576,MATCH(Kasse!P$5,Bestellungen!$A$5:$X$5,0),0))=FALSE,SUMIF(Kalkulation!$A$6:$A$40,Kasse!P$5&amp;"*",Kalkulation!$C$6:$C$40)*VLOOKUP($A169,Bestellungen!$6:$1048576,MATCH(Kasse!P$5,Bestellungen!$A$5:$X$5,0),0),"")</f>
        <v/>
      </c>
      <c r="Q169" s="26" t="str">
        <f>IF(ISERROR(VLOOKUP($A169,Bestellungen!$6:$1048576,MATCH(Kasse!Q$5,Bestellungen!$A$5:$X$5,0),0))=FALSE,SUMIF(Kalkulation!$A$6:$A$40,Kasse!Q$5&amp;"*",Kalkulation!$C$6:$C$40)*VLOOKUP($A169,Bestellungen!$6:$1048576,MATCH(Kasse!Q$5,Bestellungen!$A$5:$X$5,0),0),"")</f>
        <v/>
      </c>
      <c r="R169" s="26" t="str">
        <f>IF(ISERROR(VLOOKUP($A169,Bestellungen!$6:$1048576,MATCH(Kasse!R$5,Bestellungen!$A$5:$X$5,0),0))=FALSE,SUMIF(Kalkulation!$A$6:$A$40,Kasse!R$5&amp;"*",Kalkulation!$C$6:$C$40)*VLOOKUP($A169,Bestellungen!$6:$1048576,MATCH(Kasse!R$5,Bestellungen!$A$5:$X$5,0),0),"")</f>
        <v/>
      </c>
      <c r="S169" s="26" t="str">
        <f>IF(ISERROR(VLOOKUP($A169,Bestellungen!$6:$1048576,MATCH(Kasse!S$5,Bestellungen!$A$5:$X$5,0),0))=FALSE,SUMIF(Kalkulation!$A$6:$A$40,Kasse!S$5&amp;"*",Kalkulation!$C$6:$C$40)*VLOOKUP($A169,Bestellungen!$6:$1048576,MATCH(Kasse!S$5,Bestellungen!$A$5:$X$5,0),0),"")</f>
        <v/>
      </c>
      <c r="T169" s="26" t="str">
        <f>IF(ISERROR(VLOOKUP($A169,Bestellungen!$6:$1048576,MATCH(Kasse!T$5,Bestellungen!$A$5:$X$5,0),0))=FALSE,SUMIF(Kalkulation!$A$6:$A$40,Kasse!T$5&amp;"*",Kalkulation!$C$6:$C$40)*VLOOKUP($A169,Bestellungen!$6:$1048576,MATCH(Kasse!T$5,Bestellungen!$A$5:$X$5,0),0),"")</f>
        <v/>
      </c>
      <c r="U169" s="26" t="str">
        <f t="shared" si="4"/>
        <v/>
      </c>
      <c r="W169" s="26" t="str">
        <f t="shared" si="5"/>
        <v/>
      </c>
      <c r="X169" s="26"/>
      <c r="Y169" s="26"/>
      <c r="Z169" s="26"/>
      <c r="AA169" s="26"/>
    </row>
    <row r="170" spans="1:27" x14ac:dyDescent="0.25">
      <c r="A170" t="str">
        <f>IF(LEN(Bestellungen!$A170)&gt;0,Bestellungen!$A170,"")</f>
        <v/>
      </c>
      <c r="B170" s="26" t="str">
        <f>IF(ISERROR(VLOOKUP($A170,Bestellungen!$6:$1048576,MATCH(Kasse!B$5,Bestellungen!$A$5:$X$5,0),0))=FALSE,SUMIF(Kalkulation!$A$6:$A$40,Kasse!B$5&amp;"*",Kalkulation!$C$6:$C$40)*VLOOKUP($A170,Bestellungen!$6:$1048576,MATCH(Kasse!B$5,Bestellungen!$A$5:$X$5,0),0),"")</f>
        <v/>
      </c>
      <c r="C170" s="26" t="str">
        <f>IF(ISERROR(VLOOKUP($A170,Bestellungen!$6:$1048576,MATCH(Kasse!C$5,Bestellungen!$A$5:$X$5,0),0))=FALSE,SUMIF(Kalkulation!$A$6:$A$40,Kasse!C$5&amp;"*",Kalkulation!$C$6:$C$40)*VLOOKUP($A170,Bestellungen!$6:$1048576,MATCH(Kasse!C$5,Bestellungen!$A$5:$X$5,0),0),"")</f>
        <v/>
      </c>
      <c r="D170" s="26" t="str">
        <f>IF(ISERROR(VLOOKUP($A170,Bestellungen!$6:$1048576,MATCH(Kasse!D$5,Bestellungen!$A$5:$X$5,0),0))=FALSE,SUMIF(Kalkulation!$A$6:$A$40,Kasse!D$5&amp;"*",Kalkulation!$C$6:$C$40)*VLOOKUP($A170,Bestellungen!$6:$1048576,MATCH(Kasse!D$5,Bestellungen!$A$5:$X$5,0),0),"")</f>
        <v/>
      </c>
      <c r="E170" s="26" t="str">
        <f>IF(ISERROR(VLOOKUP($A170,Bestellungen!$6:$1048576,MATCH(Kasse!E$5,Bestellungen!$A$5:$X$5,0),0))=FALSE,SUMIF(Kalkulation!$A$6:$A$40,Kasse!E$5&amp;"*",Kalkulation!$C$6:$C$40)*VLOOKUP($A170,Bestellungen!$6:$1048576,MATCH(Kasse!E$5,Bestellungen!$A$5:$X$5,0),0),"")</f>
        <v/>
      </c>
      <c r="F170" s="26" t="str">
        <f>IF(ISERROR(VLOOKUP($A170,Bestellungen!$6:$1048576,MATCH(Kasse!F$5,Bestellungen!$A$5:$X$5,0),0))=FALSE,SUMIF(Kalkulation!$A$6:$A$40,Kasse!F$5&amp;"*",Kalkulation!$C$6:$C$40)*VLOOKUP($A170,Bestellungen!$6:$1048576,MATCH(Kasse!F$5,Bestellungen!$A$5:$X$5,0),0),"")</f>
        <v/>
      </c>
      <c r="G170" s="26" t="str">
        <f>IF(ISERROR(VLOOKUP($A170,Bestellungen!$6:$1048576,MATCH(Kasse!G$5,Bestellungen!$A$5:$X$5,0),0))=FALSE,SUMIF(Kalkulation!$A$6:$A$40,Kasse!G$5&amp;"*",Kalkulation!$C$6:$C$40)*VLOOKUP($A170,Bestellungen!$6:$1048576,MATCH(Kasse!G$5,Bestellungen!$A$5:$X$5,0),0),"")</f>
        <v/>
      </c>
      <c r="H170" s="26" t="str">
        <f>IF(ISERROR(VLOOKUP($A170,Bestellungen!$6:$1048576,MATCH(Kasse!H$5,Bestellungen!$A$5:$X$5,0),0))=FALSE,SUMIF(Kalkulation!$A$6:$A$40,Kasse!H$5&amp;"*",Kalkulation!$C$6:$C$40)*VLOOKUP($A170,Bestellungen!$6:$1048576,MATCH(Kasse!H$5,Bestellungen!$A$5:$X$5,0),0),"")</f>
        <v/>
      </c>
      <c r="I170" s="26" t="str">
        <f>IF(ISERROR(VLOOKUP($A170,Bestellungen!$6:$1048576,MATCH(Kasse!I$5,Bestellungen!$A$5:$X$5,0),0))=FALSE,SUMIF(Kalkulation!$A$6:$A$40,Kasse!I$5&amp;"*",Kalkulation!$C$6:$C$40)*VLOOKUP($A170,Bestellungen!$6:$1048576,MATCH(Kasse!I$5,Bestellungen!$A$5:$X$5,0),0),"")</f>
        <v/>
      </c>
      <c r="J170" s="26" t="str">
        <f>IF(ISERROR(VLOOKUP($A170,Bestellungen!$6:$1048576,MATCH(Kasse!J$5,Bestellungen!$A$5:$X$5,0),0))=FALSE,SUMIF(Kalkulation!$A$6:$A$40,Kasse!J$5&amp;"*",Kalkulation!$C$6:$C$40)*VLOOKUP($A170,Bestellungen!$6:$1048576,MATCH(Kasse!J$5,Bestellungen!$A$5:$X$5,0),0),"")</f>
        <v/>
      </c>
      <c r="K170" s="26" t="str">
        <f>IF(ISERROR(VLOOKUP($A170,Bestellungen!$6:$1048576,MATCH(Kasse!K$5,Bestellungen!$A$5:$X$5,0),0))=FALSE,SUMIF(Kalkulation!$A$6:$A$40,Kasse!K$5&amp;"*",Kalkulation!$C$6:$C$40)*VLOOKUP($A170,Bestellungen!$6:$1048576,MATCH(Kasse!K$5,Bestellungen!$A$5:$X$5,0),0),"")</f>
        <v/>
      </c>
      <c r="L170" s="26" t="str">
        <f>IF(ISERROR(VLOOKUP($A170,Bestellungen!$6:$1048576,MATCH(Kasse!L$5,Bestellungen!$A$5:$X$5,0),0))=FALSE,SUMIF(Kalkulation!$A$6:$A$40,Kasse!L$5&amp;"*",Kalkulation!$C$6:$C$40)*VLOOKUP($A170,Bestellungen!$6:$1048576,MATCH(Kasse!L$5,Bestellungen!$A$5:$X$5,0),0),"")</f>
        <v/>
      </c>
      <c r="M170" s="26" t="str">
        <f>IF(ISERROR(VLOOKUP($A170,Bestellungen!$6:$1048576,MATCH(Kasse!M$5,Bestellungen!$A$5:$X$5,0),0))=FALSE,SUMIF(Kalkulation!$A$6:$A$40,Kasse!M$5&amp;"*",Kalkulation!$C$6:$C$40)*VLOOKUP($A170,Bestellungen!$6:$1048576,MATCH(Kasse!M$5,Bestellungen!$A$5:$X$5,0),0),"")</f>
        <v/>
      </c>
      <c r="N170" s="26" t="str">
        <f>IF(ISERROR(VLOOKUP($A170,Bestellungen!$6:$1048576,MATCH(Kasse!N$5,Bestellungen!$A$5:$X$5,0),0))=FALSE,SUMIF(Kalkulation!$A$6:$A$40,Kasse!N$5&amp;"*",Kalkulation!$C$6:$C$40)*VLOOKUP($A170,Bestellungen!$6:$1048576,MATCH(Kasse!N$5,Bestellungen!$A$5:$X$5,0),0),"")</f>
        <v/>
      </c>
      <c r="O170" s="26" t="str">
        <f>IF(ISERROR(VLOOKUP($A170,Bestellungen!$6:$1048576,MATCH(Kasse!O$5,Bestellungen!$A$5:$X$5,0),0))=FALSE,SUMIF(Kalkulation!$A$6:$A$40,Kasse!O$5&amp;"*",Kalkulation!$C$6:$C$40)*VLOOKUP($A170,Bestellungen!$6:$1048576,MATCH(Kasse!O$5,Bestellungen!$A$5:$X$5,0),0),"")</f>
        <v/>
      </c>
      <c r="P170" s="26" t="str">
        <f>IF(ISERROR(VLOOKUP($A170,Bestellungen!$6:$1048576,MATCH(Kasse!P$5,Bestellungen!$A$5:$X$5,0),0))=FALSE,SUMIF(Kalkulation!$A$6:$A$40,Kasse!P$5&amp;"*",Kalkulation!$C$6:$C$40)*VLOOKUP($A170,Bestellungen!$6:$1048576,MATCH(Kasse!P$5,Bestellungen!$A$5:$X$5,0),0),"")</f>
        <v/>
      </c>
      <c r="Q170" s="26" t="str">
        <f>IF(ISERROR(VLOOKUP($A170,Bestellungen!$6:$1048576,MATCH(Kasse!Q$5,Bestellungen!$A$5:$X$5,0),0))=FALSE,SUMIF(Kalkulation!$A$6:$A$40,Kasse!Q$5&amp;"*",Kalkulation!$C$6:$C$40)*VLOOKUP($A170,Bestellungen!$6:$1048576,MATCH(Kasse!Q$5,Bestellungen!$A$5:$X$5,0),0),"")</f>
        <v/>
      </c>
      <c r="R170" s="26" t="str">
        <f>IF(ISERROR(VLOOKUP($A170,Bestellungen!$6:$1048576,MATCH(Kasse!R$5,Bestellungen!$A$5:$X$5,0),0))=FALSE,SUMIF(Kalkulation!$A$6:$A$40,Kasse!R$5&amp;"*",Kalkulation!$C$6:$C$40)*VLOOKUP($A170,Bestellungen!$6:$1048576,MATCH(Kasse!R$5,Bestellungen!$A$5:$X$5,0),0),"")</f>
        <v/>
      </c>
      <c r="S170" s="26" t="str">
        <f>IF(ISERROR(VLOOKUP($A170,Bestellungen!$6:$1048576,MATCH(Kasse!S$5,Bestellungen!$A$5:$X$5,0),0))=FALSE,SUMIF(Kalkulation!$A$6:$A$40,Kasse!S$5&amp;"*",Kalkulation!$C$6:$C$40)*VLOOKUP($A170,Bestellungen!$6:$1048576,MATCH(Kasse!S$5,Bestellungen!$A$5:$X$5,0),0),"")</f>
        <v/>
      </c>
      <c r="T170" s="26" t="str">
        <f>IF(ISERROR(VLOOKUP($A170,Bestellungen!$6:$1048576,MATCH(Kasse!T$5,Bestellungen!$A$5:$X$5,0),0))=FALSE,SUMIF(Kalkulation!$A$6:$A$40,Kasse!T$5&amp;"*",Kalkulation!$C$6:$C$40)*VLOOKUP($A170,Bestellungen!$6:$1048576,MATCH(Kasse!T$5,Bestellungen!$A$5:$X$5,0),0),"")</f>
        <v/>
      </c>
      <c r="U170" s="26" t="str">
        <f t="shared" si="4"/>
        <v/>
      </c>
      <c r="W170" s="26" t="str">
        <f t="shared" si="5"/>
        <v/>
      </c>
      <c r="X170" s="26"/>
      <c r="Y170" s="26"/>
      <c r="Z170" s="26"/>
      <c r="AA170" s="26"/>
    </row>
    <row r="171" spans="1:27" x14ac:dyDescent="0.25">
      <c r="A171" t="str">
        <f>IF(LEN(Bestellungen!$A171)&gt;0,Bestellungen!$A171,"")</f>
        <v/>
      </c>
      <c r="B171" s="26" t="str">
        <f>IF(ISERROR(VLOOKUP($A171,Bestellungen!$6:$1048576,MATCH(Kasse!B$5,Bestellungen!$A$5:$X$5,0),0))=FALSE,SUMIF(Kalkulation!$A$6:$A$40,Kasse!B$5&amp;"*",Kalkulation!$C$6:$C$40)*VLOOKUP($A171,Bestellungen!$6:$1048576,MATCH(Kasse!B$5,Bestellungen!$A$5:$X$5,0),0),"")</f>
        <v/>
      </c>
      <c r="C171" s="26" t="str">
        <f>IF(ISERROR(VLOOKUP($A171,Bestellungen!$6:$1048576,MATCH(Kasse!C$5,Bestellungen!$A$5:$X$5,0),0))=FALSE,SUMIF(Kalkulation!$A$6:$A$40,Kasse!C$5&amp;"*",Kalkulation!$C$6:$C$40)*VLOOKUP($A171,Bestellungen!$6:$1048576,MATCH(Kasse!C$5,Bestellungen!$A$5:$X$5,0),0),"")</f>
        <v/>
      </c>
      <c r="D171" s="26" t="str">
        <f>IF(ISERROR(VLOOKUP($A171,Bestellungen!$6:$1048576,MATCH(Kasse!D$5,Bestellungen!$A$5:$X$5,0),0))=FALSE,SUMIF(Kalkulation!$A$6:$A$40,Kasse!D$5&amp;"*",Kalkulation!$C$6:$C$40)*VLOOKUP($A171,Bestellungen!$6:$1048576,MATCH(Kasse!D$5,Bestellungen!$A$5:$X$5,0),0),"")</f>
        <v/>
      </c>
      <c r="E171" s="26" t="str">
        <f>IF(ISERROR(VLOOKUP($A171,Bestellungen!$6:$1048576,MATCH(Kasse!E$5,Bestellungen!$A$5:$X$5,0),0))=FALSE,SUMIF(Kalkulation!$A$6:$A$40,Kasse!E$5&amp;"*",Kalkulation!$C$6:$C$40)*VLOOKUP($A171,Bestellungen!$6:$1048576,MATCH(Kasse!E$5,Bestellungen!$A$5:$X$5,0),0),"")</f>
        <v/>
      </c>
      <c r="F171" s="26" t="str">
        <f>IF(ISERROR(VLOOKUP($A171,Bestellungen!$6:$1048576,MATCH(Kasse!F$5,Bestellungen!$A$5:$X$5,0),0))=FALSE,SUMIF(Kalkulation!$A$6:$A$40,Kasse!F$5&amp;"*",Kalkulation!$C$6:$C$40)*VLOOKUP($A171,Bestellungen!$6:$1048576,MATCH(Kasse!F$5,Bestellungen!$A$5:$X$5,0),0),"")</f>
        <v/>
      </c>
      <c r="G171" s="26" t="str">
        <f>IF(ISERROR(VLOOKUP($A171,Bestellungen!$6:$1048576,MATCH(Kasse!G$5,Bestellungen!$A$5:$X$5,0),0))=FALSE,SUMIF(Kalkulation!$A$6:$A$40,Kasse!G$5&amp;"*",Kalkulation!$C$6:$C$40)*VLOOKUP($A171,Bestellungen!$6:$1048576,MATCH(Kasse!G$5,Bestellungen!$A$5:$X$5,0),0),"")</f>
        <v/>
      </c>
      <c r="H171" s="26" t="str">
        <f>IF(ISERROR(VLOOKUP($A171,Bestellungen!$6:$1048576,MATCH(Kasse!H$5,Bestellungen!$A$5:$X$5,0),0))=FALSE,SUMIF(Kalkulation!$A$6:$A$40,Kasse!H$5&amp;"*",Kalkulation!$C$6:$C$40)*VLOOKUP($A171,Bestellungen!$6:$1048576,MATCH(Kasse!H$5,Bestellungen!$A$5:$X$5,0),0),"")</f>
        <v/>
      </c>
      <c r="I171" s="26" t="str">
        <f>IF(ISERROR(VLOOKUP($A171,Bestellungen!$6:$1048576,MATCH(Kasse!I$5,Bestellungen!$A$5:$X$5,0),0))=FALSE,SUMIF(Kalkulation!$A$6:$A$40,Kasse!I$5&amp;"*",Kalkulation!$C$6:$C$40)*VLOOKUP($A171,Bestellungen!$6:$1048576,MATCH(Kasse!I$5,Bestellungen!$A$5:$X$5,0),0),"")</f>
        <v/>
      </c>
      <c r="J171" s="26" t="str">
        <f>IF(ISERROR(VLOOKUP($A171,Bestellungen!$6:$1048576,MATCH(Kasse!J$5,Bestellungen!$A$5:$X$5,0),0))=FALSE,SUMIF(Kalkulation!$A$6:$A$40,Kasse!J$5&amp;"*",Kalkulation!$C$6:$C$40)*VLOOKUP($A171,Bestellungen!$6:$1048576,MATCH(Kasse!J$5,Bestellungen!$A$5:$X$5,0),0),"")</f>
        <v/>
      </c>
      <c r="K171" s="26" t="str">
        <f>IF(ISERROR(VLOOKUP($A171,Bestellungen!$6:$1048576,MATCH(Kasse!K$5,Bestellungen!$A$5:$X$5,0),0))=FALSE,SUMIF(Kalkulation!$A$6:$A$40,Kasse!K$5&amp;"*",Kalkulation!$C$6:$C$40)*VLOOKUP($A171,Bestellungen!$6:$1048576,MATCH(Kasse!K$5,Bestellungen!$A$5:$X$5,0),0),"")</f>
        <v/>
      </c>
      <c r="L171" s="26" t="str">
        <f>IF(ISERROR(VLOOKUP($A171,Bestellungen!$6:$1048576,MATCH(Kasse!L$5,Bestellungen!$A$5:$X$5,0),0))=FALSE,SUMIF(Kalkulation!$A$6:$A$40,Kasse!L$5&amp;"*",Kalkulation!$C$6:$C$40)*VLOOKUP($A171,Bestellungen!$6:$1048576,MATCH(Kasse!L$5,Bestellungen!$A$5:$X$5,0),0),"")</f>
        <v/>
      </c>
      <c r="M171" s="26" t="str">
        <f>IF(ISERROR(VLOOKUP($A171,Bestellungen!$6:$1048576,MATCH(Kasse!M$5,Bestellungen!$A$5:$X$5,0),0))=FALSE,SUMIF(Kalkulation!$A$6:$A$40,Kasse!M$5&amp;"*",Kalkulation!$C$6:$C$40)*VLOOKUP($A171,Bestellungen!$6:$1048576,MATCH(Kasse!M$5,Bestellungen!$A$5:$X$5,0),0),"")</f>
        <v/>
      </c>
      <c r="N171" s="26" t="str">
        <f>IF(ISERROR(VLOOKUP($A171,Bestellungen!$6:$1048576,MATCH(Kasse!N$5,Bestellungen!$A$5:$X$5,0),0))=FALSE,SUMIF(Kalkulation!$A$6:$A$40,Kasse!N$5&amp;"*",Kalkulation!$C$6:$C$40)*VLOOKUP($A171,Bestellungen!$6:$1048576,MATCH(Kasse!N$5,Bestellungen!$A$5:$X$5,0),0),"")</f>
        <v/>
      </c>
      <c r="O171" s="26" t="str">
        <f>IF(ISERROR(VLOOKUP($A171,Bestellungen!$6:$1048576,MATCH(Kasse!O$5,Bestellungen!$A$5:$X$5,0),0))=FALSE,SUMIF(Kalkulation!$A$6:$A$40,Kasse!O$5&amp;"*",Kalkulation!$C$6:$C$40)*VLOOKUP($A171,Bestellungen!$6:$1048576,MATCH(Kasse!O$5,Bestellungen!$A$5:$X$5,0),0),"")</f>
        <v/>
      </c>
      <c r="P171" s="26" t="str">
        <f>IF(ISERROR(VLOOKUP($A171,Bestellungen!$6:$1048576,MATCH(Kasse!P$5,Bestellungen!$A$5:$X$5,0),0))=FALSE,SUMIF(Kalkulation!$A$6:$A$40,Kasse!P$5&amp;"*",Kalkulation!$C$6:$C$40)*VLOOKUP($A171,Bestellungen!$6:$1048576,MATCH(Kasse!P$5,Bestellungen!$A$5:$X$5,0),0),"")</f>
        <v/>
      </c>
      <c r="Q171" s="26" t="str">
        <f>IF(ISERROR(VLOOKUP($A171,Bestellungen!$6:$1048576,MATCH(Kasse!Q$5,Bestellungen!$A$5:$X$5,0),0))=FALSE,SUMIF(Kalkulation!$A$6:$A$40,Kasse!Q$5&amp;"*",Kalkulation!$C$6:$C$40)*VLOOKUP($A171,Bestellungen!$6:$1048576,MATCH(Kasse!Q$5,Bestellungen!$A$5:$X$5,0),0),"")</f>
        <v/>
      </c>
      <c r="R171" s="26" t="str">
        <f>IF(ISERROR(VLOOKUP($A171,Bestellungen!$6:$1048576,MATCH(Kasse!R$5,Bestellungen!$A$5:$X$5,0),0))=FALSE,SUMIF(Kalkulation!$A$6:$A$40,Kasse!R$5&amp;"*",Kalkulation!$C$6:$C$40)*VLOOKUP($A171,Bestellungen!$6:$1048576,MATCH(Kasse!R$5,Bestellungen!$A$5:$X$5,0),0),"")</f>
        <v/>
      </c>
      <c r="S171" s="26" t="str">
        <f>IF(ISERROR(VLOOKUP($A171,Bestellungen!$6:$1048576,MATCH(Kasse!S$5,Bestellungen!$A$5:$X$5,0),0))=FALSE,SUMIF(Kalkulation!$A$6:$A$40,Kasse!S$5&amp;"*",Kalkulation!$C$6:$C$40)*VLOOKUP($A171,Bestellungen!$6:$1048576,MATCH(Kasse!S$5,Bestellungen!$A$5:$X$5,0),0),"")</f>
        <v/>
      </c>
      <c r="T171" s="26" t="str">
        <f>IF(ISERROR(VLOOKUP($A171,Bestellungen!$6:$1048576,MATCH(Kasse!T$5,Bestellungen!$A$5:$X$5,0),0))=FALSE,SUMIF(Kalkulation!$A$6:$A$40,Kasse!T$5&amp;"*",Kalkulation!$C$6:$C$40)*VLOOKUP($A171,Bestellungen!$6:$1048576,MATCH(Kasse!T$5,Bestellungen!$A$5:$X$5,0),0),"")</f>
        <v/>
      </c>
      <c r="U171" s="26" t="str">
        <f t="shared" si="4"/>
        <v/>
      </c>
      <c r="W171" s="26" t="str">
        <f t="shared" si="5"/>
        <v/>
      </c>
      <c r="X171" s="26"/>
      <c r="Y171" s="26"/>
      <c r="Z171" s="26"/>
      <c r="AA171" s="26"/>
    </row>
    <row r="172" spans="1:27" x14ac:dyDescent="0.25">
      <c r="A172" t="str">
        <f>IF(LEN(Bestellungen!$A172)&gt;0,Bestellungen!$A172,"")</f>
        <v/>
      </c>
      <c r="B172" s="26" t="str">
        <f>IF(ISERROR(VLOOKUP($A172,Bestellungen!$6:$1048576,MATCH(Kasse!B$5,Bestellungen!$A$5:$X$5,0),0))=FALSE,SUMIF(Kalkulation!$A$6:$A$40,Kasse!B$5&amp;"*",Kalkulation!$C$6:$C$40)*VLOOKUP($A172,Bestellungen!$6:$1048576,MATCH(Kasse!B$5,Bestellungen!$A$5:$X$5,0),0),"")</f>
        <v/>
      </c>
      <c r="C172" s="26" t="str">
        <f>IF(ISERROR(VLOOKUP($A172,Bestellungen!$6:$1048576,MATCH(Kasse!C$5,Bestellungen!$A$5:$X$5,0),0))=FALSE,SUMIF(Kalkulation!$A$6:$A$40,Kasse!C$5&amp;"*",Kalkulation!$C$6:$C$40)*VLOOKUP($A172,Bestellungen!$6:$1048576,MATCH(Kasse!C$5,Bestellungen!$A$5:$X$5,0),0),"")</f>
        <v/>
      </c>
      <c r="D172" s="26" t="str">
        <f>IF(ISERROR(VLOOKUP($A172,Bestellungen!$6:$1048576,MATCH(Kasse!D$5,Bestellungen!$A$5:$X$5,0),0))=FALSE,SUMIF(Kalkulation!$A$6:$A$40,Kasse!D$5&amp;"*",Kalkulation!$C$6:$C$40)*VLOOKUP($A172,Bestellungen!$6:$1048576,MATCH(Kasse!D$5,Bestellungen!$A$5:$X$5,0),0),"")</f>
        <v/>
      </c>
      <c r="E172" s="26" t="str">
        <f>IF(ISERROR(VLOOKUP($A172,Bestellungen!$6:$1048576,MATCH(Kasse!E$5,Bestellungen!$A$5:$X$5,0),0))=FALSE,SUMIF(Kalkulation!$A$6:$A$40,Kasse!E$5&amp;"*",Kalkulation!$C$6:$C$40)*VLOOKUP($A172,Bestellungen!$6:$1048576,MATCH(Kasse!E$5,Bestellungen!$A$5:$X$5,0),0),"")</f>
        <v/>
      </c>
      <c r="F172" s="26" t="str">
        <f>IF(ISERROR(VLOOKUP($A172,Bestellungen!$6:$1048576,MATCH(Kasse!F$5,Bestellungen!$A$5:$X$5,0),0))=FALSE,SUMIF(Kalkulation!$A$6:$A$40,Kasse!F$5&amp;"*",Kalkulation!$C$6:$C$40)*VLOOKUP($A172,Bestellungen!$6:$1048576,MATCH(Kasse!F$5,Bestellungen!$A$5:$X$5,0),0),"")</f>
        <v/>
      </c>
      <c r="G172" s="26" t="str">
        <f>IF(ISERROR(VLOOKUP($A172,Bestellungen!$6:$1048576,MATCH(Kasse!G$5,Bestellungen!$A$5:$X$5,0),0))=FALSE,SUMIF(Kalkulation!$A$6:$A$40,Kasse!G$5&amp;"*",Kalkulation!$C$6:$C$40)*VLOOKUP($A172,Bestellungen!$6:$1048576,MATCH(Kasse!G$5,Bestellungen!$A$5:$X$5,0),0),"")</f>
        <v/>
      </c>
      <c r="H172" s="26" t="str">
        <f>IF(ISERROR(VLOOKUP($A172,Bestellungen!$6:$1048576,MATCH(Kasse!H$5,Bestellungen!$A$5:$X$5,0),0))=FALSE,SUMIF(Kalkulation!$A$6:$A$40,Kasse!H$5&amp;"*",Kalkulation!$C$6:$C$40)*VLOOKUP($A172,Bestellungen!$6:$1048576,MATCH(Kasse!H$5,Bestellungen!$A$5:$X$5,0),0),"")</f>
        <v/>
      </c>
      <c r="I172" s="26" t="str">
        <f>IF(ISERROR(VLOOKUP($A172,Bestellungen!$6:$1048576,MATCH(Kasse!I$5,Bestellungen!$A$5:$X$5,0),0))=FALSE,SUMIF(Kalkulation!$A$6:$A$40,Kasse!I$5&amp;"*",Kalkulation!$C$6:$C$40)*VLOOKUP($A172,Bestellungen!$6:$1048576,MATCH(Kasse!I$5,Bestellungen!$A$5:$X$5,0),0),"")</f>
        <v/>
      </c>
      <c r="J172" s="26" t="str">
        <f>IF(ISERROR(VLOOKUP($A172,Bestellungen!$6:$1048576,MATCH(Kasse!J$5,Bestellungen!$A$5:$X$5,0),0))=FALSE,SUMIF(Kalkulation!$A$6:$A$40,Kasse!J$5&amp;"*",Kalkulation!$C$6:$C$40)*VLOOKUP($A172,Bestellungen!$6:$1048576,MATCH(Kasse!J$5,Bestellungen!$A$5:$X$5,0),0),"")</f>
        <v/>
      </c>
      <c r="K172" s="26" t="str">
        <f>IF(ISERROR(VLOOKUP($A172,Bestellungen!$6:$1048576,MATCH(Kasse!K$5,Bestellungen!$A$5:$X$5,0),0))=FALSE,SUMIF(Kalkulation!$A$6:$A$40,Kasse!K$5&amp;"*",Kalkulation!$C$6:$C$40)*VLOOKUP($A172,Bestellungen!$6:$1048576,MATCH(Kasse!K$5,Bestellungen!$A$5:$X$5,0),0),"")</f>
        <v/>
      </c>
      <c r="L172" s="26" t="str">
        <f>IF(ISERROR(VLOOKUP($A172,Bestellungen!$6:$1048576,MATCH(Kasse!L$5,Bestellungen!$A$5:$X$5,0),0))=FALSE,SUMIF(Kalkulation!$A$6:$A$40,Kasse!L$5&amp;"*",Kalkulation!$C$6:$C$40)*VLOOKUP($A172,Bestellungen!$6:$1048576,MATCH(Kasse!L$5,Bestellungen!$A$5:$X$5,0),0),"")</f>
        <v/>
      </c>
      <c r="M172" s="26" t="str">
        <f>IF(ISERROR(VLOOKUP($A172,Bestellungen!$6:$1048576,MATCH(Kasse!M$5,Bestellungen!$A$5:$X$5,0),0))=FALSE,SUMIF(Kalkulation!$A$6:$A$40,Kasse!M$5&amp;"*",Kalkulation!$C$6:$C$40)*VLOOKUP($A172,Bestellungen!$6:$1048576,MATCH(Kasse!M$5,Bestellungen!$A$5:$X$5,0),0),"")</f>
        <v/>
      </c>
      <c r="N172" s="26" t="str">
        <f>IF(ISERROR(VLOOKUP($A172,Bestellungen!$6:$1048576,MATCH(Kasse!N$5,Bestellungen!$A$5:$X$5,0),0))=FALSE,SUMIF(Kalkulation!$A$6:$A$40,Kasse!N$5&amp;"*",Kalkulation!$C$6:$C$40)*VLOOKUP($A172,Bestellungen!$6:$1048576,MATCH(Kasse!N$5,Bestellungen!$A$5:$X$5,0),0),"")</f>
        <v/>
      </c>
      <c r="O172" s="26" t="str">
        <f>IF(ISERROR(VLOOKUP($A172,Bestellungen!$6:$1048576,MATCH(Kasse!O$5,Bestellungen!$A$5:$X$5,0),0))=FALSE,SUMIF(Kalkulation!$A$6:$A$40,Kasse!O$5&amp;"*",Kalkulation!$C$6:$C$40)*VLOOKUP($A172,Bestellungen!$6:$1048576,MATCH(Kasse!O$5,Bestellungen!$A$5:$X$5,0),0),"")</f>
        <v/>
      </c>
      <c r="P172" s="26" t="str">
        <f>IF(ISERROR(VLOOKUP($A172,Bestellungen!$6:$1048576,MATCH(Kasse!P$5,Bestellungen!$A$5:$X$5,0),0))=FALSE,SUMIF(Kalkulation!$A$6:$A$40,Kasse!P$5&amp;"*",Kalkulation!$C$6:$C$40)*VLOOKUP($A172,Bestellungen!$6:$1048576,MATCH(Kasse!P$5,Bestellungen!$A$5:$X$5,0),0),"")</f>
        <v/>
      </c>
      <c r="Q172" s="26" t="str">
        <f>IF(ISERROR(VLOOKUP($A172,Bestellungen!$6:$1048576,MATCH(Kasse!Q$5,Bestellungen!$A$5:$X$5,0),0))=FALSE,SUMIF(Kalkulation!$A$6:$A$40,Kasse!Q$5&amp;"*",Kalkulation!$C$6:$C$40)*VLOOKUP($A172,Bestellungen!$6:$1048576,MATCH(Kasse!Q$5,Bestellungen!$A$5:$X$5,0),0),"")</f>
        <v/>
      </c>
      <c r="R172" s="26" t="str">
        <f>IF(ISERROR(VLOOKUP($A172,Bestellungen!$6:$1048576,MATCH(Kasse!R$5,Bestellungen!$A$5:$X$5,0),0))=FALSE,SUMIF(Kalkulation!$A$6:$A$40,Kasse!R$5&amp;"*",Kalkulation!$C$6:$C$40)*VLOOKUP($A172,Bestellungen!$6:$1048576,MATCH(Kasse!R$5,Bestellungen!$A$5:$X$5,0),0),"")</f>
        <v/>
      </c>
      <c r="S172" s="26" t="str">
        <f>IF(ISERROR(VLOOKUP($A172,Bestellungen!$6:$1048576,MATCH(Kasse!S$5,Bestellungen!$A$5:$X$5,0),0))=FALSE,SUMIF(Kalkulation!$A$6:$A$40,Kasse!S$5&amp;"*",Kalkulation!$C$6:$C$40)*VLOOKUP($A172,Bestellungen!$6:$1048576,MATCH(Kasse!S$5,Bestellungen!$A$5:$X$5,0),0),"")</f>
        <v/>
      </c>
      <c r="T172" s="26" t="str">
        <f>IF(ISERROR(VLOOKUP($A172,Bestellungen!$6:$1048576,MATCH(Kasse!T$5,Bestellungen!$A$5:$X$5,0),0))=FALSE,SUMIF(Kalkulation!$A$6:$A$40,Kasse!T$5&amp;"*",Kalkulation!$C$6:$C$40)*VLOOKUP($A172,Bestellungen!$6:$1048576,MATCH(Kasse!T$5,Bestellungen!$A$5:$X$5,0),0),"")</f>
        <v/>
      </c>
      <c r="U172" s="26" t="str">
        <f t="shared" si="4"/>
        <v/>
      </c>
      <c r="W172" s="26" t="str">
        <f t="shared" si="5"/>
        <v/>
      </c>
      <c r="X172" s="26"/>
      <c r="Y172" s="26"/>
      <c r="Z172" s="26"/>
      <c r="AA172" s="26"/>
    </row>
    <row r="173" spans="1:27" x14ac:dyDescent="0.25">
      <c r="A173" t="str">
        <f>IF(LEN(Bestellungen!$A173)&gt;0,Bestellungen!$A173,"")</f>
        <v/>
      </c>
      <c r="B173" s="26" t="str">
        <f>IF(ISERROR(VLOOKUP($A173,Bestellungen!$6:$1048576,MATCH(Kasse!B$5,Bestellungen!$A$5:$X$5,0),0))=FALSE,SUMIF(Kalkulation!$A$6:$A$40,Kasse!B$5&amp;"*",Kalkulation!$C$6:$C$40)*VLOOKUP($A173,Bestellungen!$6:$1048576,MATCH(Kasse!B$5,Bestellungen!$A$5:$X$5,0),0),"")</f>
        <v/>
      </c>
      <c r="C173" s="26" t="str">
        <f>IF(ISERROR(VLOOKUP($A173,Bestellungen!$6:$1048576,MATCH(Kasse!C$5,Bestellungen!$A$5:$X$5,0),0))=FALSE,SUMIF(Kalkulation!$A$6:$A$40,Kasse!C$5&amp;"*",Kalkulation!$C$6:$C$40)*VLOOKUP($A173,Bestellungen!$6:$1048576,MATCH(Kasse!C$5,Bestellungen!$A$5:$X$5,0),0),"")</f>
        <v/>
      </c>
      <c r="D173" s="26" t="str">
        <f>IF(ISERROR(VLOOKUP($A173,Bestellungen!$6:$1048576,MATCH(Kasse!D$5,Bestellungen!$A$5:$X$5,0),0))=FALSE,SUMIF(Kalkulation!$A$6:$A$40,Kasse!D$5&amp;"*",Kalkulation!$C$6:$C$40)*VLOOKUP($A173,Bestellungen!$6:$1048576,MATCH(Kasse!D$5,Bestellungen!$A$5:$X$5,0),0),"")</f>
        <v/>
      </c>
      <c r="E173" s="26" t="str">
        <f>IF(ISERROR(VLOOKUP($A173,Bestellungen!$6:$1048576,MATCH(Kasse!E$5,Bestellungen!$A$5:$X$5,0),0))=FALSE,SUMIF(Kalkulation!$A$6:$A$40,Kasse!E$5&amp;"*",Kalkulation!$C$6:$C$40)*VLOOKUP($A173,Bestellungen!$6:$1048576,MATCH(Kasse!E$5,Bestellungen!$A$5:$X$5,0),0),"")</f>
        <v/>
      </c>
      <c r="F173" s="26" t="str">
        <f>IF(ISERROR(VLOOKUP($A173,Bestellungen!$6:$1048576,MATCH(Kasse!F$5,Bestellungen!$A$5:$X$5,0),0))=FALSE,SUMIF(Kalkulation!$A$6:$A$40,Kasse!F$5&amp;"*",Kalkulation!$C$6:$C$40)*VLOOKUP($A173,Bestellungen!$6:$1048576,MATCH(Kasse!F$5,Bestellungen!$A$5:$X$5,0),0),"")</f>
        <v/>
      </c>
      <c r="G173" s="26" t="str">
        <f>IF(ISERROR(VLOOKUP($A173,Bestellungen!$6:$1048576,MATCH(Kasse!G$5,Bestellungen!$A$5:$X$5,0),0))=FALSE,SUMIF(Kalkulation!$A$6:$A$40,Kasse!G$5&amp;"*",Kalkulation!$C$6:$C$40)*VLOOKUP($A173,Bestellungen!$6:$1048576,MATCH(Kasse!G$5,Bestellungen!$A$5:$X$5,0),0),"")</f>
        <v/>
      </c>
      <c r="H173" s="26" t="str">
        <f>IF(ISERROR(VLOOKUP($A173,Bestellungen!$6:$1048576,MATCH(Kasse!H$5,Bestellungen!$A$5:$X$5,0),0))=FALSE,SUMIF(Kalkulation!$A$6:$A$40,Kasse!H$5&amp;"*",Kalkulation!$C$6:$C$40)*VLOOKUP($A173,Bestellungen!$6:$1048576,MATCH(Kasse!H$5,Bestellungen!$A$5:$X$5,0),0),"")</f>
        <v/>
      </c>
      <c r="I173" s="26" t="str">
        <f>IF(ISERROR(VLOOKUP($A173,Bestellungen!$6:$1048576,MATCH(Kasse!I$5,Bestellungen!$A$5:$X$5,0),0))=FALSE,SUMIF(Kalkulation!$A$6:$A$40,Kasse!I$5&amp;"*",Kalkulation!$C$6:$C$40)*VLOOKUP($A173,Bestellungen!$6:$1048576,MATCH(Kasse!I$5,Bestellungen!$A$5:$X$5,0),0),"")</f>
        <v/>
      </c>
      <c r="J173" s="26" t="str">
        <f>IF(ISERROR(VLOOKUP($A173,Bestellungen!$6:$1048576,MATCH(Kasse!J$5,Bestellungen!$A$5:$X$5,0),0))=FALSE,SUMIF(Kalkulation!$A$6:$A$40,Kasse!J$5&amp;"*",Kalkulation!$C$6:$C$40)*VLOOKUP($A173,Bestellungen!$6:$1048576,MATCH(Kasse!J$5,Bestellungen!$A$5:$X$5,0),0),"")</f>
        <v/>
      </c>
      <c r="K173" s="26" t="str">
        <f>IF(ISERROR(VLOOKUP($A173,Bestellungen!$6:$1048576,MATCH(Kasse!K$5,Bestellungen!$A$5:$X$5,0),0))=FALSE,SUMIF(Kalkulation!$A$6:$A$40,Kasse!K$5&amp;"*",Kalkulation!$C$6:$C$40)*VLOOKUP($A173,Bestellungen!$6:$1048576,MATCH(Kasse!K$5,Bestellungen!$A$5:$X$5,0),0),"")</f>
        <v/>
      </c>
      <c r="L173" s="26" t="str">
        <f>IF(ISERROR(VLOOKUP($A173,Bestellungen!$6:$1048576,MATCH(Kasse!L$5,Bestellungen!$A$5:$X$5,0),0))=FALSE,SUMIF(Kalkulation!$A$6:$A$40,Kasse!L$5&amp;"*",Kalkulation!$C$6:$C$40)*VLOOKUP($A173,Bestellungen!$6:$1048576,MATCH(Kasse!L$5,Bestellungen!$A$5:$X$5,0),0),"")</f>
        <v/>
      </c>
      <c r="M173" s="26" t="str">
        <f>IF(ISERROR(VLOOKUP($A173,Bestellungen!$6:$1048576,MATCH(Kasse!M$5,Bestellungen!$A$5:$X$5,0),0))=FALSE,SUMIF(Kalkulation!$A$6:$A$40,Kasse!M$5&amp;"*",Kalkulation!$C$6:$C$40)*VLOOKUP($A173,Bestellungen!$6:$1048576,MATCH(Kasse!M$5,Bestellungen!$A$5:$X$5,0),0),"")</f>
        <v/>
      </c>
      <c r="N173" s="26" t="str">
        <f>IF(ISERROR(VLOOKUP($A173,Bestellungen!$6:$1048576,MATCH(Kasse!N$5,Bestellungen!$A$5:$X$5,0),0))=FALSE,SUMIF(Kalkulation!$A$6:$A$40,Kasse!N$5&amp;"*",Kalkulation!$C$6:$C$40)*VLOOKUP($A173,Bestellungen!$6:$1048576,MATCH(Kasse!N$5,Bestellungen!$A$5:$X$5,0),0),"")</f>
        <v/>
      </c>
      <c r="O173" s="26" t="str">
        <f>IF(ISERROR(VLOOKUP($A173,Bestellungen!$6:$1048576,MATCH(Kasse!O$5,Bestellungen!$A$5:$X$5,0),0))=FALSE,SUMIF(Kalkulation!$A$6:$A$40,Kasse!O$5&amp;"*",Kalkulation!$C$6:$C$40)*VLOOKUP($A173,Bestellungen!$6:$1048576,MATCH(Kasse!O$5,Bestellungen!$A$5:$X$5,0),0),"")</f>
        <v/>
      </c>
      <c r="P173" s="26" t="str">
        <f>IF(ISERROR(VLOOKUP($A173,Bestellungen!$6:$1048576,MATCH(Kasse!P$5,Bestellungen!$A$5:$X$5,0),0))=FALSE,SUMIF(Kalkulation!$A$6:$A$40,Kasse!P$5&amp;"*",Kalkulation!$C$6:$C$40)*VLOOKUP($A173,Bestellungen!$6:$1048576,MATCH(Kasse!P$5,Bestellungen!$A$5:$X$5,0),0),"")</f>
        <v/>
      </c>
      <c r="Q173" s="26" t="str">
        <f>IF(ISERROR(VLOOKUP($A173,Bestellungen!$6:$1048576,MATCH(Kasse!Q$5,Bestellungen!$A$5:$X$5,0),0))=FALSE,SUMIF(Kalkulation!$A$6:$A$40,Kasse!Q$5&amp;"*",Kalkulation!$C$6:$C$40)*VLOOKUP($A173,Bestellungen!$6:$1048576,MATCH(Kasse!Q$5,Bestellungen!$A$5:$X$5,0),0),"")</f>
        <v/>
      </c>
      <c r="R173" s="26" t="str">
        <f>IF(ISERROR(VLOOKUP($A173,Bestellungen!$6:$1048576,MATCH(Kasse!R$5,Bestellungen!$A$5:$X$5,0),0))=FALSE,SUMIF(Kalkulation!$A$6:$A$40,Kasse!R$5&amp;"*",Kalkulation!$C$6:$C$40)*VLOOKUP($A173,Bestellungen!$6:$1048576,MATCH(Kasse!R$5,Bestellungen!$A$5:$X$5,0),0),"")</f>
        <v/>
      </c>
      <c r="S173" s="26" t="str">
        <f>IF(ISERROR(VLOOKUP($A173,Bestellungen!$6:$1048576,MATCH(Kasse!S$5,Bestellungen!$A$5:$X$5,0),0))=FALSE,SUMIF(Kalkulation!$A$6:$A$40,Kasse!S$5&amp;"*",Kalkulation!$C$6:$C$40)*VLOOKUP($A173,Bestellungen!$6:$1048576,MATCH(Kasse!S$5,Bestellungen!$A$5:$X$5,0),0),"")</f>
        <v/>
      </c>
      <c r="T173" s="26" t="str">
        <f>IF(ISERROR(VLOOKUP($A173,Bestellungen!$6:$1048576,MATCH(Kasse!T$5,Bestellungen!$A$5:$X$5,0),0))=FALSE,SUMIF(Kalkulation!$A$6:$A$40,Kasse!T$5&amp;"*",Kalkulation!$C$6:$C$40)*VLOOKUP($A173,Bestellungen!$6:$1048576,MATCH(Kasse!T$5,Bestellungen!$A$5:$X$5,0),0),"")</f>
        <v/>
      </c>
      <c r="U173" s="26" t="str">
        <f t="shared" si="4"/>
        <v/>
      </c>
      <c r="W173" s="26" t="str">
        <f t="shared" si="5"/>
        <v/>
      </c>
      <c r="X173" s="26"/>
      <c r="Y173" s="26"/>
      <c r="Z173" s="26"/>
      <c r="AA173" s="26"/>
    </row>
    <row r="174" spans="1:27" x14ac:dyDescent="0.25">
      <c r="A174" t="str">
        <f>IF(LEN(Bestellungen!$A174)&gt;0,Bestellungen!$A174,"")</f>
        <v/>
      </c>
      <c r="B174" s="26" t="str">
        <f>IF(ISERROR(VLOOKUP($A174,Bestellungen!$6:$1048576,MATCH(Kasse!B$5,Bestellungen!$A$5:$X$5,0),0))=FALSE,SUMIF(Kalkulation!$A$6:$A$40,Kasse!B$5&amp;"*",Kalkulation!$C$6:$C$40)*VLOOKUP($A174,Bestellungen!$6:$1048576,MATCH(Kasse!B$5,Bestellungen!$A$5:$X$5,0),0),"")</f>
        <v/>
      </c>
      <c r="C174" s="26" t="str">
        <f>IF(ISERROR(VLOOKUP($A174,Bestellungen!$6:$1048576,MATCH(Kasse!C$5,Bestellungen!$A$5:$X$5,0),0))=FALSE,SUMIF(Kalkulation!$A$6:$A$40,Kasse!C$5&amp;"*",Kalkulation!$C$6:$C$40)*VLOOKUP($A174,Bestellungen!$6:$1048576,MATCH(Kasse!C$5,Bestellungen!$A$5:$X$5,0),0),"")</f>
        <v/>
      </c>
      <c r="D174" s="26" t="str">
        <f>IF(ISERROR(VLOOKUP($A174,Bestellungen!$6:$1048576,MATCH(Kasse!D$5,Bestellungen!$A$5:$X$5,0),0))=FALSE,SUMIF(Kalkulation!$A$6:$A$40,Kasse!D$5&amp;"*",Kalkulation!$C$6:$C$40)*VLOOKUP($A174,Bestellungen!$6:$1048576,MATCH(Kasse!D$5,Bestellungen!$A$5:$X$5,0),0),"")</f>
        <v/>
      </c>
      <c r="E174" s="26" t="str">
        <f>IF(ISERROR(VLOOKUP($A174,Bestellungen!$6:$1048576,MATCH(Kasse!E$5,Bestellungen!$A$5:$X$5,0),0))=FALSE,SUMIF(Kalkulation!$A$6:$A$40,Kasse!E$5&amp;"*",Kalkulation!$C$6:$C$40)*VLOOKUP($A174,Bestellungen!$6:$1048576,MATCH(Kasse!E$5,Bestellungen!$A$5:$X$5,0),0),"")</f>
        <v/>
      </c>
      <c r="F174" s="26" t="str">
        <f>IF(ISERROR(VLOOKUP($A174,Bestellungen!$6:$1048576,MATCH(Kasse!F$5,Bestellungen!$A$5:$X$5,0),0))=FALSE,SUMIF(Kalkulation!$A$6:$A$40,Kasse!F$5&amp;"*",Kalkulation!$C$6:$C$40)*VLOOKUP($A174,Bestellungen!$6:$1048576,MATCH(Kasse!F$5,Bestellungen!$A$5:$X$5,0),0),"")</f>
        <v/>
      </c>
      <c r="G174" s="26" t="str">
        <f>IF(ISERROR(VLOOKUP($A174,Bestellungen!$6:$1048576,MATCH(Kasse!G$5,Bestellungen!$A$5:$X$5,0),0))=FALSE,SUMIF(Kalkulation!$A$6:$A$40,Kasse!G$5&amp;"*",Kalkulation!$C$6:$C$40)*VLOOKUP($A174,Bestellungen!$6:$1048576,MATCH(Kasse!G$5,Bestellungen!$A$5:$X$5,0),0),"")</f>
        <v/>
      </c>
      <c r="H174" s="26" t="str">
        <f>IF(ISERROR(VLOOKUP($A174,Bestellungen!$6:$1048576,MATCH(Kasse!H$5,Bestellungen!$A$5:$X$5,0),0))=FALSE,SUMIF(Kalkulation!$A$6:$A$40,Kasse!H$5&amp;"*",Kalkulation!$C$6:$C$40)*VLOOKUP($A174,Bestellungen!$6:$1048576,MATCH(Kasse!H$5,Bestellungen!$A$5:$X$5,0),0),"")</f>
        <v/>
      </c>
      <c r="I174" s="26" t="str">
        <f>IF(ISERROR(VLOOKUP($A174,Bestellungen!$6:$1048576,MATCH(Kasse!I$5,Bestellungen!$A$5:$X$5,0),0))=FALSE,SUMIF(Kalkulation!$A$6:$A$40,Kasse!I$5&amp;"*",Kalkulation!$C$6:$C$40)*VLOOKUP($A174,Bestellungen!$6:$1048576,MATCH(Kasse!I$5,Bestellungen!$A$5:$X$5,0),0),"")</f>
        <v/>
      </c>
      <c r="J174" s="26" t="str">
        <f>IF(ISERROR(VLOOKUP($A174,Bestellungen!$6:$1048576,MATCH(Kasse!J$5,Bestellungen!$A$5:$X$5,0),0))=FALSE,SUMIF(Kalkulation!$A$6:$A$40,Kasse!J$5&amp;"*",Kalkulation!$C$6:$C$40)*VLOOKUP($A174,Bestellungen!$6:$1048576,MATCH(Kasse!J$5,Bestellungen!$A$5:$X$5,0),0),"")</f>
        <v/>
      </c>
      <c r="K174" s="26" t="str">
        <f>IF(ISERROR(VLOOKUP($A174,Bestellungen!$6:$1048576,MATCH(Kasse!K$5,Bestellungen!$A$5:$X$5,0),0))=FALSE,SUMIF(Kalkulation!$A$6:$A$40,Kasse!K$5&amp;"*",Kalkulation!$C$6:$C$40)*VLOOKUP($A174,Bestellungen!$6:$1048576,MATCH(Kasse!K$5,Bestellungen!$A$5:$X$5,0),0),"")</f>
        <v/>
      </c>
      <c r="L174" s="26" t="str">
        <f>IF(ISERROR(VLOOKUP($A174,Bestellungen!$6:$1048576,MATCH(Kasse!L$5,Bestellungen!$A$5:$X$5,0),0))=FALSE,SUMIF(Kalkulation!$A$6:$A$40,Kasse!L$5&amp;"*",Kalkulation!$C$6:$C$40)*VLOOKUP($A174,Bestellungen!$6:$1048576,MATCH(Kasse!L$5,Bestellungen!$A$5:$X$5,0),0),"")</f>
        <v/>
      </c>
      <c r="M174" s="26" t="str">
        <f>IF(ISERROR(VLOOKUP($A174,Bestellungen!$6:$1048576,MATCH(Kasse!M$5,Bestellungen!$A$5:$X$5,0),0))=FALSE,SUMIF(Kalkulation!$A$6:$A$40,Kasse!M$5&amp;"*",Kalkulation!$C$6:$C$40)*VLOOKUP($A174,Bestellungen!$6:$1048576,MATCH(Kasse!M$5,Bestellungen!$A$5:$X$5,0),0),"")</f>
        <v/>
      </c>
      <c r="N174" s="26" t="str">
        <f>IF(ISERROR(VLOOKUP($A174,Bestellungen!$6:$1048576,MATCH(Kasse!N$5,Bestellungen!$A$5:$X$5,0),0))=FALSE,SUMIF(Kalkulation!$A$6:$A$40,Kasse!N$5&amp;"*",Kalkulation!$C$6:$C$40)*VLOOKUP($A174,Bestellungen!$6:$1048576,MATCH(Kasse!N$5,Bestellungen!$A$5:$X$5,0),0),"")</f>
        <v/>
      </c>
      <c r="O174" s="26" t="str">
        <f>IF(ISERROR(VLOOKUP($A174,Bestellungen!$6:$1048576,MATCH(Kasse!O$5,Bestellungen!$A$5:$X$5,0),0))=FALSE,SUMIF(Kalkulation!$A$6:$A$40,Kasse!O$5&amp;"*",Kalkulation!$C$6:$C$40)*VLOOKUP($A174,Bestellungen!$6:$1048576,MATCH(Kasse!O$5,Bestellungen!$A$5:$X$5,0),0),"")</f>
        <v/>
      </c>
      <c r="P174" s="26" t="str">
        <f>IF(ISERROR(VLOOKUP($A174,Bestellungen!$6:$1048576,MATCH(Kasse!P$5,Bestellungen!$A$5:$X$5,0),0))=FALSE,SUMIF(Kalkulation!$A$6:$A$40,Kasse!P$5&amp;"*",Kalkulation!$C$6:$C$40)*VLOOKUP($A174,Bestellungen!$6:$1048576,MATCH(Kasse!P$5,Bestellungen!$A$5:$X$5,0),0),"")</f>
        <v/>
      </c>
      <c r="Q174" s="26" t="str">
        <f>IF(ISERROR(VLOOKUP($A174,Bestellungen!$6:$1048576,MATCH(Kasse!Q$5,Bestellungen!$A$5:$X$5,0),0))=FALSE,SUMIF(Kalkulation!$A$6:$A$40,Kasse!Q$5&amp;"*",Kalkulation!$C$6:$C$40)*VLOOKUP($A174,Bestellungen!$6:$1048576,MATCH(Kasse!Q$5,Bestellungen!$A$5:$X$5,0),0),"")</f>
        <v/>
      </c>
      <c r="R174" s="26" t="str">
        <f>IF(ISERROR(VLOOKUP($A174,Bestellungen!$6:$1048576,MATCH(Kasse!R$5,Bestellungen!$A$5:$X$5,0),0))=FALSE,SUMIF(Kalkulation!$A$6:$A$40,Kasse!R$5&amp;"*",Kalkulation!$C$6:$C$40)*VLOOKUP($A174,Bestellungen!$6:$1048576,MATCH(Kasse!R$5,Bestellungen!$A$5:$X$5,0),0),"")</f>
        <v/>
      </c>
      <c r="S174" s="26" t="str">
        <f>IF(ISERROR(VLOOKUP($A174,Bestellungen!$6:$1048576,MATCH(Kasse!S$5,Bestellungen!$A$5:$X$5,0),0))=FALSE,SUMIF(Kalkulation!$A$6:$A$40,Kasse!S$5&amp;"*",Kalkulation!$C$6:$C$40)*VLOOKUP($A174,Bestellungen!$6:$1048576,MATCH(Kasse!S$5,Bestellungen!$A$5:$X$5,0),0),"")</f>
        <v/>
      </c>
      <c r="T174" s="26" t="str">
        <f>IF(ISERROR(VLOOKUP($A174,Bestellungen!$6:$1048576,MATCH(Kasse!T$5,Bestellungen!$A$5:$X$5,0),0))=FALSE,SUMIF(Kalkulation!$A$6:$A$40,Kasse!T$5&amp;"*",Kalkulation!$C$6:$C$40)*VLOOKUP($A174,Bestellungen!$6:$1048576,MATCH(Kasse!T$5,Bestellungen!$A$5:$X$5,0),0),"")</f>
        <v/>
      </c>
      <c r="U174" s="26" t="str">
        <f t="shared" si="4"/>
        <v/>
      </c>
      <c r="W174" s="26" t="str">
        <f t="shared" si="5"/>
        <v/>
      </c>
      <c r="X174" s="26"/>
      <c r="Y174" s="26"/>
      <c r="Z174" s="26"/>
      <c r="AA174" s="26"/>
    </row>
    <row r="175" spans="1:27" x14ac:dyDescent="0.25">
      <c r="A175" t="str">
        <f>IF(LEN(Bestellungen!$A175)&gt;0,Bestellungen!$A175,"")</f>
        <v/>
      </c>
      <c r="B175" s="26" t="str">
        <f>IF(ISERROR(VLOOKUP($A175,Bestellungen!$6:$1048576,MATCH(Kasse!B$5,Bestellungen!$A$5:$X$5,0),0))=FALSE,SUMIF(Kalkulation!$A$6:$A$40,Kasse!B$5&amp;"*",Kalkulation!$C$6:$C$40)*VLOOKUP($A175,Bestellungen!$6:$1048576,MATCH(Kasse!B$5,Bestellungen!$A$5:$X$5,0),0),"")</f>
        <v/>
      </c>
      <c r="C175" s="26" t="str">
        <f>IF(ISERROR(VLOOKUP($A175,Bestellungen!$6:$1048576,MATCH(Kasse!C$5,Bestellungen!$A$5:$X$5,0),0))=FALSE,SUMIF(Kalkulation!$A$6:$A$40,Kasse!C$5&amp;"*",Kalkulation!$C$6:$C$40)*VLOOKUP($A175,Bestellungen!$6:$1048576,MATCH(Kasse!C$5,Bestellungen!$A$5:$X$5,0),0),"")</f>
        <v/>
      </c>
      <c r="D175" s="26" t="str">
        <f>IF(ISERROR(VLOOKUP($A175,Bestellungen!$6:$1048576,MATCH(Kasse!D$5,Bestellungen!$A$5:$X$5,0),0))=FALSE,SUMIF(Kalkulation!$A$6:$A$40,Kasse!D$5&amp;"*",Kalkulation!$C$6:$C$40)*VLOOKUP($A175,Bestellungen!$6:$1048576,MATCH(Kasse!D$5,Bestellungen!$A$5:$X$5,0),0),"")</f>
        <v/>
      </c>
      <c r="E175" s="26" t="str">
        <f>IF(ISERROR(VLOOKUP($A175,Bestellungen!$6:$1048576,MATCH(Kasse!E$5,Bestellungen!$A$5:$X$5,0),0))=FALSE,SUMIF(Kalkulation!$A$6:$A$40,Kasse!E$5&amp;"*",Kalkulation!$C$6:$C$40)*VLOOKUP($A175,Bestellungen!$6:$1048576,MATCH(Kasse!E$5,Bestellungen!$A$5:$X$5,0),0),"")</f>
        <v/>
      </c>
      <c r="F175" s="26" t="str">
        <f>IF(ISERROR(VLOOKUP($A175,Bestellungen!$6:$1048576,MATCH(Kasse!F$5,Bestellungen!$A$5:$X$5,0),0))=FALSE,SUMIF(Kalkulation!$A$6:$A$40,Kasse!F$5&amp;"*",Kalkulation!$C$6:$C$40)*VLOOKUP($A175,Bestellungen!$6:$1048576,MATCH(Kasse!F$5,Bestellungen!$A$5:$X$5,0),0),"")</f>
        <v/>
      </c>
      <c r="G175" s="26" t="str">
        <f>IF(ISERROR(VLOOKUP($A175,Bestellungen!$6:$1048576,MATCH(Kasse!G$5,Bestellungen!$A$5:$X$5,0),0))=FALSE,SUMIF(Kalkulation!$A$6:$A$40,Kasse!G$5&amp;"*",Kalkulation!$C$6:$C$40)*VLOOKUP($A175,Bestellungen!$6:$1048576,MATCH(Kasse!G$5,Bestellungen!$A$5:$X$5,0),0),"")</f>
        <v/>
      </c>
      <c r="H175" s="26" t="str">
        <f>IF(ISERROR(VLOOKUP($A175,Bestellungen!$6:$1048576,MATCH(Kasse!H$5,Bestellungen!$A$5:$X$5,0),0))=FALSE,SUMIF(Kalkulation!$A$6:$A$40,Kasse!H$5&amp;"*",Kalkulation!$C$6:$C$40)*VLOOKUP($A175,Bestellungen!$6:$1048576,MATCH(Kasse!H$5,Bestellungen!$A$5:$X$5,0),0),"")</f>
        <v/>
      </c>
      <c r="I175" s="26" t="str">
        <f>IF(ISERROR(VLOOKUP($A175,Bestellungen!$6:$1048576,MATCH(Kasse!I$5,Bestellungen!$A$5:$X$5,0),0))=FALSE,SUMIF(Kalkulation!$A$6:$A$40,Kasse!I$5&amp;"*",Kalkulation!$C$6:$C$40)*VLOOKUP($A175,Bestellungen!$6:$1048576,MATCH(Kasse!I$5,Bestellungen!$A$5:$X$5,0),0),"")</f>
        <v/>
      </c>
      <c r="J175" s="26" t="str">
        <f>IF(ISERROR(VLOOKUP($A175,Bestellungen!$6:$1048576,MATCH(Kasse!J$5,Bestellungen!$A$5:$X$5,0),0))=FALSE,SUMIF(Kalkulation!$A$6:$A$40,Kasse!J$5&amp;"*",Kalkulation!$C$6:$C$40)*VLOOKUP($A175,Bestellungen!$6:$1048576,MATCH(Kasse!J$5,Bestellungen!$A$5:$X$5,0),0),"")</f>
        <v/>
      </c>
      <c r="K175" s="26" t="str">
        <f>IF(ISERROR(VLOOKUP($A175,Bestellungen!$6:$1048576,MATCH(Kasse!K$5,Bestellungen!$A$5:$X$5,0),0))=FALSE,SUMIF(Kalkulation!$A$6:$A$40,Kasse!K$5&amp;"*",Kalkulation!$C$6:$C$40)*VLOOKUP($A175,Bestellungen!$6:$1048576,MATCH(Kasse!K$5,Bestellungen!$A$5:$X$5,0),0),"")</f>
        <v/>
      </c>
      <c r="L175" s="26" t="str">
        <f>IF(ISERROR(VLOOKUP($A175,Bestellungen!$6:$1048576,MATCH(Kasse!L$5,Bestellungen!$A$5:$X$5,0),0))=FALSE,SUMIF(Kalkulation!$A$6:$A$40,Kasse!L$5&amp;"*",Kalkulation!$C$6:$C$40)*VLOOKUP($A175,Bestellungen!$6:$1048576,MATCH(Kasse!L$5,Bestellungen!$A$5:$X$5,0),0),"")</f>
        <v/>
      </c>
      <c r="M175" s="26" t="str">
        <f>IF(ISERROR(VLOOKUP($A175,Bestellungen!$6:$1048576,MATCH(Kasse!M$5,Bestellungen!$A$5:$X$5,0),0))=FALSE,SUMIF(Kalkulation!$A$6:$A$40,Kasse!M$5&amp;"*",Kalkulation!$C$6:$C$40)*VLOOKUP($A175,Bestellungen!$6:$1048576,MATCH(Kasse!M$5,Bestellungen!$A$5:$X$5,0),0),"")</f>
        <v/>
      </c>
      <c r="N175" s="26" t="str">
        <f>IF(ISERROR(VLOOKUP($A175,Bestellungen!$6:$1048576,MATCH(Kasse!N$5,Bestellungen!$A$5:$X$5,0),0))=FALSE,SUMIF(Kalkulation!$A$6:$A$40,Kasse!N$5&amp;"*",Kalkulation!$C$6:$C$40)*VLOOKUP($A175,Bestellungen!$6:$1048576,MATCH(Kasse!N$5,Bestellungen!$A$5:$X$5,0),0),"")</f>
        <v/>
      </c>
      <c r="O175" s="26" t="str">
        <f>IF(ISERROR(VLOOKUP($A175,Bestellungen!$6:$1048576,MATCH(Kasse!O$5,Bestellungen!$A$5:$X$5,0),0))=FALSE,SUMIF(Kalkulation!$A$6:$A$40,Kasse!O$5&amp;"*",Kalkulation!$C$6:$C$40)*VLOOKUP($A175,Bestellungen!$6:$1048576,MATCH(Kasse!O$5,Bestellungen!$A$5:$X$5,0),0),"")</f>
        <v/>
      </c>
      <c r="P175" s="26" t="str">
        <f>IF(ISERROR(VLOOKUP($A175,Bestellungen!$6:$1048576,MATCH(Kasse!P$5,Bestellungen!$A$5:$X$5,0),0))=FALSE,SUMIF(Kalkulation!$A$6:$A$40,Kasse!P$5&amp;"*",Kalkulation!$C$6:$C$40)*VLOOKUP($A175,Bestellungen!$6:$1048576,MATCH(Kasse!P$5,Bestellungen!$A$5:$X$5,0),0),"")</f>
        <v/>
      </c>
      <c r="Q175" s="26" t="str">
        <f>IF(ISERROR(VLOOKUP($A175,Bestellungen!$6:$1048576,MATCH(Kasse!Q$5,Bestellungen!$A$5:$X$5,0),0))=FALSE,SUMIF(Kalkulation!$A$6:$A$40,Kasse!Q$5&amp;"*",Kalkulation!$C$6:$C$40)*VLOOKUP($A175,Bestellungen!$6:$1048576,MATCH(Kasse!Q$5,Bestellungen!$A$5:$X$5,0),0),"")</f>
        <v/>
      </c>
      <c r="R175" s="26" t="str">
        <f>IF(ISERROR(VLOOKUP($A175,Bestellungen!$6:$1048576,MATCH(Kasse!R$5,Bestellungen!$A$5:$X$5,0),0))=FALSE,SUMIF(Kalkulation!$A$6:$A$40,Kasse!R$5&amp;"*",Kalkulation!$C$6:$C$40)*VLOOKUP($A175,Bestellungen!$6:$1048576,MATCH(Kasse!R$5,Bestellungen!$A$5:$X$5,0),0),"")</f>
        <v/>
      </c>
      <c r="S175" s="26" t="str">
        <f>IF(ISERROR(VLOOKUP($A175,Bestellungen!$6:$1048576,MATCH(Kasse!S$5,Bestellungen!$A$5:$X$5,0),0))=FALSE,SUMIF(Kalkulation!$A$6:$A$40,Kasse!S$5&amp;"*",Kalkulation!$C$6:$C$40)*VLOOKUP($A175,Bestellungen!$6:$1048576,MATCH(Kasse!S$5,Bestellungen!$A$5:$X$5,0),0),"")</f>
        <v/>
      </c>
      <c r="T175" s="26" t="str">
        <f>IF(ISERROR(VLOOKUP($A175,Bestellungen!$6:$1048576,MATCH(Kasse!T$5,Bestellungen!$A$5:$X$5,0),0))=FALSE,SUMIF(Kalkulation!$A$6:$A$40,Kasse!T$5&amp;"*",Kalkulation!$C$6:$C$40)*VLOOKUP($A175,Bestellungen!$6:$1048576,MATCH(Kasse!T$5,Bestellungen!$A$5:$X$5,0),0),"")</f>
        <v/>
      </c>
      <c r="U175" s="26" t="str">
        <f t="shared" si="4"/>
        <v/>
      </c>
      <c r="W175" s="26" t="str">
        <f t="shared" si="5"/>
        <v/>
      </c>
      <c r="X175" s="26"/>
      <c r="Y175" s="26"/>
      <c r="Z175" s="26"/>
      <c r="AA175" s="26"/>
    </row>
    <row r="176" spans="1:27" x14ac:dyDescent="0.25">
      <c r="A176" t="str">
        <f>IF(LEN(Bestellungen!$A176)&gt;0,Bestellungen!$A176,"")</f>
        <v/>
      </c>
      <c r="B176" s="26" t="str">
        <f>IF(ISERROR(VLOOKUP($A176,Bestellungen!$6:$1048576,MATCH(Kasse!B$5,Bestellungen!$A$5:$X$5,0),0))=FALSE,SUMIF(Kalkulation!$A$6:$A$40,Kasse!B$5&amp;"*",Kalkulation!$C$6:$C$40)*VLOOKUP($A176,Bestellungen!$6:$1048576,MATCH(Kasse!B$5,Bestellungen!$A$5:$X$5,0),0),"")</f>
        <v/>
      </c>
      <c r="C176" s="26" t="str">
        <f>IF(ISERROR(VLOOKUP($A176,Bestellungen!$6:$1048576,MATCH(Kasse!C$5,Bestellungen!$A$5:$X$5,0),0))=FALSE,SUMIF(Kalkulation!$A$6:$A$40,Kasse!C$5&amp;"*",Kalkulation!$C$6:$C$40)*VLOOKUP($A176,Bestellungen!$6:$1048576,MATCH(Kasse!C$5,Bestellungen!$A$5:$X$5,0),0),"")</f>
        <v/>
      </c>
      <c r="D176" s="26" t="str">
        <f>IF(ISERROR(VLOOKUP($A176,Bestellungen!$6:$1048576,MATCH(Kasse!D$5,Bestellungen!$A$5:$X$5,0),0))=FALSE,SUMIF(Kalkulation!$A$6:$A$40,Kasse!D$5&amp;"*",Kalkulation!$C$6:$C$40)*VLOOKUP($A176,Bestellungen!$6:$1048576,MATCH(Kasse!D$5,Bestellungen!$A$5:$X$5,0),0),"")</f>
        <v/>
      </c>
      <c r="E176" s="26" t="str">
        <f>IF(ISERROR(VLOOKUP($A176,Bestellungen!$6:$1048576,MATCH(Kasse!E$5,Bestellungen!$A$5:$X$5,0),0))=FALSE,SUMIF(Kalkulation!$A$6:$A$40,Kasse!E$5&amp;"*",Kalkulation!$C$6:$C$40)*VLOOKUP($A176,Bestellungen!$6:$1048576,MATCH(Kasse!E$5,Bestellungen!$A$5:$X$5,0),0),"")</f>
        <v/>
      </c>
      <c r="F176" s="26" t="str">
        <f>IF(ISERROR(VLOOKUP($A176,Bestellungen!$6:$1048576,MATCH(Kasse!F$5,Bestellungen!$A$5:$X$5,0),0))=FALSE,SUMIF(Kalkulation!$A$6:$A$40,Kasse!F$5&amp;"*",Kalkulation!$C$6:$C$40)*VLOOKUP($A176,Bestellungen!$6:$1048576,MATCH(Kasse!F$5,Bestellungen!$A$5:$X$5,0),0),"")</f>
        <v/>
      </c>
      <c r="G176" s="26" t="str">
        <f>IF(ISERROR(VLOOKUP($A176,Bestellungen!$6:$1048576,MATCH(Kasse!G$5,Bestellungen!$A$5:$X$5,0),0))=FALSE,SUMIF(Kalkulation!$A$6:$A$40,Kasse!G$5&amp;"*",Kalkulation!$C$6:$C$40)*VLOOKUP($A176,Bestellungen!$6:$1048576,MATCH(Kasse!G$5,Bestellungen!$A$5:$X$5,0),0),"")</f>
        <v/>
      </c>
      <c r="H176" s="26" t="str">
        <f>IF(ISERROR(VLOOKUP($A176,Bestellungen!$6:$1048576,MATCH(Kasse!H$5,Bestellungen!$A$5:$X$5,0),0))=FALSE,SUMIF(Kalkulation!$A$6:$A$40,Kasse!H$5&amp;"*",Kalkulation!$C$6:$C$40)*VLOOKUP($A176,Bestellungen!$6:$1048576,MATCH(Kasse!H$5,Bestellungen!$A$5:$X$5,0),0),"")</f>
        <v/>
      </c>
      <c r="I176" s="26" t="str">
        <f>IF(ISERROR(VLOOKUP($A176,Bestellungen!$6:$1048576,MATCH(Kasse!I$5,Bestellungen!$A$5:$X$5,0),0))=FALSE,SUMIF(Kalkulation!$A$6:$A$40,Kasse!I$5&amp;"*",Kalkulation!$C$6:$C$40)*VLOOKUP($A176,Bestellungen!$6:$1048576,MATCH(Kasse!I$5,Bestellungen!$A$5:$X$5,0),0),"")</f>
        <v/>
      </c>
      <c r="J176" s="26" t="str">
        <f>IF(ISERROR(VLOOKUP($A176,Bestellungen!$6:$1048576,MATCH(Kasse!J$5,Bestellungen!$A$5:$X$5,0),0))=FALSE,SUMIF(Kalkulation!$A$6:$A$40,Kasse!J$5&amp;"*",Kalkulation!$C$6:$C$40)*VLOOKUP($A176,Bestellungen!$6:$1048576,MATCH(Kasse!J$5,Bestellungen!$A$5:$X$5,0),0),"")</f>
        <v/>
      </c>
      <c r="K176" s="26" t="str">
        <f>IF(ISERROR(VLOOKUP($A176,Bestellungen!$6:$1048576,MATCH(Kasse!K$5,Bestellungen!$A$5:$X$5,0),0))=FALSE,SUMIF(Kalkulation!$A$6:$A$40,Kasse!K$5&amp;"*",Kalkulation!$C$6:$C$40)*VLOOKUP($A176,Bestellungen!$6:$1048576,MATCH(Kasse!K$5,Bestellungen!$A$5:$X$5,0),0),"")</f>
        <v/>
      </c>
      <c r="L176" s="26" t="str">
        <f>IF(ISERROR(VLOOKUP($A176,Bestellungen!$6:$1048576,MATCH(Kasse!L$5,Bestellungen!$A$5:$X$5,0),0))=FALSE,SUMIF(Kalkulation!$A$6:$A$40,Kasse!L$5&amp;"*",Kalkulation!$C$6:$C$40)*VLOOKUP($A176,Bestellungen!$6:$1048576,MATCH(Kasse!L$5,Bestellungen!$A$5:$X$5,0),0),"")</f>
        <v/>
      </c>
      <c r="M176" s="26" t="str">
        <f>IF(ISERROR(VLOOKUP($A176,Bestellungen!$6:$1048576,MATCH(Kasse!M$5,Bestellungen!$A$5:$X$5,0),0))=FALSE,SUMIF(Kalkulation!$A$6:$A$40,Kasse!M$5&amp;"*",Kalkulation!$C$6:$C$40)*VLOOKUP($A176,Bestellungen!$6:$1048576,MATCH(Kasse!M$5,Bestellungen!$A$5:$X$5,0),0),"")</f>
        <v/>
      </c>
      <c r="N176" s="26" t="str">
        <f>IF(ISERROR(VLOOKUP($A176,Bestellungen!$6:$1048576,MATCH(Kasse!N$5,Bestellungen!$A$5:$X$5,0),0))=FALSE,SUMIF(Kalkulation!$A$6:$A$40,Kasse!N$5&amp;"*",Kalkulation!$C$6:$C$40)*VLOOKUP($A176,Bestellungen!$6:$1048576,MATCH(Kasse!N$5,Bestellungen!$A$5:$X$5,0),0),"")</f>
        <v/>
      </c>
      <c r="O176" s="26" t="str">
        <f>IF(ISERROR(VLOOKUP($A176,Bestellungen!$6:$1048576,MATCH(Kasse!O$5,Bestellungen!$A$5:$X$5,0),0))=FALSE,SUMIF(Kalkulation!$A$6:$A$40,Kasse!O$5&amp;"*",Kalkulation!$C$6:$C$40)*VLOOKUP($A176,Bestellungen!$6:$1048576,MATCH(Kasse!O$5,Bestellungen!$A$5:$X$5,0),0),"")</f>
        <v/>
      </c>
      <c r="P176" s="26" t="str">
        <f>IF(ISERROR(VLOOKUP($A176,Bestellungen!$6:$1048576,MATCH(Kasse!P$5,Bestellungen!$A$5:$X$5,0),0))=FALSE,SUMIF(Kalkulation!$A$6:$A$40,Kasse!P$5&amp;"*",Kalkulation!$C$6:$C$40)*VLOOKUP($A176,Bestellungen!$6:$1048576,MATCH(Kasse!P$5,Bestellungen!$A$5:$X$5,0),0),"")</f>
        <v/>
      </c>
      <c r="Q176" s="26" t="str">
        <f>IF(ISERROR(VLOOKUP($A176,Bestellungen!$6:$1048576,MATCH(Kasse!Q$5,Bestellungen!$A$5:$X$5,0),0))=FALSE,SUMIF(Kalkulation!$A$6:$A$40,Kasse!Q$5&amp;"*",Kalkulation!$C$6:$C$40)*VLOOKUP($A176,Bestellungen!$6:$1048576,MATCH(Kasse!Q$5,Bestellungen!$A$5:$X$5,0),0),"")</f>
        <v/>
      </c>
      <c r="R176" s="26" t="str">
        <f>IF(ISERROR(VLOOKUP($A176,Bestellungen!$6:$1048576,MATCH(Kasse!R$5,Bestellungen!$A$5:$X$5,0),0))=FALSE,SUMIF(Kalkulation!$A$6:$A$40,Kasse!R$5&amp;"*",Kalkulation!$C$6:$C$40)*VLOOKUP($A176,Bestellungen!$6:$1048576,MATCH(Kasse!R$5,Bestellungen!$A$5:$X$5,0),0),"")</f>
        <v/>
      </c>
      <c r="S176" s="26" t="str">
        <f>IF(ISERROR(VLOOKUP($A176,Bestellungen!$6:$1048576,MATCH(Kasse!S$5,Bestellungen!$A$5:$X$5,0),0))=FALSE,SUMIF(Kalkulation!$A$6:$A$40,Kasse!S$5&amp;"*",Kalkulation!$C$6:$C$40)*VLOOKUP($A176,Bestellungen!$6:$1048576,MATCH(Kasse!S$5,Bestellungen!$A$5:$X$5,0),0),"")</f>
        <v/>
      </c>
      <c r="T176" s="26" t="str">
        <f>IF(ISERROR(VLOOKUP($A176,Bestellungen!$6:$1048576,MATCH(Kasse!T$5,Bestellungen!$A$5:$X$5,0),0))=FALSE,SUMIF(Kalkulation!$A$6:$A$40,Kasse!T$5&amp;"*",Kalkulation!$C$6:$C$40)*VLOOKUP($A176,Bestellungen!$6:$1048576,MATCH(Kasse!T$5,Bestellungen!$A$5:$X$5,0),0),"")</f>
        <v/>
      </c>
      <c r="U176" s="26" t="str">
        <f t="shared" si="4"/>
        <v/>
      </c>
      <c r="W176" s="26" t="str">
        <f t="shared" si="5"/>
        <v/>
      </c>
      <c r="X176" s="26"/>
      <c r="Y176" s="26"/>
      <c r="Z176" s="26"/>
      <c r="AA176" s="26"/>
    </row>
    <row r="177" spans="1:27" x14ac:dyDescent="0.25">
      <c r="A177" t="str">
        <f>IF(LEN(Bestellungen!$A177)&gt;0,Bestellungen!$A177,"")</f>
        <v/>
      </c>
      <c r="B177" s="26" t="str">
        <f>IF(ISERROR(VLOOKUP($A177,Bestellungen!$6:$1048576,MATCH(Kasse!B$5,Bestellungen!$A$5:$X$5,0),0))=FALSE,SUMIF(Kalkulation!$A$6:$A$40,Kasse!B$5&amp;"*",Kalkulation!$C$6:$C$40)*VLOOKUP($A177,Bestellungen!$6:$1048576,MATCH(Kasse!B$5,Bestellungen!$A$5:$X$5,0),0),"")</f>
        <v/>
      </c>
      <c r="C177" s="26" t="str">
        <f>IF(ISERROR(VLOOKUP($A177,Bestellungen!$6:$1048576,MATCH(Kasse!C$5,Bestellungen!$A$5:$X$5,0),0))=FALSE,SUMIF(Kalkulation!$A$6:$A$40,Kasse!C$5&amp;"*",Kalkulation!$C$6:$C$40)*VLOOKUP($A177,Bestellungen!$6:$1048576,MATCH(Kasse!C$5,Bestellungen!$A$5:$X$5,0),0),"")</f>
        <v/>
      </c>
      <c r="D177" s="26" t="str">
        <f>IF(ISERROR(VLOOKUP($A177,Bestellungen!$6:$1048576,MATCH(Kasse!D$5,Bestellungen!$A$5:$X$5,0),0))=FALSE,SUMIF(Kalkulation!$A$6:$A$40,Kasse!D$5&amp;"*",Kalkulation!$C$6:$C$40)*VLOOKUP($A177,Bestellungen!$6:$1048576,MATCH(Kasse!D$5,Bestellungen!$A$5:$X$5,0),0),"")</f>
        <v/>
      </c>
      <c r="E177" s="26" t="str">
        <f>IF(ISERROR(VLOOKUP($A177,Bestellungen!$6:$1048576,MATCH(Kasse!E$5,Bestellungen!$A$5:$X$5,0),0))=FALSE,SUMIF(Kalkulation!$A$6:$A$40,Kasse!E$5&amp;"*",Kalkulation!$C$6:$C$40)*VLOOKUP($A177,Bestellungen!$6:$1048576,MATCH(Kasse!E$5,Bestellungen!$A$5:$X$5,0),0),"")</f>
        <v/>
      </c>
      <c r="F177" s="26" t="str">
        <f>IF(ISERROR(VLOOKUP($A177,Bestellungen!$6:$1048576,MATCH(Kasse!F$5,Bestellungen!$A$5:$X$5,0),0))=FALSE,SUMIF(Kalkulation!$A$6:$A$40,Kasse!F$5&amp;"*",Kalkulation!$C$6:$C$40)*VLOOKUP($A177,Bestellungen!$6:$1048576,MATCH(Kasse!F$5,Bestellungen!$A$5:$X$5,0),0),"")</f>
        <v/>
      </c>
      <c r="G177" s="26" t="str">
        <f>IF(ISERROR(VLOOKUP($A177,Bestellungen!$6:$1048576,MATCH(Kasse!G$5,Bestellungen!$A$5:$X$5,0),0))=FALSE,SUMIF(Kalkulation!$A$6:$A$40,Kasse!G$5&amp;"*",Kalkulation!$C$6:$C$40)*VLOOKUP($A177,Bestellungen!$6:$1048576,MATCH(Kasse!G$5,Bestellungen!$A$5:$X$5,0),0),"")</f>
        <v/>
      </c>
      <c r="H177" s="26" t="str">
        <f>IF(ISERROR(VLOOKUP($A177,Bestellungen!$6:$1048576,MATCH(Kasse!H$5,Bestellungen!$A$5:$X$5,0),0))=FALSE,SUMIF(Kalkulation!$A$6:$A$40,Kasse!H$5&amp;"*",Kalkulation!$C$6:$C$40)*VLOOKUP($A177,Bestellungen!$6:$1048576,MATCH(Kasse!H$5,Bestellungen!$A$5:$X$5,0),0),"")</f>
        <v/>
      </c>
      <c r="I177" s="26" t="str">
        <f>IF(ISERROR(VLOOKUP($A177,Bestellungen!$6:$1048576,MATCH(Kasse!I$5,Bestellungen!$A$5:$X$5,0),0))=FALSE,SUMIF(Kalkulation!$A$6:$A$40,Kasse!I$5&amp;"*",Kalkulation!$C$6:$C$40)*VLOOKUP($A177,Bestellungen!$6:$1048576,MATCH(Kasse!I$5,Bestellungen!$A$5:$X$5,0),0),"")</f>
        <v/>
      </c>
      <c r="J177" s="26" t="str">
        <f>IF(ISERROR(VLOOKUP($A177,Bestellungen!$6:$1048576,MATCH(Kasse!J$5,Bestellungen!$A$5:$X$5,0),0))=FALSE,SUMIF(Kalkulation!$A$6:$A$40,Kasse!J$5&amp;"*",Kalkulation!$C$6:$C$40)*VLOOKUP($A177,Bestellungen!$6:$1048576,MATCH(Kasse!J$5,Bestellungen!$A$5:$X$5,0),0),"")</f>
        <v/>
      </c>
      <c r="K177" s="26" t="str">
        <f>IF(ISERROR(VLOOKUP($A177,Bestellungen!$6:$1048576,MATCH(Kasse!K$5,Bestellungen!$A$5:$X$5,0),0))=FALSE,SUMIF(Kalkulation!$A$6:$A$40,Kasse!K$5&amp;"*",Kalkulation!$C$6:$C$40)*VLOOKUP($A177,Bestellungen!$6:$1048576,MATCH(Kasse!K$5,Bestellungen!$A$5:$X$5,0),0),"")</f>
        <v/>
      </c>
      <c r="L177" s="26" t="str">
        <f>IF(ISERROR(VLOOKUP($A177,Bestellungen!$6:$1048576,MATCH(Kasse!L$5,Bestellungen!$A$5:$X$5,0),0))=FALSE,SUMIF(Kalkulation!$A$6:$A$40,Kasse!L$5&amp;"*",Kalkulation!$C$6:$C$40)*VLOOKUP($A177,Bestellungen!$6:$1048576,MATCH(Kasse!L$5,Bestellungen!$A$5:$X$5,0),0),"")</f>
        <v/>
      </c>
      <c r="M177" s="26" t="str">
        <f>IF(ISERROR(VLOOKUP($A177,Bestellungen!$6:$1048576,MATCH(Kasse!M$5,Bestellungen!$A$5:$X$5,0),0))=FALSE,SUMIF(Kalkulation!$A$6:$A$40,Kasse!M$5&amp;"*",Kalkulation!$C$6:$C$40)*VLOOKUP($A177,Bestellungen!$6:$1048576,MATCH(Kasse!M$5,Bestellungen!$A$5:$X$5,0),0),"")</f>
        <v/>
      </c>
      <c r="N177" s="26" t="str">
        <f>IF(ISERROR(VLOOKUP($A177,Bestellungen!$6:$1048576,MATCH(Kasse!N$5,Bestellungen!$A$5:$X$5,0),0))=FALSE,SUMIF(Kalkulation!$A$6:$A$40,Kasse!N$5&amp;"*",Kalkulation!$C$6:$C$40)*VLOOKUP($A177,Bestellungen!$6:$1048576,MATCH(Kasse!N$5,Bestellungen!$A$5:$X$5,0),0),"")</f>
        <v/>
      </c>
      <c r="O177" s="26" t="str">
        <f>IF(ISERROR(VLOOKUP($A177,Bestellungen!$6:$1048576,MATCH(Kasse!O$5,Bestellungen!$A$5:$X$5,0),0))=FALSE,SUMIF(Kalkulation!$A$6:$A$40,Kasse!O$5&amp;"*",Kalkulation!$C$6:$C$40)*VLOOKUP($A177,Bestellungen!$6:$1048576,MATCH(Kasse!O$5,Bestellungen!$A$5:$X$5,0),0),"")</f>
        <v/>
      </c>
      <c r="P177" s="26" t="str">
        <f>IF(ISERROR(VLOOKUP($A177,Bestellungen!$6:$1048576,MATCH(Kasse!P$5,Bestellungen!$A$5:$X$5,0),0))=FALSE,SUMIF(Kalkulation!$A$6:$A$40,Kasse!P$5&amp;"*",Kalkulation!$C$6:$C$40)*VLOOKUP($A177,Bestellungen!$6:$1048576,MATCH(Kasse!P$5,Bestellungen!$A$5:$X$5,0),0),"")</f>
        <v/>
      </c>
      <c r="Q177" s="26" t="str">
        <f>IF(ISERROR(VLOOKUP($A177,Bestellungen!$6:$1048576,MATCH(Kasse!Q$5,Bestellungen!$A$5:$X$5,0),0))=FALSE,SUMIF(Kalkulation!$A$6:$A$40,Kasse!Q$5&amp;"*",Kalkulation!$C$6:$C$40)*VLOOKUP($A177,Bestellungen!$6:$1048576,MATCH(Kasse!Q$5,Bestellungen!$A$5:$X$5,0),0),"")</f>
        <v/>
      </c>
      <c r="R177" s="26" t="str">
        <f>IF(ISERROR(VLOOKUP($A177,Bestellungen!$6:$1048576,MATCH(Kasse!R$5,Bestellungen!$A$5:$X$5,0),0))=FALSE,SUMIF(Kalkulation!$A$6:$A$40,Kasse!R$5&amp;"*",Kalkulation!$C$6:$C$40)*VLOOKUP($A177,Bestellungen!$6:$1048576,MATCH(Kasse!R$5,Bestellungen!$A$5:$X$5,0),0),"")</f>
        <v/>
      </c>
      <c r="S177" s="26" t="str">
        <f>IF(ISERROR(VLOOKUP($A177,Bestellungen!$6:$1048576,MATCH(Kasse!S$5,Bestellungen!$A$5:$X$5,0),0))=FALSE,SUMIF(Kalkulation!$A$6:$A$40,Kasse!S$5&amp;"*",Kalkulation!$C$6:$C$40)*VLOOKUP($A177,Bestellungen!$6:$1048576,MATCH(Kasse!S$5,Bestellungen!$A$5:$X$5,0),0),"")</f>
        <v/>
      </c>
      <c r="T177" s="26" t="str">
        <f>IF(ISERROR(VLOOKUP($A177,Bestellungen!$6:$1048576,MATCH(Kasse!T$5,Bestellungen!$A$5:$X$5,0),0))=FALSE,SUMIF(Kalkulation!$A$6:$A$40,Kasse!T$5&amp;"*",Kalkulation!$C$6:$C$40)*VLOOKUP($A177,Bestellungen!$6:$1048576,MATCH(Kasse!T$5,Bestellungen!$A$5:$X$5,0),0),"")</f>
        <v/>
      </c>
      <c r="U177" s="26" t="str">
        <f t="shared" si="4"/>
        <v/>
      </c>
      <c r="W177" s="26" t="str">
        <f t="shared" si="5"/>
        <v/>
      </c>
      <c r="X177" s="26"/>
      <c r="Y177" s="26"/>
      <c r="Z177" s="26"/>
      <c r="AA177" s="26"/>
    </row>
    <row r="178" spans="1:27" x14ac:dyDescent="0.25">
      <c r="A178" t="str">
        <f>IF(LEN(Bestellungen!$A178)&gt;0,Bestellungen!$A178,"")</f>
        <v/>
      </c>
      <c r="B178" s="26" t="str">
        <f>IF(ISERROR(VLOOKUP($A178,Bestellungen!$6:$1048576,MATCH(Kasse!B$5,Bestellungen!$A$5:$X$5,0),0))=FALSE,SUMIF(Kalkulation!$A$6:$A$40,Kasse!B$5&amp;"*",Kalkulation!$C$6:$C$40)*VLOOKUP($A178,Bestellungen!$6:$1048576,MATCH(Kasse!B$5,Bestellungen!$A$5:$X$5,0),0),"")</f>
        <v/>
      </c>
      <c r="C178" s="26" t="str">
        <f>IF(ISERROR(VLOOKUP($A178,Bestellungen!$6:$1048576,MATCH(Kasse!C$5,Bestellungen!$A$5:$X$5,0),0))=FALSE,SUMIF(Kalkulation!$A$6:$A$40,Kasse!C$5&amp;"*",Kalkulation!$C$6:$C$40)*VLOOKUP($A178,Bestellungen!$6:$1048576,MATCH(Kasse!C$5,Bestellungen!$A$5:$X$5,0),0),"")</f>
        <v/>
      </c>
      <c r="D178" s="26" t="str">
        <f>IF(ISERROR(VLOOKUP($A178,Bestellungen!$6:$1048576,MATCH(Kasse!D$5,Bestellungen!$A$5:$X$5,0),0))=FALSE,SUMIF(Kalkulation!$A$6:$A$40,Kasse!D$5&amp;"*",Kalkulation!$C$6:$C$40)*VLOOKUP($A178,Bestellungen!$6:$1048576,MATCH(Kasse!D$5,Bestellungen!$A$5:$X$5,0),0),"")</f>
        <v/>
      </c>
      <c r="E178" s="26" t="str">
        <f>IF(ISERROR(VLOOKUP($A178,Bestellungen!$6:$1048576,MATCH(Kasse!E$5,Bestellungen!$A$5:$X$5,0),0))=FALSE,SUMIF(Kalkulation!$A$6:$A$40,Kasse!E$5&amp;"*",Kalkulation!$C$6:$C$40)*VLOOKUP($A178,Bestellungen!$6:$1048576,MATCH(Kasse!E$5,Bestellungen!$A$5:$X$5,0),0),"")</f>
        <v/>
      </c>
      <c r="F178" s="26" t="str">
        <f>IF(ISERROR(VLOOKUP($A178,Bestellungen!$6:$1048576,MATCH(Kasse!F$5,Bestellungen!$A$5:$X$5,0),0))=FALSE,SUMIF(Kalkulation!$A$6:$A$40,Kasse!F$5&amp;"*",Kalkulation!$C$6:$C$40)*VLOOKUP($A178,Bestellungen!$6:$1048576,MATCH(Kasse!F$5,Bestellungen!$A$5:$X$5,0),0),"")</f>
        <v/>
      </c>
      <c r="G178" s="26" t="str">
        <f>IF(ISERROR(VLOOKUP($A178,Bestellungen!$6:$1048576,MATCH(Kasse!G$5,Bestellungen!$A$5:$X$5,0),0))=FALSE,SUMIF(Kalkulation!$A$6:$A$40,Kasse!G$5&amp;"*",Kalkulation!$C$6:$C$40)*VLOOKUP($A178,Bestellungen!$6:$1048576,MATCH(Kasse!G$5,Bestellungen!$A$5:$X$5,0),0),"")</f>
        <v/>
      </c>
      <c r="H178" s="26" t="str">
        <f>IF(ISERROR(VLOOKUP($A178,Bestellungen!$6:$1048576,MATCH(Kasse!H$5,Bestellungen!$A$5:$X$5,0),0))=FALSE,SUMIF(Kalkulation!$A$6:$A$40,Kasse!H$5&amp;"*",Kalkulation!$C$6:$C$40)*VLOOKUP($A178,Bestellungen!$6:$1048576,MATCH(Kasse!H$5,Bestellungen!$A$5:$X$5,0),0),"")</f>
        <v/>
      </c>
      <c r="I178" s="26" t="str">
        <f>IF(ISERROR(VLOOKUP($A178,Bestellungen!$6:$1048576,MATCH(Kasse!I$5,Bestellungen!$A$5:$X$5,0),0))=FALSE,SUMIF(Kalkulation!$A$6:$A$40,Kasse!I$5&amp;"*",Kalkulation!$C$6:$C$40)*VLOOKUP($A178,Bestellungen!$6:$1048576,MATCH(Kasse!I$5,Bestellungen!$A$5:$X$5,0),0),"")</f>
        <v/>
      </c>
      <c r="J178" s="26" t="str">
        <f>IF(ISERROR(VLOOKUP($A178,Bestellungen!$6:$1048576,MATCH(Kasse!J$5,Bestellungen!$A$5:$X$5,0),0))=FALSE,SUMIF(Kalkulation!$A$6:$A$40,Kasse!J$5&amp;"*",Kalkulation!$C$6:$C$40)*VLOOKUP($A178,Bestellungen!$6:$1048576,MATCH(Kasse!J$5,Bestellungen!$A$5:$X$5,0),0),"")</f>
        <v/>
      </c>
      <c r="K178" s="26" t="str">
        <f>IF(ISERROR(VLOOKUP($A178,Bestellungen!$6:$1048576,MATCH(Kasse!K$5,Bestellungen!$A$5:$X$5,0),0))=FALSE,SUMIF(Kalkulation!$A$6:$A$40,Kasse!K$5&amp;"*",Kalkulation!$C$6:$C$40)*VLOOKUP($A178,Bestellungen!$6:$1048576,MATCH(Kasse!K$5,Bestellungen!$A$5:$X$5,0),0),"")</f>
        <v/>
      </c>
      <c r="L178" s="26" t="str">
        <f>IF(ISERROR(VLOOKUP($A178,Bestellungen!$6:$1048576,MATCH(Kasse!L$5,Bestellungen!$A$5:$X$5,0),0))=FALSE,SUMIF(Kalkulation!$A$6:$A$40,Kasse!L$5&amp;"*",Kalkulation!$C$6:$C$40)*VLOOKUP($A178,Bestellungen!$6:$1048576,MATCH(Kasse!L$5,Bestellungen!$A$5:$X$5,0),0),"")</f>
        <v/>
      </c>
      <c r="M178" s="26" t="str">
        <f>IF(ISERROR(VLOOKUP($A178,Bestellungen!$6:$1048576,MATCH(Kasse!M$5,Bestellungen!$A$5:$X$5,0),0))=FALSE,SUMIF(Kalkulation!$A$6:$A$40,Kasse!M$5&amp;"*",Kalkulation!$C$6:$C$40)*VLOOKUP($A178,Bestellungen!$6:$1048576,MATCH(Kasse!M$5,Bestellungen!$A$5:$X$5,0),0),"")</f>
        <v/>
      </c>
      <c r="N178" s="26" t="str">
        <f>IF(ISERROR(VLOOKUP($A178,Bestellungen!$6:$1048576,MATCH(Kasse!N$5,Bestellungen!$A$5:$X$5,0),0))=FALSE,SUMIF(Kalkulation!$A$6:$A$40,Kasse!N$5&amp;"*",Kalkulation!$C$6:$C$40)*VLOOKUP($A178,Bestellungen!$6:$1048576,MATCH(Kasse!N$5,Bestellungen!$A$5:$X$5,0),0),"")</f>
        <v/>
      </c>
      <c r="O178" s="26" t="str">
        <f>IF(ISERROR(VLOOKUP($A178,Bestellungen!$6:$1048576,MATCH(Kasse!O$5,Bestellungen!$A$5:$X$5,0),0))=FALSE,SUMIF(Kalkulation!$A$6:$A$40,Kasse!O$5&amp;"*",Kalkulation!$C$6:$C$40)*VLOOKUP($A178,Bestellungen!$6:$1048576,MATCH(Kasse!O$5,Bestellungen!$A$5:$X$5,0),0),"")</f>
        <v/>
      </c>
      <c r="P178" s="26" t="str">
        <f>IF(ISERROR(VLOOKUP($A178,Bestellungen!$6:$1048576,MATCH(Kasse!P$5,Bestellungen!$A$5:$X$5,0),0))=FALSE,SUMIF(Kalkulation!$A$6:$A$40,Kasse!P$5&amp;"*",Kalkulation!$C$6:$C$40)*VLOOKUP($A178,Bestellungen!$6:$1048576,MATCH(Kasse!P$5,Bestellungen!$A$5:$X$5,0),0),"")</f>
        <v/>
      </c>
      <c r="Q178" s="26" t="str">
        <f>IF(ISERROR(VLOOKUP($A178,Bestellungen!$6:$1048576,MATCH(Kasse!Q$5,Bestellungen!$A$5:$X$5,0),0))=FALSE,SUMIF(Kalkulation!$A$6:$A$40,Kasse!Q$5&amp;"*",Kalkulation!$C$6:$C$40)*VLOOKUP($A178,Bestellungen!$6:$1048576,MATCH(Kasse!Q$5,Bestellungen!$A$5:$X$5,0),0),"")</f>
        <v/>
      </c>
      <c r="R178" s="26" t="str">
        <f>IF(ISERROR(VLOOKUP($A178,Bestellungen!$6:$1048576,MATCH(Kasse!R$5,Bestellungen!$A$5:$X$5,0),0))=FALSE,SUMIF(Kalkulation!$A$6:$A$40,Kasse!R$5&amp;"*",Kalkulation!$C$6:$C$40)*VLOOKUP($A178,Bestellungen!$6:$1048576,MATCH(Kasse!R$5,Bestellungen!$A$5:$X$5,0),0),"")</f>
        <v/>
      </c>
      <c r="S178" s="26" t="str">
        <f>IF(ISERROR(VLOOKUP($A178,Bestellungen!$6:$1048576,MATCH(Kasse!S$5,Bestellungen!$A$5:$X$5,0),0))=FALSE,SUMIF(Kalkulation!$A$6:$A$40,Kasse!S$5&amp;"*",Kalkulation!$C$6:$C$40)*VLOOKUP($A178,Bestellungen!$6:$1048576,MATCH(Kasse!S$5,Bestellungen!$A$5:$X$5,0),0),"")</f>
        <v/>
      </c>
      <c r="T178" s="26" t="str">
        <f>IF(ISERROR(VLOOKUP($A178,Bestellungen!$6:$1048576,MATCH(Kasse!T$5,Bestellungen!$A$5:$X$5,0),0))=FALSE,SUMIF(Kalkulation!$A$6:$A$40,Kasse!T$5&amp;"*",Kalkulation!$C$6:$C$40)*VLOOKUP($A178,Bestellungen!$6:$1048576,MATCH(Kasse!T$5,Bestellungen!$A$5:$X$5,0),0),"")</f>
        <v/>
      </c>
      <c r="U178" s="26" t="str">
        <f t="shared" si="4"/>
        <v/>
      </c>
      <c r="W178" s="26" t="str">
        <f t="shared" si="5"/>
        <v/>
      </c>
      <c r="X178" s="26"/>
      <c r="Y178" s="26"/>
      <c r="Z178" s="26"/>
      <c r="AA178" s="26"/>
    </row>
    <row r="179" spans="1:27" x14ac:dyDescent="0.25">
      <c r="A179" t="str">
        <f>IF(LEN(Bestellungen!$A179)&gt;0,Bestellungen!$A179,"")</f>
        <v/>
      </c>
      <c r="B179" s="26" t="str">
        <f>IF(ISERROR(VLOOKUP($A179,Bestellungen!$6:$1048576,MATCH(Kasse!B$5,Bestellungen!$A$5:$X$5,0),0))=FALSE,SUMIF(Kalkulation!$A$6:$A$40,Kasse!B$5&amp;"*",Kalkulation!$C$6:$C$40)*VLOOKUP($A179,Bestellungen!$6:$1048576,MATCH(Kasse!B$5,Bestellungen!$A$5:$X$5,0),0),"")</f>
        <v/>
      </c>
      <c r="C179" s="26" t="str">
        <f>IF(ISERROR(VLOOKUP($A179,Bestellungen!$6:$1048576,MATCH(Kasse!C$5,Bestellungen!$A$5:$X$5,0),0))=FALSE,SUMIF(Kalkulation!$A$6:$A$40,Kasse!C$5&amp;"*",Kalkulation!$C$6:$C$40)*VLOOKUP($A179,Bestellungen!$6:$1048576,MATCH(Kasse!C$5,Bestellungen!$A$5:$X$5,0),0),"")</f>
        <v/>
      </c>
      <c r="D179" s="26" t="str">
        <f>IF(ISERROR(VLOOKUP($A179,Bestellungen!$6:$1048576,MATCH(Kasse!D$5,Bestellungen!$A$5:$X$5,0),0))=FALSE,SUMIF(Kalkulation!$A$6:$A$40,Kasse!D$5&amp;"*",Kalkulation!$C$6:$C$40)*VLOOKUP($A179,Bestellungen!$6:$1048576,MATCH(Kasse!D$5,Bestellungen!$A$5:$X$5,0),0),"")</f>
        <v/>
      </c>
      <c r="E179" s="26" t="str">
        <f>IF(ISERROR(VLOOKUP($A179,Bestellungen!$6:$1048576,MATCH(Kasse!E$5,Bestellungen!$A$5:$X$5,0),0))=FALSE,SUMIF(Kalkulation!$A$6:$A$40,Kasse!E$5&amp;"*",Kalkulation!$C$6:$C$40)*VLOOKUP($A179,Bestellungen!$6:$1048576,MATCH(Kasse!E$5,Bestellungen!$A$5:$X$5,0),0),"")</f>
        <v/>
      </c>
      <c r="F179" s="26" t="str">
        <f>IF(ISERROR(VLOOKUP($A179,Bestellungen!$6:$1048576,MATCH(Kasse!F$5,Bestellungen!$A$5:$X$5,0),0))=FALSE,SUMIF(Kalkulation!$A$6:$A$40,Kasse!F$5&amp;"*",Kalkulation!$C$6:$C$40)*VLOOKUP($A179,Bestellungen!$6:$1048576,MATCH(Kasse!F$5,Bestellungen!$A$5:$X$5,0),0),"")</f>
        <v/>
      </c>
      <c r="G179" s="26" t="str">
        <f>IF(ISERROR(VLOOKUP($A179,Bestellungen!$6:$1048576,MATCH(Kasse!G$5,Bestellungen!$A$5:$X$5,0),0))=FALSE,SUMIF(Kalkulation!$A$6:$A$40,Kasse!G$5&amp;"*",Kalkulation!$C$6:$C$40)*VLOOKUP($A179,Bestellungen!$6:$1048576,MATCH(Kasse!G$5,Bestellungen!$A$5:$X$5,0),0),"")</f>
        <v/>
      </c>
      <c r="H179" s="26" t="str">
        <f>IF(ISERROR(VLOOKUP($A179,Bestellungen!$6:$1048576,MATCH(Kasse!H$5,Bestellungen!$A$5:$X$5,0),0))=FALSE,SUMIF(Kalkulation!$A$6:$A$40,Kasse!H$5&amp;"*",Kalkulation!$C$6:$C$40)*VLOOKUP($A179,Bestellungen!$6:$1048576,MATCH(Kasse!H$5,Bestellungen!$A$5:$X$5,0),0),"")</f>
        <v/>
      </c>
      <c r="I179" s="26" t="str">
        <f>IF(ISERROR(VLOOKUP($A179,Bestellungen!$6:$1048576,MATCH(Kasse!I$5,Bestellungen!$A$5:$X$5,0),0))=FALSE,SUMIF(Kalkulation!$A$6:$A$40,Kasse!I$5&amp;"*",Kalkulation!$C$6:$C$40)*VLOOKUP($A179,Bestellungen!$6:$1048576,MATCH(Kasse!I$5,Bestellungen!$A$5:$X$5,0),0),"")</f>
        <v/>
      </c>
      <c r="J179" s="26" t="str">
        <f>IF(ISERROR(VLOOKUP($A179,Bestellungen!$6:$1048576,MATCH(Kasse!J$5,Bestellungen!$A$5:$X$5,0),0))=FALSE,SUMIF(Kalkulation!$A$6:$A$40,Kasse!J$5&amp;"*",Kalkulation!$C$6:$C$40)*VLOOKUP($A179,Bestellungen!$6:$1048576,MATCH(Kasse!J$5,Bestellungen!$A$5:$X$5,0),0),"")</f>
        <v/>
      </c>
      <c r="K179" s="26" t="str">
        <f>IF(ISERROR(VLOOKUP($A179,Bestellungen!$6:$1048576,MATCH(Kasse!K$5,Bestellungen!$A$5:$X$5,0),0))=FALSE,SUMIF(Kalkulation!$A$6:$A$40,Kasse!K$5&amp;"*",Kalkulation!$C$6:$C$40)*VLOOKUP($A179,Bestellungen!$6:$1048576,MATCH(Kasse!K$5,Bestellungen!$A$5:$X$5,0),0),"")</f>
        <v/>
      </c>
      <c r="L179" s="26" t="str">
        <f>IF(ISERROR(VLOOKUP($A179,Bestellungen!$6:$1048576,MATCH(Kasse!L$5,Bestellungen!$A$5:$X$5,0),0))=FALSE,SUMIF(Kalkulation!$A$6:$A$40,Kasse!L$5&amp;"*",Kalkulation!$C$6:$C$40)*VLOOKUP($A179,Bestellungen!$6:$1048576,MATCH(Kasse!L$5,Bestellungen!$A$5:$X$5,0),0),"")</f>
        <v/>
      </c>
      <c r="M179" s="26" t="str">
        <f>IF(ISERROR(VLOOKUP($A179,Bestellungen!$6:$1048576,MATCH(Kasse!M$5,Bestellungen!$A$5:$X$5,0),0))=FALSE,SUMIF(Kalkulation!$A$6:$A$40,Kasse!M$5&amp;"*",Kalkulation!$C$6:$C$40)*VLOOKUP($A179,Bestellungen!$6:$1048576,MATCH(Kasse!M$5,Bestellungen!$A$5:$X$5,0),0),"")</f>
        <v/>
      </c>
      <c r="N179" s="26" t="str">
        <f>IF(ISERROR(VLOOKUP($A179,Bestellungen!$6:$1048576,MATCH(Kasse!N$5,Bestellungen!$A$5:$X$5,0),0))=FALSE,SUMIF(Kalkulation!$A$6:$A$40,Kasse!N$5&amp;"*",Kalkulation!$C$6:$C$40)*VLOOKUP($A179,Bestellungen!$6:$1048576,MATCH(Kasse!N$5,Bestellungen!$A$5:$X$5,0),0),"")</f>
        <v/>
      </c>
      <c r="O179" s="26" t="str">
        <f>IF(ISERROR(VLOOKUP($A179,Bestellungen!$6:$1048576,MATCH(Kasse!O$5,Bestellungen!$A$5:$X$5,0),0))=FALSE,SUMIF(Kalkulation!$A$6:$A$40,Kasse!O$5&amp;"*",Kalkulation!$C$6:$C$40)*VLOOKUP($A179,Bestellungen!$6:$1048576,MATCH(Kasse!O$5,Bestellungen!$A$5:$X$5,0),0),"")</f>
        <v/>
      </c>
      <c r="P179" s="26" t="str">
        <f>IF(ISERROR(VLOOKUP($A179,Bestellungen!$6:$1048576,MATCH(Kasse!P$5,Bestellungen!$A$5:$X$5,0),0))=FALSE,SUMIF(Kalkulation!$A$6:$A$40,Kasse!P$5&amp;"*",Kalkulation!$C$6:$C$40)*VLOOKUP($A179,Bestellungen!$6:$1048576,MATCH(Kasse!P$5,Bestellungen!$A$5:$X$5,0),0),"")</f>
        <v/>
      </c>
      <c r="Q179" s="26" t="str">
        <f>IF(ISERROR(VLOOKUP($A179,Bestellungen!$6:$1048576,MATCH(Kasse!Q$5,Bestellungen!$A$5:$X$5,0),0))=FALSE,SUMIF(Kalkulation!$A$6:$A$40,Kasse!Q$5&amp;"*",Kalkulation!$C$6:$C$40)*VLOOKUP($A179,Bestellungen!$6:$1048576,MATCH(Kasse!Q$5,Bestellungen!$A$5:$X$5,0),0),"")</f>
        <v/>
      </c>
      <c r="R179" s="26" t="str">
        <f>IF(ISERROR(VLOOKUP($A179,Bestellungen!$6:$1048576,MATCH(Kasse!R$5,Bestellungen!$A$5:$X$5,0),0))=FALSE,SUMIF(Kalkulation!$A$6:$A$40,Kasse!R$5&amp;"*",Kalkulation!$C$6:$C$40)*VLOOKUP($A179,Bestellungen!$6:$1048576,MATCH(Kasse!R$5,Bestellungen!$A$5:$X$5,0),0),"")</f>
        <v/>
      </c>
      <c r="S179" s="26" t="str">
        <f>IF(ISERROR(VLOOKUP($A179,Bestellungen!$6:$1048576,MATCH(Kasse!S$5,Bestellungen!$A$5:$X$5,0),0))=FALSE,SUMIF(Kalkulation!$A$6:$A$40,Kasse!S$5&amp;"*",Kalkulation!$C$6:$C$40)*VLOOKUP($A179,Bestellungen!$6:$1048576,MATCH(Kasse!S$5,Bestellungen!$A$5:$X$5,0),0),"")</f>
        <v/>
      </c>
      <c r="T179" s="26" t="str">
        <f>IF(ISERROR(VLOOKUP($A179,Bestellungen!$6:$1048576,MATCH(Kasse!T$5,Bestellungen!$A$5:$X$5,0),0))=FALSE,SUMIF(Kalkulation!$A$6:$A$40,Kasse!T$5&amp;"*",Kalkulation!$C$6:$C$40)*VLOOKUP($A179,Bestellungen!$6:$1048576,MATCH(Kasse!T$5,Bestellungen!$A$5:$X$5,0),0),"")</f>
        <v/>
      </c>
      <c r="U179" s="26" t="str">
        <f t="shared" si="4"/>
        <v/>
      </c>
      <c r="W179" s="26" t="str">
        <f t="shared" si="5"/>
        <v/>
      </c>
      <c r="X179" s="26"/>
      <c r="Y179" s="26"/>
      <c r="Z179" s="26"/>
      <c r="AA179" s="26"/>
    </row>
    <row r="180" spans="1:27" x14ac:dyDescent="0.25">
      <c r="A180" t="str">
        <f>IF(LEN(Bestellungen!$A180)&gt;0,Bestellungen!$A180,"")</f>
        <v/>
      </c>
      <c r="B180" s="26" t="str">
        <f>IF(ISERROR(VLOOKUP($A180,Bestellungen!$6:$1048576,MATCH(Kasse!B$5,Bestellungen!$A$5:$X$5,0),0))=FALSE,SUMIF(Kalkulation!$A$6:$A$40,Kasse!B$5&amp;"*",Kalkulation!$C$6:$C$40)*VLOOKUP($A180,Bestellungen!$6:$1048576,MATCH(Kasse!B$5,Bestellungen!$A$5:$X$5,0),0),"")</f>
        <v/>
      </c>
      <c r="C180" s="26" t="str">
        <f>IF(ISERROR(VLOOKUP($A180,Bestellungen!$6:$1048576,MATCH(Kasse!C$5,Bestellungen!$A$5:$X$5,0),0))=FALSE,SUMIF(Kalkulation!$A$6:$A$40,Kasse!C$5&amp;"*",Kalkulation!$C$6:$C$40)*VLOOKUP($A180,Bestellungen!$6:$1048576,MATCH(Kasse!C$5,Bestellungen!$A$5:$X$5,0),0),"")</f>
        <v/>
      </c>
      <c r="D180" s="26" t="str">
        <f>IF(ISERROR(VLOOKUP($A180,Bestellungen!$6:$1048576,MATCH(Kasse!D$5,Bestellungen!$A$5:$X$5,0),0))=FALSE,SUMIF(Kalkulation!$A$6:$A$40,Kasse!D$5&amp;"*",Kalkulation!$C$6:$C$40)*VLOOKUP($A180,Bestellungen!$6:$1048576,MATCH(Kasse!D$5,Bestellungen!$A$5:$X$5,0),0),"")</f>
        <v/>
      </c>
      <c r="E180" s="26" t="str">
        <f>IF(ISERROR(VLOOKUP($A180,Bestellungen!$6:$1048576,MATCH(Kasse!E$5,Bestellungen!$A$5:$X$5,0),0))=FALSE,SUMIF(Kalkulation!$A$6:$A$40,Kasse!E$5&amp;"*",Kalkulation!$C$6:$C$40)*VLOOKUP($A180,Bestellungen!$6:$1048576,MATCH(Kasse!E$5,Bestellungen!$A$5:$X$5,0),0),"")</f>
        <v/>
      </c>
      <c r="F180" s="26" t="str">
        <f>IF(ISERROR(VLOOKUP($A180,Bestellungen!$6:$1048576,MATCH(Kasse!F$5,Bestellungen!$A$5:$X$5,0),0))=FALSE,SUMIF(Kalkulation!$A$6:$A$40,Kasse!F$5&amp;"*",Kalkulation!$C$6:$C$40)*VLOOKUP($A180,Bestellungen!$6:$1048576,MATCH(Kasse!F$5,Bestellungen!$A$5:$X$5,0),0),"")</f>
        <v/>
      </c>
      <c r="G180" s="26" t="str">
        <f>IF(ISERROR(VLOOKUP($A180,Bestellungen!$6:$1048576,MATCH(Kasse!G$5,Bestellungen!$A$5:$X$5,0),0))=FALSE,SUMIF(Kalkulation!$A$6:$A$40,Kasse!G$5&amp;"*",Kalkulation!$C$6:$C$40)*VLOOKUP($A180,Bestellungen!$6:$1048576,MATCH(Kasse!G$5,Bestellungen!$A$5:$X$5,0),0),"")</f>
        <v/>
      </c>
      <c r="H180" s="26" t="str">
        <f>IF(ISERROR(VLOOKUP($A180,Bestellungen!$6:$1048576,MATCH(Kasse!H$5,Bestellungen!$A$5:$X$5,0),0))=FALSE,SUMIF(Kalkulation!$A$6:$A$40,Kasse!H$5&amp;"*",Kalkulation!$C$6:$C$40)*VLOOKUP($A180,Bestellungen!$6:$1048576,MATCH(Kasse!H$5,Bestellungen!$A$5:$X$5,0),0),"")</f>
        <v/>
      </c>
      <c r="I180" s="26" t="str">
        <f>IF(ISERROR(VLOOKUP($A180,Bestellungen!$6:$1048576,MATCH(Kasse!I$5,Bestellungen!$A$5:$X$5,0),0))=FALSE,SUMIF(Kalkulation!$A$6:$A$40,Kasse!I$5&amp;"*",Kalkulation!$C$6:$C$40)*VLOOKUP($A180,Bestellungen!$6:$1048576,MATCH(Kasse!I$5,Bestellungen!$A$5:$X$5,0),0),"")</f>
        <v/>
      </c>
      <c r="J180" s="26" t="str">
        <f>IF(ISERROR(VLOOKUP($A180,Bestellungen!$6:$1048576,MATCH(Kasse!J$5,Bestellungen!$A$5:$X$5,0),0))=FALSE,SUMIF(Kalkulation!$A$6:$A$40,Kasse!J$5&amp;"*",Kalkulation!$C$6:$C$40)*VLOOKUP($A180,Bestellungen!$6:$1048576,MATCH(Kasse!J$5,Bestellungen!$A$5:$X$5,0),0),"")</f>
        <v/>
      </c>
      <c r="K180" s="26" t="str">
        <f>IF(ISERROR(VLOOKUP($A180,Bestellungen!$6:$1048576,MATCH(Kasse!K$5,Bestellungen!$A$5:$X$5,0),0))=FALSE,SUMIF(Kalkulation!$A$6:$A$40,Kasse!K$5&amp;"*",Kalkulation!$C$6:$C$40)*VLOOKUP($A180,Bestellungen!$6:$1048576,MATCH(Kasse!K$5,Bestellungen!$A$5:$X$5,0),0),"")</f>
        <v/>
      </c>
      <c r="L180" s="26" t="str">
        <f>IF(ISERROR(VLOOKUP($A180,Bestellungen!$6:$1048576,MATCH(Kasse!L$5,Bestellungen!$A$5:$X$5,0),0))=FALSE,SUMIF(Kalkulation!$A$6:$A$40,Kasse!L$5&amp;"*",Kalkulation!$C$6:$C$40)*VLOOKUP($A180,Bestellungen!$6:$1048576,MATCH(Kasse!L$5,Bestellungen!$A$5:$X$5,0),0),"")</f>
        <v/>
      </c>
      <c r="M180" s="26" t="str">
        <f>IF(ISERROR(VLOOKUP($A180,Bestellungen!$6:$1048576,MATCH(Kasse!M$5,Bestellungen!$A$5:$X$5,0),0))=FALSE,SUMIF(Kalkulation!$A$6:$A$40,Kasse!M$5&amp;"*",Kalkulation!$C$6:$C$40)*VLOOKUP($A180,Bestellungen!$6:$1048576,MATCH(Kasse!M$5,Bestellungen!$A$5:$X$5,0),0),"")</f>
        <v/>
      </c>
      <c r="N180" s="26" t="str">
        <f>IF(ISERROR(VLOOKUP($A180,Bestellungen!$6:$1048576,MATCH(Kasse!N$5,Bestellungen!$A$5:$X$5,0),0))=FALSE,SUMIF(Kalkulation!$A$6:$A$40,Kasse!N$5&amp;"*",Kalkulation!$C$6:$C$40)*VLOOKUP($A180,Bestellungen!$6:$1048576,MATCH(Kasse!N$5,Bestellungen!$A$5:$X$5,0),0),"")</f>
        <v/>
      </c>
      <c r="O180" s="26" t="str">
        <f>IF(ISERROR(VLOOKUP($A180,Bestellungen!$6:$1048576,MATCH(Kasse!O$5,Bestellungen!$A$5:$X$5,0),0))=FALSE,SUMIF(Kalkulation!$A$6:$A$40,Kasse!O$5&amp;"*",Kalkulation!$C$6:$C$40)*VLOOKUP($A180,Bestellungen!$6:$1048576,MATCH(Kasse!O$5,Bestellungen!$A$5:$X$5,0),0),"")</f>
        <v/>
      </c>
      <c r="P180" s="26" t="str">
        <f>IF(ISERROR(VLOOKUP($A180,Bestellungen!$6:$1048576,MATCH(Kasse!P$5,Bestellungen!$A$5:$X$5,0),0))=FALSE,SUMIF(Kalkulation!$A$6:$A$40,Kasse!P$5&amp;"*",Kalkulation!$C$6:$C$40)*VLOOKUP($A180,Bestellungen!$6:$1048576,MATCH(Kasse!P$5,Bestellungen!$A$5:$X$5,0),0),"")</f>
        <v/>
      </c>
      <c r="Q180" s="26" t="str">
        <f>IF(ISERROR(VLOOKUP($A180,Bestellungen!$6:$1048576,MATCH(Kasse!Q$5,Bestellungen!$A$5:$X$5,0),0))=FALSE,SUMIF(Kalkulation!$A$6:$A$40,Kasse!Q$5&amp;"*",Kalkulation!$C$6:$C$40)*VLOOKUP($A180,Bestellungen!$6:$1048576,MATCH(Kasse!Q$5,Bestellungen!$A$5:$X$5,0),0),"")</f>
        <v/>
      </c>
      <c r="R180" s="26" t="str">
        <f>IF(ISERROR(VLOOKUP($A180,Bestellungen!$6:$1048576,MATCH(Kasse!R$5,Bestellungen!$A$5:$X$5,0),0))=FALSE,SUMIF(Kalkulation!$A$6:$A$40,Kasse!R$5&amp;"*",Kalkulation!$C$6:$C$40)*VLOOKUP($A180,Bestellungen!$6:$1048576,MATCH(Kasse!R$5,Bestellungen!$A$5:$X$5,0),0),"")</f>
        <v/>
      </c>
      <c r="S180" s="26" t="str">
        <f>IF(ISERROR(VLOOKUP($A180,Bestellungen!$6:$1048576,MATCH(Kasse!S$5,Bestellungen!$A$5:$X$5,0),0))=FALSE,SUMIF(Kalkulation!$A$6:$A$40,Kasse!S$5&amp;"*",Kalkulation!$C$6:$C$40)*VLOOKUP($A180,Bestellungen!$6:$1048576,MATCH(Kasse!S$5,Bestellungen!$A$5:$X$5,0),0),"")</f>
        <v/>
      </c>
      <c r="T180" s="26" t="str">
        <f>IF(ISERROR(VLOOKUP($A180,Bestellungen!$6:$1048576,MATCH(Kasse!T$5,Bestellungen!$A$5:$X$5,0),0))=FALSE,SUMIF(Kalkulation!$A$6:$A$40,Kasse!T$5&amp;"*",Kalkulation!$C$6:$C$40)*VLOOKUP($A180,Bestellungen!$6:$1048576,MATCH(Kasse!T$5,Bestellungen!$A$5:$X$5,0),0),"")</f>
        <v/>
      </c>
      <c r="U180" s="26" t="str">
        <f t="shared" si="4"/>
        <v/>
      </c>
      <c r="W180" s="26" t="str">
        <f t="shared" si="5"/>
        <v/>
      </c>
      <c r="X180" s="26"/>
      <c r="Y180" s="26"/>
      <c r="Z180" s="26"/>
      <c r="AA180" s="26"/>
    </row>
    <row r="181" spans="1:27" x14ac:dyDescent="0.25">
      <c r="A181" t="str">
        <f>IF(LEN(Bestellungen!$A181)&gt;0,Bestellungen!$A181,"")</f>
        <v/>
      </c>
      <c r="B181" s="26" t="str">
        <f>IF(ISERROR(VLOOKUP($A181,Bestellungen!$6:$1048576,MATCH(Kasse!B$5,Bestellungen!$A$5:$X$5,0),0))=FALSE,SUMIF(Kalkulation!$A$6:$A$40,Kasse!B$5&amp;"*",Kalkulation!$C$6:$C$40)*VLOOKUP($A181,Bestellungen!$6:$1048576,MATCH(Kasse!B$5,Bestellungen!$A$5:$X$5,0),0),"")</f>
        <v/>
      </c>
      <c r="C181" s="26" t="str">
        <f>IF(ISERROR(VLOOKUP($A181,Bestellungen!$6:$1048576,MATCH(Kasse!C$5,Bestellungen!$A$5:$X$5,0),0))=FALSE,SUMIF(Kalkulation!$A$6:$A$40,Kasse!C$5&amp;"*",Kalkulation!$C$6:$C$40)*VLOOKUP($A181,Bestellungen!$6:$1048576,MATCH(Kasse!C$5,Bestellungen!$A$5:$X$5,0),0),"")</f>
        <v/>
      </c>
      <c r="D181" s="26" t="str">
        <f>IF(ISERROR(VLOOKUP($A181,Bestellungen!$6:$1048576,MATCH(Kasse!D$5,Bestellungen!$A$5:$X$5,0),0))=FALSE,SUMIF(Kalkulation!$A$6:$A$40,Kasse!D$5&amp;"*",Kalkulation!$C$6:$C$40)*VLOOKUP($A181,Bestellungen!$6:$1048576,MATCH(Kasse!D$5,Bestellungen!$A$5:$X$5,0),0),"")</f>
        <v/>
      </c>
      <c r="E181" s="26" t="str">
        <f>IF(ISERROR(VLOOKUP($A181,Bestellungen!$6:$1048576,MATCH(Kasse!E$5,Bestellungen!$A$5:$X$5,0),0))=FALSE,SUMIF(Kalkulation!$A$6:$A$40,Kasse!E$5&amp;"*",Kalkulation!$C$6:$C$40)*VLOOKUP($A181,Bestellungen!$6:$1048576,MATCH(Kasse!E$5,Bestellungen!$A$5:$X$5,0),0),"")</f>
        <v/>
      </c>
      <c r="F181" s="26" t="str">
        <f>IF(ISERROR(VLOOKUP($A181,Bestellungen!$6:$1048576,MATCH(Kasse!F$5,Bestellungen!$A$5:$X$5,0),0))=FALSE,SUMIF(Kalkulation!$A$6:$A$40,Kasse!F$5&amp;"*",Kalkulation!$C$6:$C$40)*VLOOKUP($A181,Bestellungen!$6:$1048576,MATCH(Kasse!F$5,Bestellungen!$A$5:$X$5,0),0),"")</f>
        <v/>
      </c>
      <c r="G181" s="26" t="str">
        <f>IF(ISERROR(VLOOKUP($A181,Bestellungen!$6:$1048576,MATCH(Kasse!G$5,Bestellungen!$A$5:$X$5,0),0))=FALSE,SUMIF(Kalkulation!$A$6:$A$40,Kasse!G$5&amp;"*",Kalkulation!$C$6:$C$40)*VLOOKUP($A181,Bestellungen!$6:$1048576,MATCH(Kasse!G$5,Bestellungen!$A$5:$X$5,0),0),"")</f>
        <v/>
      </c>
      <c r="H181" s="26" t="str">
        <f>IF(ISERROR(VLOOKUP($A181,Bestellungen!$6:$1048576,MATCH(Kasse!H$5,Bestellungen!$A$5:$X$5,0),0))=FALSE,SUMIF(Kalkulation!$A$6:$A$40,Kasse!H$5&amp;"*",Kalkulation!$C$6:$C$40)*VLOOKUP($A181,Bestellungen!$6:$1048576,MATCH(Kasse!H$5,Bestellungen!$A$5:$X$5,0),0),"")</f>
        <v/>
      </c>
      <c r="I181" s="26" t="str">
        <f>IF(ISERROR(VLOOKUP($A181,Bestellungen!$6:$1048576,MATCH(Kasse!I$5,Bestellungen!$A$5:$X$5,0),0))=FALSE,SUMIF(Kalkulation!$A$6:$A$40,Kasse!I$5&amp;"*",Kalkulation!$C$6:$C$40)*VLOOKUP($A181,Bestellungen!$6:$1048576,MATCH(Kasse!I$5,Bestellungen!$A$5:$X$5,0),0),"")</f>
        <v/>
      </c>
      <c r="J181" s="26" t="str">
        <f>IF(ISERROR(VLOOKUP($A181,Bestellungen!$6:$1048576,MATCH(Kasse!J$5,Bestellungen!$A$5:$X$5,0),0))=FALSE,SUMIF(Kalkulation!$A$6:$A$40,Kasse!J$5&amp;"*",Kalkulation!$C$6:$C$40)*VLOOKUP($A181,Bestellungen!$6:$1048576,MATCH(Kasse!J$5,Bestellungen!$A$5:$X$5,0),0),"")</f>
        <v/>
      </c>
      <c r="K181" s="26" t="str">
        <f>IF(ISERROR(VLOOKUP($A181,Bestellungen!$6:$1048576,MATCH(Kasse!K$5,Bestellungen!$A$5:$X$5,0),0))=FALSE,SUMIF(Kalkulation!$A$6:$A$40,Kasse!K$5&amp;"*",Kalkulation!$C$6:$C$40)*VLOOKUP($A181,Bestellungen!$6:$1048576,MATCH(Kasse!K$5,Bestellungen!$A$5:$X$5,0),0),"")</f>
        <v/>
      </c>
      <c r="L181" s="26" t="str">
        <f>IF(ISERROR(VLOOKUP($A181,Bestellungen!$6:$1048576,MATCH(Kasse!L$5,Bestellungen!$A$5:$X$5,0),0))=FALSE,SUMIF(Kalkulation!$A$6:$A$40,Kasse!L$5&amp;"*",Kalkulation!$C$6:$C$40)*VLOOKUP($A181,Bestellungen!$6:$1048576,MATCH(Kasse!L$5,Bestellungen!$A$5:$X$5,0),0),"")</f>
        <v/>
      </c>
      <c r="M181" s="26" t="str">
        <f>IF(ISERROR(VLOOKUP($A181,Bestellungen!$6:$1048576,MATCH(Kasse!M$5,Bestellungen!$A$5:$X$5,0),0))=FALSE,SUMIF(Kalkulation!$A$6:$A$40,Kasse!M$5&amp;"*",Kalkulation!$C$6:$C$40)*VLOOKUP($A181,Bestellungen!$6:$1048576,MATCH(Kasse!M$5,Bestellungen!$A$5:$X$5,0),0),"")</f>
        <v/>
      </c>
      <c r="N181" s="26" t="str">
        <f>IF(ISERROR(VLOOKUP($A181,Bestellungen!$6:$1048576,MATCH(Kasse!N$5,Bestellungen!$A$5:$X$5,0),0))=FALSE,SUMIF(Kalkulation!$A$6:$A$40,Kasse!N$5&amp;"*",Kalkulation!$C$6:$C$40)*VLOOKUP($A181,Bestellungen!$6:$1048576,MATCH(Kasse!N$5,Bestellungen!$A$5:$X$5,0),0),"")</f>
        <v/>
      </c>
      <c r="O181" s="26" t="str">
        <f>IF(ISERROR(VLOOKUP($A181,Bestellungen!$6:$1048576,MATCH(Kasse!O$5,Bestellungen!$A$5:$X$5,0),0))=FALSE,SUMIF(Kalkulation!$A$6:$A$40,Kasse!O$5&amp;"*",Kalkulation!$C$6:$C$40)*VLOOKUP($A181,Bestellungen!$6:$1048576,MATCH(Kasse!O$5,Bestellungen!$A$5:$X$5,0),0),"")</f>
        <v/>
      </c>
      <c r="P181" s="26" t="str">
        <f>IF(ISERROR(VLOOKUP($A181,Bestellungen!$6:$1048576,MATCH(Kasse!P$5,Bestellungen!$A$5:$X$5,0),0))=FALSE,SUMIF(Kalkulation!$A$6:$A$40,Kasse!P$5&amp;"*",Kalkulation!$C$6:$C$40)*VLOOKUP($A181,Bestellungen!$6:$1048576,MATCH(Kasse!P$5,Bestellungen!$A$5:$X$5,0),0),"")</f>
        <v/>
      </c>
      <c r="Q181" s="26" t="str">
        <f>IF(ISERROR(VLOOKUP($A181,Bestellungen!$6:$1048576,MATCH(Kasse!Q$5,Bestellungen!$A$5:$X$5,0),0))=FALSE,SUMIF(Kalkulation!$A$6:$A$40,Kasse!Q$5&amp;"*",Kalkulation!$C$6:$C$40)*VLOOKUP($A181,Bestellungen!$6:$1048576,MATCH(Kasse!Q$5,Bestellungen!$A$5:$X$5,0),0),"")</f>
        <v/>
      </c>
      <c r="R181" s="26" t="str">
        <f>IF(ISERROR(VLOOKUP($A181,Bestellungen!$6:$1048576,MATCH(Kasse!R$5,Bestellungen!$A$5:$X$5,0),0))=FALSE,SUMIF(Kalkulation!$A$6:$A$40,Kasse!R$5&amp;"*",Kalkulation!$C$6:$C$40)*VLOOKUP($A181,Bestellungen!$6:$1048576,MATCH(Kasse!R$5,Bestellungen!$A$5:$X$5,0),0),"")</f>
        <v/>
      </c>
      <c r="S181" s="26" t="str">
        <f>IF(ISERROR(VLOOKUP($A181,Bestellungen!$6:$1048576,MATCH(Kasse!S$5,Bestellungen!$A$5:$X$5,0),0))=FALSE,SUMIF(Kalkulation!$A$6:$A$40,Kasse!S$5&amp;"*",Kalkulation!$C$6:$C$40)*VLOOKUP($A181,Bestellungen!$6:$1048576,MATCH(Kasse!S$5,Bestellungen!$A$5:$X$5,0),0),"")</f>
        <v/>
      </c>
      <c r="T181" s="26" t="str">
        <f>IF(ISERROR(VLOOKUP($A181,Bestellungen!$6:$1048576,MATCH(Kasse!T$5,Bestellungen!$A$5:$X$5,0),0))=FALSE,SUMIF(Kalkulation!$A$6:$A$40,Kasse!T$5&amp;"*",Kalkulation!$C$6:$C$40)*VLOOKUP($A181,Bestellungen!$6:$1048576,MATCH(Kasse!T$5,Bestellungen!$A$5:$X$5,0),0),"")</f>
        <v/>
      </c>
      <c r="U181" s="26" t="str">
        <f t="shared" si="4"/>
        <v/>
      </c>
      <c r="W181" s="26" t="str">
        <f t="shared" si="5"/>
        <v/>
      </c>
      <c r="X181" s="26"/>
      <c r="Y181" s="26"/>
      <c r="Z181" s="26"/>
      <c r="AA181" s="26"/>
    </row>
    <row r="182" spans="1:27" x14ac:dyDescent="0.25">
      <c r="A182" t="str">
        <f>IF(LEN(Bestellungen!$A182)&gt;0,Bestellungen!$A182,"")</f>
        <v/>
      </c>
      <c r="B182" s="26" t="str">
        <f>IF(ISERROR(VLOOKUP($A182,Bestellungen!$6:$1048576,MATCH(Kasse!B$5,Bestellungen!$A$5:$X$5,0),0))=FALSE,SUMIF(Kalkulation!$A$6:$A$40,Kasse!B$5&amp;"*",Kalkulation!$C$6:$C$40)*VLOOKUP($A182,Bestellungen!$6:$1048576,MATCH(Kasse!B$5,Bestellungen!$A$5:$X$5,0),0),"")</f>
        <v/>
      </c>
      <c r="C182" s="26" t="str">
        <f>IF(ISERROR(VLOOKUP($A182,Bestellungen!$6:$1048576,MATCH(Kasse!C$5,Bestellungen!$A$5:$X$5,0),0))=FALSE,SUMIF(Kalkulation!$A$6:$A$40,Kasse!C$5&amp;"*",Kalkulation!$C$6:$C$40)*VLOOKUP($A182,Bestellungen!$6:$1048576,MATCH(Kasse!C$5,Bestellungen!$A$5:$X$5,0),0),"")</f>
        <v/>
      </c>
      <c r="D182" s="26" t="str">
        <f>IF(ISERROR(VLOOKUP($A182,Bestellungen!$6:$1048576,MATCH(Kasse!D$5,Bestellungen!$A$5:$X$5,0),0))=FALSE,SUMIF(Kalkulation!$A$6:$A$40,Kasse!D$5&amp;"*",Kalkulation!$C$6:$C$40)*VLOOKUP($A182,Bestellungen!$6:$1048576,MATCH(Kasse!D$5,Bestellungen!$A$5:$X$5,0),0),"")</f>
        <v/>
      </c>
      <c r="E182" s="26" t="str">
        <f>IF(ISERROR(VLOOKUP($A182,Bestellungen!$6:$1048576,MATCH(Kasse!E$5,Bestellungen!$A$5:$X$5,0),0))=FALSE,SUMIF(Kalkulation!$A$6:$A$40,Kasse!E$5&amp;"*",Kalkulation!$C$6:$C$40)*VLOOKUP($A182,Bestellungen!$6:$1048576,MATCH(Kasse!E$5,Bestellungen!$A$5:$X$5,0),0),"")</f>
        <v/>
      </c>
      <c r="F182" s="26" t="str">
        <f>IF(ISERROR(VLOOKUP($A182,Bestellungen!$6:$1048576,MATCH(Kasse!F$5,Bestellungen!$A$5:$X$5,0),0))=FALSE,SUMIF(Kalkulation!$A$6:$A$40,Kasse!F$5&amp;"*",Kalkulation!$C$6:$C$40)*VLOOKUP($A182,Bestellungen!$6:$1048576,MATCH(Kasse!F$5,Bestellungen!$A$5:$X$5,0),0),"")</f>
        <v/>
      </c>
      <c r="G182" s="26" t="str">
        <f>IF(ISERROR(VLOOKUP($A182,Bestellungen!$6:$1048576,MATCH(Kasse!G$5,Bestellungen!$A$5:$X$5,0),0))=FALSE,SUMIF(Kalkulation!$A$6:$A$40,Kasse!G$5&amp;"*",Kalkulation!$C$6:$C$40)*VLOOKUP($A182,Bestellungen!$6:$1048576,MATCH(Kasse!G$5,Bestellungen!$A$5:$X$5,0),0),"")</f>
        <v/>
      </c>
      <c r="H182" s="26" t="str">
        <f>IF(ISERROR(VLOOKUP($A182,Bestellungen!$6:$1048576,MATCH(Kasse!H$5,Bestellungen!$A$5:$X$5,0),0))=FALSE,SUMIF(Kalkulation!$A$6:$A$40,Kasse!H$5&amp;"*",Kalkulation!$C$6:$C$40)*VLOOKUP($A182,Bestellungen!$6:$1048576,MATCH(Kasse!H$5,Bestellungen!$A$5:$X$5,0),0),"")</f>
        <v/>
      </c>
      <c r="I182" s="26" t="str">
        <f>IF(ISERROR(VLOOKUP($A182,Bestellungen!$6:$1048576,MATCH(Kasse!I$5,Bestellungen!$A$5:$X$5,0),0))=FALSE,SUMIF(Kalkulation!$A$6:$A$40,Kasse!I$5&amp;"*",Kalkulation!$C$6:$C$40)*VLOOKUP($A182,Bestellungen!$6:$1048576,MATCH(Kasse!I$5,Bestellungen!$A$5:$X$5,0),0),"")</f>
        <v/>
      </c>
      <c r="J182" s="26" t="str">
        <f>IF(ISERROR(VLOOKUP($A182,Bestellungen!$6:$1048576,MATCH(Kasse!J$5,Bestellungen!$A$5:$X$5,0),0))=FALSE,SUMIF(Kalkulation!$A$6:$A$40,Kasse!J$5&amp;"*",Kalkulation!$C$6:$C$40)*VLOOKUP($A182,Bestellungen!$6:$1048576,MATCH(Kasse!J$5,Bestellungen!$A$5:$X$5,0),0),"")</f>
        <v/>
      </c>
      <c r="K182" s="26" t="str">
        <f>IF(ISERROR(VLOOKUP($A182,Bestellungen!$6:$1048576,MATCH(Kasse!K$5,Bestellungen!$A$5:$X$5,0),0))=FALSE,SUMIF(Kalkulation!$A$6:$A$40,Kasse!K$5&amp;"*",Kalkulation!$C$6:$C$40)*VLOOKUP($A182,Bestellungen!$6:$1048576,MATCH(Kasse!K$5,Bestellungen!$A$5:$X$5,0),0),"")</f>
        <v/>
      </c>
      <c r="L182" s="26" t="str">
        <f>IF(ISERROR(VLOOKUP($A182,Bestellungen!$6:$1048576,MATCH(Kasse!L$5,Bestellungen!$A$5:$X$5,0),0))=FALSE,SUMIF(Kalkulation!$A$6:$A$40,Kasse!L$5&amp;"*",Kalkulation!$C$6:$C$40)*VLOOKUP($A182,Bestellungen!$6:$1048576,MATCH(Kasse!L$5,Bestellungen!$A$5:$X$5,0),0),"")</f>
        <v/>
      </c>
      <c r="M182" s="26" t="str">
        <f>IF(ISERROR(VLOOKUP($A182,Bestellungen!$6:$1048576,MATCH(Kasse!M$5,Bestellungen!$A$5:$X$5,0),0))=FALSE,SUMIF(Kalkulation!$A$6:$A$40,Kasse!M$5&amp;"*",Kalkulation!$C$6:$C$40)*VLOOKUP($A182,Bestellungen!$6:$1048576,MATCH(Kasse!M$5,Bestellungen!$A$5:$X$5,0),0),"")</f>
        <v/>
      </c>
      <c r="N182" s="26" t="str">
        <f>IF(ISERROR(VLOOKUP($A182,Bestellungen!$6:$1048576,MATCH(Kasse!N$5,Bestellungen!$A$5:$X$5,0),0))=FALSE,SUMIF(Kalkulation!$A$6:$A$40,Kasse!N$5&amp;"*",Kalkulation!$C$6:$C$40)*VLOOKUP($A182,Bestellungen!$6:$1048576,MATCH(Kasse!N$5,Bestellungen!$A$5:$X$5,0),0),"")</f>
        <v/>
      </c>
      <c r="O182" s="26" t="str">
        <f>IF(ISERROR(VLOOKUP($A182,Bestellungen!$6:$1048576,MATCH(Kasse!O$5,Bestellungen!$A$5:$X$5,0),0))=FALSE,SUMIF(Kalkulation!$A$6:$A$40,Kasse!O$5&amp;"*",Kalkulation!$C$6:$C$40)*VLOOKUP($A182,Bestellungen!$6:$1048576,MATCH(Kasse!O$5,Bestellungen!$A$5:$X$5,0),0),"")</f>
        <v/>
      </c>
      <c r="P182" s="26" t="str">
        <f>IF(ISERROR(VLOOKUP($A182,Bestellungen!$6:$1048576,MATCH(Kasse!P$5,Bestellungen!$A$5:$X$5,0),0))=FALSE,SUMIF(Kalkulation!$A$6:$A$40,Kasse!P$5&amp;"*",Kalkulation!$C$6:$C$40)*VLOOKUP($A182,Bestellungen!$6:$1048576,MATCH(Kasse!P$5,Bestellungen!$A$5:$X$5,0),0),"")</f>
        <v/>
      </c>
      <c r="Q182" s="26" t="str">
        <f>IF(ISERROR(VLOOKUP($A182,Bestellungen!$6:$1048576,MATCH(Kasse!Q$5,Bestellungen!$A$5:$X$5,0),0))=FALSE,SUMIF(Kalkulation!$A$6:$A$40,Kasse!Q$5&amp;"*",Kalkulation!$C$6:$C$40)*VLOOKUP($A182,Bestellungen!$6:$1048576,MATCH(Kasse!Q$5,Bestellungen!$A$5:$X$5,0),0),"")</f>
        <v/>
      </c>
      <c r="R182" s="26" t="str">
        <f>IF(ISERROR(VLOOKUP($A182,Bestellungen!$6:$1048576,MATCH(Kasse!R$5,Bestellungen!$A$5:$X$5,0),0))=FALSE,SUMIF(Kalkulation!$A$6:$A$40,Kasse!R$5&amp;"*",Kalkulation!$C$6:$C$40)*VLOOKUP($A182,Bestellungen!$6:$1048576,MATCH(Kasse!R$5,Bestellungen!$A$5:$X$5,0),0),"")</f>
        <v/>
      </c>
      <c r="S182" s="26" t="str">
        <f>IF(ISERROR(VLOOKUP($A182,Bestellungen!$6:$1048576,MATCH(Kasse!S$5,Bestellungen!$A$5:$X$5,0),0))=FALSE,SUMIF(Kalkulation!$A$6:$A$40,Kasse!S$5&amp;"*",Kalkulation!$C$6:$C$40)*VLOOKUP($A182,Bestellungen!$6:$1048576,MATCH(Kasse!S$5,Bestellungen!$A$5:$X$5,0),0),"")</f>
        <v/>
      </c>
      <c r="T182" s="26" t="str">
        <f>IF(ISERROR(VLOOKUP($A182,Bestellungen!$6:$1048576,MATCH(Kasse!T$5,Bestellungen!$A$5:$X$5,0),0))=FALSE,SUMIF(Kalkulation!$A$6:$A$40,Kasse!T$5&amp;"*",Kalkulation!$C$6:$C$40)*VLOOKUP($A182,Bestellungen!$6:$1048576,MATCH(Kasse!T$5,Bestellungen!$A$5:$X$5,0),0),"")</f>
        <v/>
      </c>
      <c r="U182" s="26" t="str">
        <f t="shared" si="4"/>
        <v/>
      </c>
      <c r="W182" s="26" t="str">
        <f t="shared" si="5"/>
        <v/>
      </c>
      <c r="X182" s="26"/>
      <c r="Y182" s="26"/>
      <c r="Z182" s="26"/>
      <c r="AA182" s="26"/>
    </row>
    <row r="183" spans="1:27" x14ac:dyDescent="0.25">
      <c r="A183" t="str">
        <f>IF(LEN(Bestellungen!$A183)&gt;0,Bestellungen!$A183,"")</f>
        <v/>
      </c>
      <c r="B183" s="26" t="str">
        <f>IF(ISERROR(VLOOKUP($A183,Bestellungen!$6:$1048576,MATCH(Kasse!B$5,Bestellungen!$A$5:$X$5,0),0))=FALSE,SUMIF(Kalkulation!$A$6:$A$40,Kasse!B$5&amp;"*",Kalkulation!$C$6:$C$40)*VLOOKUP($A183,Bestellungen!$6:$1048576,MATCH(Kasse!B$5,Bestellungen!$A$5:$X$5,0),0),"")</f>
        <v/>
      </c>
      <c r="C183" s="26" t="str">
        <f>IF(ISERROR(VLOOKUP($A183,Bestellungen!$6:$1048576,MATCH(Kasse!C$5,Bestellungen!$A$5:$X$5,0),0))=FALSE,SUMIF(Kalkulation!$A$6:$A$40,Kasse!C$5&amp;"*",Kalkulation!$C$6:$C$40)*VLOOKUP($A183,Bestellungen!$6:$1048576,MATCH(Kasse!C$5,Bestellungen!$A$5:$X$5,0),0),"")</f>
        <v/>
      </c>
      <c r="D183" s="26" t="str">
        <f>IF(ISERROR(VLOOKUP($A183,Bestellungen!$6:$1048576,MATCH(Kasse!D$5,Bestellungen!$A$5:$X$5,0),0))=FALSE,SUMIF(Kalkulation!$A$6:$A$40,Kasse!D$5&amp;"*",Kalkulation!$C$6:$C$40)*VLOOKUP($A183,Bestellungen!$6:$1048576,MATCH(Kasse!D$5,Bestellungen!$A$5:$X$5,0),0),"")</f>
        <v/>
      </c>
      <c r="E183" s="26" t="str">
        <f>IF(ISERROR(VLOOKUP($A183,Bestellungen!$6:$1048576,MATCH(Kasse!E$5,Bestellungen!$A$5:$X$5,0),0))=FALSE,SUMIF(Kalkulation!$A$6:$A$40,Kasse!E$5&amp;"*",Kalkulation!$C$6:$C$40)*VLOOKUP($A183,Bestellungen!$6:$1048576,MATCH(Kasse!E$5,Bestellungen!$A$5:$X$5,0),0),"")</f>
        <v/>
      </c>
      <c r="F183" s="26" t="str">
        <f>IF(ISERROR(VLOOKUP($A183,Bestellungen!$6:$1048576,MATCH(Kasse!F$5,Bestellungen!$A$5:$X$5,0),0))=FALSE,SUMIF(Kalkulation!$A$6:$A$40,Kasse!F$5&amp;"*",Kalkulation!$C$6:$C$40)*VLOOKUP($A183,Bestellungen!$6:$1048576,MATCH(Kasse!F$5,Bestellungen!$A$5:$X$5,0),0),"")</f>
        <v/>
      </c>
      <c r="G183" s="26" t="str">
        <f>IF(ISERROR(VLOOKUP($A183,Bestellungen!$6:$1048576,MATCH(Kasse!G$5,Bestellungen!$A$5:$X$5,0),0))=FALSE,SUMIF(Kalkulation!$A$6:$A$40,Kasse!G$5&amp;"*",Kalkulation!$C$6:$C$40)*VLOOKUP($A183,Bestellungen!$6:$1048576,MATCH(Kasse!G$5,Bestellungen!$A$5:$X$5,0),0),"")</f>
        <v/>
      </c>
      <c r="H183" s="26" t="str">
        <f>IF(ISERROR(VLOOKUP($A183,Bestellungen!$6:$1048576,MATCH(Kasse!H$5,Bestellungen!$A$5:$X$5,0),0))=FALSE,SUMIF(Kalkulation!$A$6:$A$40,Kasse!H$5&amp;"*",Kalkulation!$C$6:$C$40)*VLOOKUP($A183,Bestellungen!$6:$1048576,MATCH(Kasse!H$5,Bestellungen!$A$5:$X$5,0),0),"")</f>
        <v/>
      </c>
      <c r="I183" s="26" t="str">
        <f>IF(ISERROR(VLOOKUP($A183,Bestellungen!$6:$1048576,MATCH(Kasse!I$5,Bestellungen!$A$5:$X$5,0),0))=FALSE,SUMIF(Kalkulation!$A$6:$A$40,Kasse!I$5&amp;"*",Kalkulation!$C$6:$C$40)*VLOOKUP($A183,Bestellungen!$6:$1048576,MATCH(Kasse!I$5,Bestellungen!$A$5:$X$5,0),0),"")</f>
        <v/>
      </c>
      <c r="J183" s="26" t="str">
        <f>IF(ISERROR(VLOOKUP($A183,Bestellungen!$6:$1048576,MATCH(Kasse!J$5,Bestellungen!$A$5:$X$5,0),0))=FALSE,SUMIF(Kalkulation!$A$6:$A$40,Kasse!J$5&amp;"*",Kalkulation!$C$6:$C$40)*VLOOKUP($A183,Bestellungen!$6:$1048576,MATCH(Kasse!J$5,Bestellungen!$A$5:$X$5,0),0),"")</f>
        <v/>
      </c>
      <c r="K183" s="26" t="str">
        <f>IF(ISERROR(VLOOKUP($A183,Bestellungen!$6:$1048576,MATCH(Kasse!K$5,Bestellungen!$A$5:$X$5,0),0))=FALSE,SUMIF(Kalkulation!$A$6:$A$40,Kasse!K$5&amp;"*",Kalkulation!$C$6:$C$40)*VLOOKUP($A183,Bestellungen!$6:$1048576,MATCH(Kasse!K$5,Bestellungen!$A$5:$X$5,0),0),"")</f>
        <v/>
      </c>
      <c r="L183" s="26" t="str">
        <f>IF(ISERROR(VLOOKUP($A183,Bestellungen!$6:$1048576,MATCH(Kasse!L$5,Bestellungen!$A$5:$X$5,0),0))=FALSE,SUMIF(Kalkulation!$A$6:$A$40,Kasse!L$5&amp;"*",Kalkulation!$C$6:$C$40)*VLOOKUP($A183,Bestellungen!$6:$1048576,MATCH(Kasse!L$5,Bestellungen!$A$5:$X$5,0),0),"")</f>
        <v/>
      </c>
      <c r="M183" s="26" t="str">
        <f>IF(ISERROR(VLOOKUP($A183,Bestellungen!$6:$1048576,MATCH(Kasse!M$5,Bestellungen!$A$5:$X$5,0),0))=FALSE,SUMIF(Kalkulation!$A$6:$A$40,Kasse!M$5&amp;"*",Kalkulation!$C$6:$C$40)*VLOOKUP($A183,Bestellungen!$6:$1048576,MATCH(Kasse!M$5,Bestellungen!$A$5:$X$5,0),0),"")</f>
        <v/>
      </c>
      <c r="N183" s="26" t="str">
        <f>IF(ISERROR(VLOOKUP($A183,Bestellungen!$6:$1048576,MATCH(Kasse!N$5,Bestellungen!$A$5:$X$5,0),0))=FALSE,SUMIF(Kalkulation!$A$6:$A$40,Kasse!N$5&amp;"*",Kalkulation!$C$6:$C$40)*VLOOKUP($A183,Bestellungen!$6:$1048576,MATCH(Kasse!N$5,Bestellungen!$A$5:$X$5,0),0),"")</f>
        <v/>
      </c>
      <c r="O183" s="26" t="str">
        <f>IF(ISERROR(VLOOKUP($A183,Bestellungen!$6:$1048576,MATCH(Kasse!O$5,Bestellungen!$A$5:$X$5,0),0))=FALSE,SUMIF(Kalkulation!$A$6:$A$40,Kasse!O$5&amp;"*",Kalkulation!$C$6:$C$40)*VLOOKUP($A183,Bestellungen!$6:$1048576,MATCH(Kasse!O$5,Bestellungen!$A$5:$X$5,0),0),"")</f>
        <v/>
      </c>
      <c r="P183" s="26" t="str">
        <f>IF(ISERROR(VLOOKUP($A183,Bestellungen!$6:$1048576,MATCH(Kasse!P$5,Bestellungen!$A$5:$X$5,0),0))=FALSE,SUMIF(Kalkulation!$A$6:$A$40,Kasse!P$5&amp;"*",Kalkulation!$C$6:$C$40)*VLOOKUP($A183,Bestellungen!$6:$1048576,MATCH(Kasse!P$5,Bestellungen!$A$5:$X$5,0),0),"")</f>
        <v/>
      </c>
      <c r="Q183" s="26" t="str">
        <f>IF(ISERROR(VLOOKUP($A183,Bestellungen!$6:$1048576,MATCH(Kasse!Q$5,Bestellungen!$A$5:$X$5,0),0))=FALSE,SUMIF(Kalkulation!$A$6:$A$40,Kasse!Q$5&amp;"*",Kalkulation!$C$6:$C$40)*VLOOKUP($A183,Bestellungen!$6:$1048576,MATCH(Kasse!Q$5,Bestellungen!$A$5:$X$5,0),0),"")</f>
        <v/>
      </c>
      <c r="R183" s="26" t="str">
        <f>IF(ISERROR(VLOOKUP($A183,Bestellungen!$6:$1048576,MATCH(Kasse!R$5,Bestellungen!$A$5:$X$5,0),0))=FALSE,SUMIF(Kalkulation!$A$6:$A$40,Kasse!R$5&amp;"*",Kalkulation!$C$6:$C$40)*VLOOKUP($A183,Bestellungen!$6:$1048576,MATCH(Kasse!R$5,Bestellungen!$A$5:$X$5,0),0),"")</f>
        <v/>
      </c>
      <c r="S183" s="26" t="str">
        <f>IF(ISERROR(VLOOKUP($A183,Bestellungen!$6:$1048576,MATCH(Kasse!S$5,Bestellungen!$A$5:$X$5,0),0))=FALSE,SUMIF(Kalkulation!$A$6:$A$40,Kasse!S$5&amp;"*",Kalkulation!$C$6:$C$40)*VLOOKUP($A183,Bestellungen!$6:$1048576,MATCH(Kasse!S$5,Bestellungen!$A$5:$X$5,0),0),"")</f>
        <v/>
      </c>
      <c r="T183" s="26" t="str">
        <f>IF(ISERROR(VLOOKUP($A183,Bestellungen!$6:$1048576,MATCH(Kasse!T$5,Bestellungen!$A$5:$X$5,0),0))=FALSE,SUMIF(Kalkulation!$A$6:$A$40,Kasse!T$5&amp;"*",Kalkulation!$C$6:$C$40)*VLOOKUP($A183,Bestellungen!$6:$1048576,MATCH(Kasse!T$5,Bestellungen!$A$5:$X$5,0),0),"")</f>
        <v/>
      </c>
      <c r="U183" s="26" t="str">
        <f t="shared" si="4"/>
        <v/>
      </c>
      <c r="W183" s="26" t="str">
        <f t="shared" si="5"/>
        <v/>
      </c>
      <c r="X183" s="26"/>
      <c r="Y183" s="26"/>
      <c r="Z183" s="26"/>
      <c r="AA183" s="26"/>
    </row>
    <row r="184" spans="1:27" x14ac:dyDescent="0.25">
      <c r="A184" t="str">
        <f>IF(LEN(Bestellungen!$A184)&gt;0,Bestellungen!$A184,"")</f>
        <v/>
      </c>
      <c r="B184" s="26" t="str">
        <f>IF(ISERROR(VLOOKUP($A184,Bestellungen!$6:$1048576,MATCH(Kasse!B$5,Bestellungen!$A$5:$X$5,0),0))=FALSE,SUMIF(Kalkulation!$A$6:$A$40,Kasse!B$5&amp;"*",Kalkulation!$C$6:$C$40)*VLOOKUP($A184,Bestellungen!$6:$1048576,MATCH(Kasse!B$5,Bestellungen!$A$5:$X$5,0),0),"")</f>
        <v/>
      </c>
      <c r="C184" s="26" t="str">
        <f>IF(ISERROR(VLOOKUP($A184,Bestellungen!$6:$1048576,MATCH(Kasse!C$5,Bestellungen!$A$5:$X$5,0),0))=FALSE,SUMIF(Kalkulation!$A$6:$A$40,Kasse!C$5&amp;"*",Kalkulation!$C$6:$C$40)*VLOOKUP($A184,Bestellungen!$6:$1048576,MATCH(Kasse!C$5,Bestellungen!$A$5:$X$5,0),0),"")</f>
        <v/>
      </c>
      <c r="D184" s="26" t="str">
        <f>IF(ISERROR(VLOOKUP($A184,Bestellungen!$6:$1048576,MATCH(Kasse!D$5,Bestellungen!$A$5:$X$5,0),0))=FALSE,SUMIF(Kalkulation!$A$6:$A$40,Kasse!D$5&amp;"*",Kalkulation!$C$6:$C$40)*VLOOKUP($A184,Bestellungen!$6:$1048576,MATCH(Kasse!D$5,Bestellungen!$A$5:$X$5,0),0),"")</f>
        <v/>
      </c>
      <c r="E184" s="26" t="str">
        <f>IF(ISERROR(VLOOKUP($A184,Bestellungen!$6:$1048576,MATCH(Kasse!E$5,Bestellungen!$A$5:$X$5,0),0))=FALSE,SUMIF(Kalkulation!$A$6:$A$40,Kasse!E$5&amp;"*",Kalkulation!$C$6:$C$40)*VLOOKUP($A184,Bestellungen!$6:$1048576,MATCH(Kasse!E$5,Bestellungen!$A$5:$X$5,0),0),"")</f>
        <v/>
      </c>
      <c r="F184" s="26" t="str">
        <f>IF(ISERROR(VLOOKUP($A184,Bestellungen!$6:$1048576,MATCH(Kasse!F$5,Bestellungen!$A$5:$X$5,0),0))=FALSE,SUMIF(Kalkulation!$A$6:$A$40,Kasse!F$5&amp;"*",Kalkulation!$C$6:$C$40)*VLOOKUP($A184,Bestellungen!$6:$1048576,MATCH(Kasse!F$5,Bestellungen!$A$5:$X$5,0),0),"")</f>
        <v/>
      </c>
      <c r="G184" s="26" t="str">
        <f>IF(ISERROR(VLOOKUP($A184,Bestellungen!$6:$1048576,MATCH(Kasse!G$5,Bestellungen!$A$5:$X$5,0),0))=FALSE,SUMIF(Kalkulation!$A$6:$A$40,Kasse!G$5&amp;"*",Kalkulation!$C$6:$C$40)*VLOOKUP($A184,Bestellungen!$6:$1048576,MATCH(Kasse!G$5,Bestellungen!$A$5:$X$5,0),0),"")</f>
        <v/>
      </c>
      <c r="H184" s="26" t="str">
        <f>IF(ISERROR(VLOOKUP($A184,Bestellungen!$6:$1048576,MATCH(Kasse!H$5,Bestellungen!$A$5:$X$5,0),0))=FALSE,SUMIF(Kalkulation!$A$6:$A$40,Kasse!H$5&amp;"*",Kalkulation!$C$6:$C$40)*VLOOKUP($A184,Bestellungen!$6:$1048576,MATCH(Kasse!H$5,Bestellungen!$A$5:$X$5,0),0),"")</f>
        <v/>
      </c>
      <c r="I184" s="26" t="str">
        <f>IF(ISERROR(VLOOKUP($A184,Bestellungen!$6:$1048576,MATCH(Kasse!I$5,Bestellungen!$A$5:$X$5,0),0))=FALSE,SUMIF(Kalkulation!$A$6:$A$40,Kasse!I$5&amp;"*",Kalkulation!$C$6:$C$40)*VLOOKUP($A184,Bestellungen!$6:$1048576,MATCH(Kasse!I$5,Bestellungen!$A$5:$X$5,0),0),"")</f>
        <v/>
      </c>
      <c r="J184" s="26" t="str">
        <f>IF(ISERROR(VLOOKUP($A184,Bestellungen!$6:$1048576,MATCH(Kasse!J$5,Bestellungen!$A$5:$X$5,0),0))=FALSE,SUMIF(Kalkulation!$A$6:$A$40,Kasse!J$5&amp;"*",Kalkulation!$C$6:$C$40)*VLOOKUP($A184,Bestellungen!$6:$1048576,MATCH(Kasse!J$5,Bestellungen!$A$5:$X$5,0),0),"")</f>
        <v/>
      </c>
      <c r="K184" s="26" t="str">
        <f>IF(ISERROR(VLOOKUP($A184,Bestellungen!$6:$1048576,MATCH(Kasse!K$5,Bestellungen!$A$5:$X$5,0),0))=FALSE,SUMIF(Kalkulation!$A$6:$A$40,Kasse!K$5&amp;"*",Kalkulation!$C$6:$C$40)*VLOOKUP($A184,Bestellungen!$6:$1048576,MATCH(Kasse!K$5,Bestellungen!$A$5:$X$5,0),0),"")</f>
        <v/>
      </c>
      <c r="L184" s="26" t="str">
        <f>IF(ISERROR(VLOOKUP($A184,Bestellungen!$6:$1048576,MATCH(Kasse!L$5,Bestellungen!$A$5:$X$5,0),0))=FALSE,SUMIF(Kalkulation!$A$6:$A$40,Kasse!L$5&amp;"*",Kalkulation!$C$6:$C$40)*VLOOKUP($A184,Bestellungen!$6:$1048576,MATCH(Kasse!L$5,Bestellungen!$A$5:$X$5,0),0),"")</f>
        <v/>
      </c>
      <c r="M184" s="26" t="str">
        <f>IF(ISERROR(VLOOKUP($A184,Bestellungen!$6:$1048576,MATCH(Kasse!M$5,Bestellungen!$A$5:$X$5,0),0))=FALSE,SUMIF(Kalkulation!$A$6:$A$40,Kasse!M$5&amp;"*",Kalkulation!$C$6:$C$40)*VLOOKUP($A184,Bestellungen!$6:$1048576,MATCH(Kasse!M$5,Bestellungen!$A$5:$X$5,0),0),"")</f>
        <v/>
      </c>
      <c r="N184" s="26" t="str">
        <f>IF(ISERROR(VLOOKUP($A184,Bestellungen!$6:$1048576,MATCH(Kasse!N$5,Bestellungen!$A$5:$X$5,0),0))=FALSE,SUMIF(Kalkulation!$A$6:$A$40,Kasse!N$5&amp;"*",Kalkulation!$C$6:$C$40)*VLOOKUP($A184,Bestellungen!$6:$1048576,MATCH(Kasse!N$5,Bestellungen!$A$5:$X$5,0),0),"")</f>
        <v/>
      </c>
      <c r="O184" s="26" t="str">
        <f>IF(ISERROR(VLOOKUP($A184,Bestellungen!$6:$1048576,MATCH(Kasse!O$5,Bestellungen!$A$5:$X$5,0),0))=FALSE,SUMIF(Kalkulation!$A$6:$A$40,Kasse!O$5&amp;"*",Kalkulation!$C$6:$C$40)*VLOOKUP($A184,Bestellungen!$6:$1048576,MATCH(Kasse!O$5,Bestellungen!$A$5:$X$5,0),0),"")</f>
        <v/>
      </c>
      <c r="P184" s="26" t="str">
        <f>IF(ISERROR(VLOOKUP($A184,Bestellungen!$6:$1048576,MATCH(Kasse!P$5,Bestellungen!$A$5:$X$5,0),0))=FALSE,SUMIF(Kalkulation!$A$6:$A$40,Kasse!P$5&amp;"*",Kalkulation!$C$6:$C$40)*VLOOKUP($A184,Bestellungen!$6:$1048576,MATCH(Kasse!P$5,Bestellungen!$A$5:$X$5,0),0),"")</f>
        <v/>
      </c>
      <c r="Q184" s="26" t="str">
        <f>IF(ISERROR(VLOOKUP($A184,Bestellungen!$6:$1048576,MATCH(Kasse!Q$5,Bestellungen!$A$5:$X$5,0),0))=FALSE,SUMIF(Kalkulation!$A$6:$A$40,Kasse!Q$5&amp;"*",Kalkulation!$C$6:$C$40)*VLOOKUP($A184,Bestellungen!$6:$1048576,MATCH(Kasse!Q$5,Bestellungen!$A$5:$X$5,0),0),"")</f>
        <v/>
      </c>
      <c r="R184" s="26" t="str">
        <f>IF(ISERROR(VLOOKUP($A184,Bestellungen!$6:$1048576,MATCH(Kasse!R$5,Bestellungen!$A$5:$X$5,0),0))=FALSE,SUMIF(Kalkulation!$A$6:$A$40,Kasse!R$5&amp;"*",Kalkulation!$C$6:$C$40)*VLOOKUP($A184,Bestellungen!$6:$1048576,MATCH(Kasse!R$5,Bestellungen!$A$5:$X$5,0),0),"")</f>
        <v/>
      </c>
      <c r="S184" s="26" t="str">
        <f>IF(ISERROR(VLOOKUP($A184,Bestellungen!$6:$1048576,MATCH(Kasse!S$5,Bestellungen!$A$5:$X$5,0),0))=FALSE,SUMIF(Kalkulation!$A$6:$A$40,Kasse!S$5&amp;"*",Kalkulation!$C$6:$C$40)*VLOOKUP($A184,Bestellungen!$6:$1048576,MATCH(Kasse!S$5,Bestellungen!$A$5:$X$5,0),0),"")</f>
        <v/>
      </c>
      <c r="T184" s="26" t="str">
        <f>IF(ISERROR(VLOOKUP($A184,Bestellungen!$6:$1048576,MATCH(Kasse!T$5,Bestellungen!$A$5:$X$5,0),0))=FALSE,SUMIF(Kalkulation!$A$6:$A$40,Kasse!T$5&amp;"*",Kalkulation!$C$6:$C$40)*VLOOKUP($A184,Bestellungen!$6:$1048576,MATCH(Kasse!T$5,Bestellungen!$A$5:$X$5,0),0),"")</f>
        <v/>
      </c>
      <c r="U184" s="26" t="str">
        <f t="shared" si="4"/>
        <v/>
      </c>
      <c r="W184" s="26" t="str">
        <f t="shared" si="5"/>
        <v/>
      </c>
      <c r="X184" s="26"/>
      <c r="Y184" s="26"/>
      <c r="Z184" s="26"/>
      <c r="AA184" s="26"/>
    </row>
    <row r="185" spans="1:27" x14ac:dyDescent="0.25">
      <c r="A185" t="str">
        <f>IF(LEN(Bestellungen!$A185)&gt;0,Bestellungen!$A185,"")</f>
        <v/>
      </c>
      <c r="B185" s="26" t="str">
        <f>IF(ISERROR(VLOOKUP($A185,Bestellungen!$6:$1048576,MATCH(Kasse!B$5,Bestellungen!$A$5:$X$5,0),0))=FALSE,SUMIF(Kalkulation!$A$6:$A$40,Kasse!B$5&amp;"*",Kalkulation!$C$6:$C$40)*VLOOKUP($A185,Bestellungen!$6:$1048576,MATCH(Kasse!B$5,Bestellungen!$A$5:$X$5,0),0),"")</f>
        <v/>
      </c>
      <c r="C185" s="26" t="str">
        <f>IF(ISERROR(VLOOKUP($A185,Bestellungen!$6:$1048576,MATCH(Kasse!C$5,Bestellungen!$A$5:$X$5,0),0))=FALSE,SUMIF(Kalkulation!$A$6:$A$40,Kasse!C$5&amp;"*",Kalkulation!$C$6:$C$40)*VLOOKUP($A185,Bestellungen!$6:$1048576,MATCH(Kasse!C$5,Bestellungen!$A$5:$X$5,0),0),"")</f>
        <v/>
      </c>
      <c r="D185" s="26" t="str">
        <f>IF(ISERROR(VLOOKUP($A185,Bestellungen!$6:$1048576,MATCH(Kasse!D$5,Bestellungen!$A$5:$X$5,0),0))=FALSE,SUMIF(Kalkulation!$A$6:$A$40,Kasse!D$5&amp;"*",Kalkulation!$C$6:$C$40)*VLOOKUP($A185,Bestellungen!$6:$1048576,MATCH(Kasse!D$5,Bestellungen!$A$5:$X$5,0),0),"")</f>
        <v/>
      </c>
      <c r="E185" s="26" t="str">
        <f>IF(ISERROR(VLOOKUP($A185,Bestellungen!$6:$1048576,MATCH(Kasse!E$5,Bestellungen!$A$5:$X$5,0),0))=FALSE,SUMIF(Kalkulation!$A$6:$A$40,Kasse!E$5&amp;"*",Kalkulation!$C$6:$C$40)*VLOOKUP($A185,Bestellungen!$6:$1048576,MATCH(Kasse!E$5,Bestellungen!$A$5:$X$5,0),0),"")</f>
        <v/>
      </c>
      <c r="F185" s="26" t="str">
        <f>IF(ISERROR(VLOOKUP($A185,Bestellungen!$6:$1048576,MATCH(Kasse!F$5,Bestellungen!$A$5:$X$5,0),0))=FALSE,SUMIF(Kalkulation!$A$6:$A$40,Kasse!F$5&amp;"*",Kalkulation!$C$6:$C$40)*VLOOKUP($A185,Bestellungen!$6:$1048576,MATCH(Kasse!F$5,Bestellungen!$A$5:$X$5,0),0),"")</f>
        <v/>
      </c>
      <c r="G185" s="26" t="str">
        <f>IF(ISERROR(VLOOKUP($A185,Bestellungen!$6:$1048576,MATCH(Kasse!G$5,Bestellungen!$A$5:$X$5,0),0))=FALSE,SUMIF(Kalkulation!$A$6:$A$40,Kasse!G$5&amp;"*",Kalkulation!$C$6:$C$40)*VLOOKUP($A185,Bestellungen!$6:$1048576,MATCH(Kasse!G$5,Bestellungen!$A$5:$X$5,0),0),"")</f>
        <v/>
      </c>
      <c r="H185" s="26" t="str">
        <f>IF(ISERROR(VLOOKUP($A185,Bestellungen!$6:$1048576,MATCH(Kasse!H$5,Bestellungen!$A$5:$X$5,0),0))=FALSE,SUMIF(Kalkulation!$A$6:$A$40,Kasse!H$5&amp;"*",Kalkulation!$C$6:$C$40)*VLOOKUP($A185,Bestellungen!$6:$1048576,MATCH(Kasse!H$5,Bestellungen!$A$5:$X$5,0),0),"")</f>
        <v/>
      </c>
      <c r="I185" s="26" t="str">
        <f>IF(ISERROR(VLOOKUP($A185,Bestellungen!$6:$1048576,MATCH(Kasse!I$5,Bestellungen!$A$5:$X$5,0),0))=FALSE,SUMIF(Kalkulation!$A$6:$A$40,Kasse!I$5&amp;"*",Kalkulation!$C$6:$C$40)*VLOOKUP($A185,Bestellungen!$6:$1048576,MATCH(Kasse!I$5,Bestellungen!$A$5:$X$5,0),0),"")</f>
        <v/>
      </c>
      <c r="J185" s="26" t="str">
        <f>IF(ISERROR(VLOOKUP($A185,Bestellungen!$6:$1048576,MATCH(Kasse!J$5,Bestellungen!$A$5:$X$5,0),0))=FALSE,SUMIF(Kalkulation!$A$6:$A$40,Kasse!J$5&amp;"*",Kalkulation!$C$6:$C$40)*VLOOKUP($A185,Bestellungen!$6:$1048576,MATCH(Kasse!J$5,Bestellungen!$A$5:$X$5,0),0),"")</f>
        <v/>
      </c>
      <c r="K185" s="26" t="str">
        <f>IF(ISERROR(VLOOKUP($A185,Bestellungen!$6:$1048576,MATCH(Kasse!K$5,Bestellungen!$A$5:$X$5,0),0))=FALSE,SUMIF(Kalkulation!$A$6:$A$40,Kasse!K$5&amp;"*",Kalkulation!$C$6:$C$40)*VLOOKUP($A185,Bestellungen!$6:$1048576,MATCH(Kasse!K$5,Bestellungen!$A$5:$X$5,0),0),"")</f>
        <v/>
      </c>
      <c r="L185" s="26" t="str">
        <f>IF(ISERROR(VLOOKUP($A185,Bestellungen!$6:$1048576,MATCH(Kasse!L$5,Bestellungen!$A$5:$X$5,0),0))=FALSE,SUMIF(Kalkulation!$A$6:$A$40,Kasse!L$5&amp;"*",Kalkulation!$C$6:$C$40)*VLOOKUP($A185,Bestellungen!$6:$1048576,MATCH(Kasse!L$5,Bestellungen!$A$5:$X$5,0),0),"")</f>
        <v/>
      </c>
      <c r="M185" s="26" t="str">
        <f>IF(ISERROR(VLOOKUP($A185,Bestellungen!$6:$1048576,MATCH(Kasse!M$5,Bestellungen!$A$5:$X$5,0),0))=FALSE,SUMIF(Kalkulation!$A$6:$A$40,Kasse!M$5&amp;"*",Kalkulation!$C$6:$C$40)*VLOOKUP($A185,Bestellungen!$6:$1048576,MATCH(Kasse!M$5,Bestellungen!$A$5:$X$5,0),0),"")</f>
        <v/>
      </c>
      <c r="N185" s="26" t="str">
        <f>IF(ISERROR(VLOOKUP($A185,Bestellungen!$6:$1048576,MATCH(Kasse!N$5,Bestellungen!$A$5:$X$5,0),0))=FALSE,SUMIF(Kalkulation!$A$6:$A$40,Kasse!N$5&amp;"*",Kalkulation!$C$6:$C$40)*VLOOKUP($A185,Bestellungen!$6:$1048576,MATCH(Kasse!N$5,Bestellungen!$A$5:$X$5,0),0),"")</f>
        <v/>
      </c>
      <c r="O185" s="26" t="str">
        <f>IF(ISERROR(VLOOKUP($A185,Bestellungen!$6:$1048576,MATCH(Kasse!O$5,Bestellungen!$A$5:$X$5,0),0))=FALSE,SUMIF(Kalkulation!$A$6:$A$40,Kasse!O$5&amp;"*",Kalkulation!$C$6:$C$40)*VLOOKUP($A185,Bestellungen!$6:$1048576,MATCH(Kasse!O$5,Bestellungen!$A$5:$X$5,0),0),"")</f>
        <v/>
      </c>
      <c r="P185" s="26" t="str">
        <f>IF(ISERROR(VLOOKUP($A185,Bestellungen!$6:$1048576,MATCH(Kasse!P$5,Bestellungen!$A$5:$X$5,0),0))=FALSE,SUMIF(Kalkulation!$A$6:$A$40,Kasse!P$5&amp;"*",Kalkulation!$C$6:$C$40)*VLOOKUP($A185,Bestellungen!$6:$1048576,MATCH(Kasse!P$5,Bestellungen!$A$5:$X$5,0),0),"")</f>
        <v/>
      </c>
      <c r="Q185" s="26" t="str">
        <f>IF(ISERROR(VLOOKUP($A185,Bestellungen!$6:$1048576,MATCH(Kasse!Q$5,Bestellungen!$A$5:$X$5,0),0))=FALSE,SUMIF(Kalkulation!$A$6:$A$40,Kasse!Q$5&amp;"*",Kalkulation!$C$6:$C$40)*VLOOKUP($A185,Bestellungen!$6:$1048576,MATCH(Kasse!Q$5,Bestellungen!$A$5:$X$5,0),0),"")</f>
        <v/>
      </c>
      <c r="R185" s="26" t="str">
        <f>IF(ISERROR(VLOOKUP($A185,Bestellungen!$6:$1048576,MATCH(Kasse!R$5,Bestellungen!$A$5:$X$5,0),0))=FALSE,SUMIF(Kalkulation!$A$6:$A$40,Kasse!R$5&amp;"*",Kalkulation!$C$6:$C$40)*VLOOKUP($A185,Bestellungen!$6:$1048576,MATCH(Kasse!R$5,Bestellungen!$A$5:$X$5,0),0),"")</f>
        <v/>
      </c>
      <c r="S185" s="26" t="str">
        <f>IF(ISERROR(VLOOKUP($A185,Bestellungen!$6:$1048576,MATCH(Kasse!S$5,Bestellungen!$A$5:$X$5,0),0))=FALSE,SUMIF(Kalkulation!$A$6:$A$40,Kasse!S$5&amp;"*",Kalkulation!$C$6:$C$40)*VLOOKUP($A185,Bestellungen!$6:$1048576,MATCH(Kasse!S$5,Bestellungen!$A$5:$X$5,0),0),"")</f>
        <v/>
      </c>
      <c r="T185" s="26" t="str">
        <f>IF(ISERROR(VLOOKUP($A185,Bestellungen!$6:$1048576,MATCH(Kasse!T$5,Bestellungen!$A$5:$X$5,0),0))=FALSE,SUMIF(Kalkulation!$A$6:$A$40,Kasse!T$5&amp;"*",Kalkulation!$C$6:$C$40)*VLOOKUP($A185,Bestellungen!$6:$1048576,MATCH(Kasse!T$5,Bestellungen!$A$5:$X$5,0),0),"")</f>
        <v/>
      </c>
      <c r="U185" s="26" t="str">
        <f t="shared" si="4"/>
        <v/>
      </c>
      <c r="W185" s="26" t="str">
        <f t="shared" si="5"/>
        <v/>
      </c>
      <c r="X185" s="26"/>
      <c r="Y185" s="26"/>
      <c r="Z185" s="26"/>
      <c r="AA185" s="26"/>
    </row>
    <row r="186" spans="1:27" x14ac:dyDescent="0.25">
      <c r="A186" t="str">
        <f>IF(LEN(Bestellungen!$A186)&gt;0,Bestellungen!$A186,"")</f>
        <v/>
      </c>
      <c r="B186" s="26" t="str">
        <f>IF(ISERROR(VLOOKUP($A186,Bestellungen!$6:$1048576,MATCH(Kasse!B$5,Bestellungen!$A$5:$X$5,0),0))=FALSE,SUMIF(Kalkulation!$A$6:$A$40,Kasse!B$5&amp;"*",Kalkulation!$C$6:$C$40)*VLOOKUP($A186,Bestellungen!$6:$1048576,MATCH(Kasse!B$5,Bestellungen!$A$5:$X$5,0),0),"")</f>
        <v/>
      </c>
      <c r="C186" s="26" t="str">
        <f>IF(ISERROR(VLOOKUP($A186,Bestellungen!$6:$1048576,MATCH(Kasse!C$5,Bestellungen!$A$5:$X$5,0),0))=FALSE,SUMIF(Kalkulation!$A$6:$A$40,Kasse!C$5&amp;"*",Kalkulation!$C$6:$C$40)*VLOOKUP($A186,Bestellungen!$6:$1048576,MATCH(Kasse!C$5,Bestellungen!$A$5:$X$5,0),0),"")</f>
        <v/>
      </c>
      <c r="D186" s="26" t="str">
        <f>IF(ISERROR(VLOOKUP($A186,Bestellungen!$6:$1048576,MATCH(Kasse!D$5,Bestellungen!$A$5:$X$5,0),0))=FALSE,SUMIF(Kalkulation!$A$6:$A$40,Kasse!D$5&amp;"*",Kalkulation!$C$6:$C$40)*VLOOKUP($A186,Bestellungen!$6:$1048576,MATCH(Kasse!D$5,Bestellungen!$A$5:$X$5,0),0),"")</f>
        <v/>
      </c>
      <c r="E186" s="26" t="str">
        <f>IF(ISERROR(VLOOKUP($A186,Bestellungen!$6:$1048576,MATCH(Kasse!E$5,Bestellungen!$A$5:$X$5,0),0))=FALSE,SUMIF(Kalkulation!$A$6:$A$40,Kasse!E$5&amp;"*",Kalkulation!$C$6:$C$40)*VLOOKUP($A186,Bestellungen!$6:$1048576,MATCH(Kasse!E$5,Bestellungen!$A$5:$X$5,0),0),"")</f>
        <v/>
      </c>
      <c r="F186" s="26" t="str">
        <f>IF(ISERROR(VLOOKUP($A186,Bestellungen!$6:$1048576,MATCH(Kasse!F$5,Bestellungen!$A$5:$X$5,0),0))=FALSE,SUMIF(Kalkulation!$A$6:$A$40,Kasse!F$5&amp;"*",Kalkulation!$C$6:$C$40)*VLOOKUP($A186,Bestellungen!$6:$1048576,MATCH(Kasse!F$5,Bestellungen!$A$5:$X$5,0),0),"")</f>
        <v/>
      </c>
      <c r="G186" s="26" t="str">
        <f>IF(ISERROR(VLOOKUP($A186,Bestellungen!$6:$1048576,MATCH(Kasse!G$5,Bestellungen!$A$5:$X$5,0),0))=FALSE,SUMIF(Kalkulation!$A$6:$A$40,Kasse!G$5&amp;"*",Kalkulation!$C$6:$C$40)*VLOOKUP($A186,Bestellungen!$6:$1048576,MATCH(Kasse!G$5,Bestellungen!$A$5:$X$5,0),0),"")</f>
        <v/>
      </c>
      <c r="H186" s="26" t="str">
        <f>IF(ISERROR(VLOOKUP($A186,Bestellungen!$6:$1048576,MATCH(Kasse!H$5,Bestellungen!$A$5:$X$5,0),0))=FALSE,SUMIF(Kalkulation!$A$6:$A$40,Kasse!H$5&amp;"*",Kalkulation!$C$6:$C$40)*VLOOKUP($A186,Bestellungen!$6:$1048576,MATCH(Kasse!H$5,Bestellungen!$A$5:$X$5,0),0),"")</f>
        <v/>
      </c>
      <c r="I186" s="26" t="str">
        <f>IF(ISERROR(VLOOKUP($A186,Bestellungen!$6:$1048576,MATCH(Kasse!I$5,Bestellungen!$A$5:$X$5,0),0))=FALSE,SUMIF(Kalkulation!$A$6:$A$40,Kasse!I$5&amp;"*",Kalkulation!$C$6:$C$40)*VLOOKUP($A186,Bestellungen!$6:$1048576,MATCH(Kasse!I$5,Bestellungen!$A$5:$X$5,0),0),"")</f>
        <v/>
      </c>
      <c r="J186" s="26" t="str">
        <f>IF(ISERROR(VLOOKUP($A186,Bestellungen!$6:$1048576,MATCH(Kasse!J$5,Bestellungen!$A$5:$X$5,0),0))=FALSE,SUMIF(Kalkulation!$A$6:$A$40,Kasse!J$5&amp;"*",Kalkulation!$C$6:$C$40)*VLOOKUP($A186,Bestellungen!$6:$1048576,MATCH(Kasse!J$5,Bestellungen!$A$5:$X$5,0),0),"")</f>
        <v/>
      </c>
      <c r="K186" s="26" t="str">
        <f>IF(ISERROR(VLOOKUP($A186,Bestellungen!$6:$1048576,MATCH(Kasse!K$5,Bestellungen!$A$5:$X$5,0),0))=FALSE,SUMIF(Kalkulation!$A$6:$A$40,Kasse!K$5&amp;"*",Kalkulation!$C$6:$C$40)*VLOOKUP($A186,Bestellungen!$6:$1048576,MATCH(Kasse!K$5,Bestellungen!$A$5:$X$5,0),0),"")</f>
        <v/>
      </c>
      <c r="L186" s="26" t="str">
        <f>IF(ISERROR(VLOOKUP($A186,Bestellungen!$6:$1048576,MATCH(Kasse!L$5,Bestellungen!$A$5:$X$5,0),0))=FALSE,SUMIF(Kalkulation!$A$6:$A$40,Kasse!L$5&amp;"*",Kalkulation!$C$6:$C$40)*VLOOKUP($A186,Bestellungen!$6:$1048576,MATCH(Kasse!L$5,Bestellungen!$A$5:$X$5,0),0),"")</f>
        <v/>
      </c>
      <c r="M186" s="26" t="str">
        <f>IF(ISERROR(VLOOKUP($A186,Bestellungen!$6:$1048576,MATCH(Kasse!M$5,Bestellungen!$A$5:$X$5,0),0))=FALSE,SUMIF(Kalkulation!$A$6:$A$40,Kasse!M$5&amp;"*",Kalkulation!$C$6:$C$40)*VLOOKUP($A186,Bestellungen!$6:$1048576,MATCH(Kasse!M$5,Bestellungen!$A$5:$X$5,0),0),"")</f>
        <v/>
      </c>
      <c r="N186" s="26" t="str">
        <f>IF(ISERROR(VLOOKUP($A186,Bestellungen!$6:$1048576,MATCH(Kasse!N$5,Bestellungen!$A$5:$X$5,0),0))=FALSE,SUMIF(Kalkulation!$A$6:$A$40,Kasse!N$5&amp;"*",Kalkulation!$C$6:$C$40)*VLOOKUP($A186,Bestellungen!$6:$1048576,MATCH(Kasse!N$5,Bestellungen!$A$5:$X$5,0),0),"")</f>
        <v/>
      </c>
      <c r="O186" s="26" t="str">
        <f>IF(ISERROR(VLOOKUP($A186,Bestellungen!$6:$1048576,MATCH(Kasse!O$5,Bestellungen!$A$5:$X$5,0),0))=FALSE,SUMIF(Kalkulation!$A$6:$A$40,Kasse!O$5&amp;"*",Kalkulation!$C$6:$C$40)*VLOOKUP($A186,Bestellungen!$6:$1048576,MATCH(Kasse!O$5,Bestellungen!$A$5:$X$5,0),0),"")</f>
        <v/>
      </c>
      <c r="P186" s="26" t="str">
        <f>IF(ISERROR(VLOOKUP($A186,Bestellungen!$6:$1048576,MATCH(Kasse!P$5,Bestellungen!$A$5:$X$5,0),0))=FALSE,SUMIF(Kalkulation!$A$6:$A$40,Kasse!P$5&amp;"*",Kalkulation!$C$6:$C$40)*VLOOKUP($A186,Bestellungen!$6:$1048576,MATCH(Kasse!P$5,Bestellungen!$A$5:$X$5,0),0),"")</f>
        <v/>
      </c>
      <c r="Q186" s="26" t="str">
        <f>IF(ISERROR(VLOOKUP($A186,Bestellungen!$6:$1048576,MATCH(Kasse!Q$5,Bestellungen!$A$5:$X$5,0),0))=FALSE,SUMIF(Kalkulation!$A$6:$A$40,Kasse!Q$5&amp;"*",Kalkulation!$C$6:$C$40)*VLOOKUP($A186,Bestellungen!$6:$1048576,MATCH(Kasse!Q$5,Bestellungen!$A$5:$X$5,0),0),"")</f>
        <v/>
      </c>
      <c r="R186" s="26" t="str">
        <f>IF(ISERROR(VLOOKUP($A186,Bestellungen!$6:$1048576,MATCH(Kasse!R$5,Bestellungen!$A$5:$X$5,0),0))=FALSE,SUMIF(Kalkulation!$A$6:$A$40,Kasse!R$5&amp;"*",Kalkulation!$C$6:$C$40)*VLOOKUP($A186,Bestellungen!$6:$1048576,MATCH(Kasse!R$5,Bestellungen!$A$5:$X$5,0),0),"")</f>
        <v/>
      </c>
      <c r="S186" s="26" t="str">
        <f>IF(ISERROR(VLOOKUP($A186,Bestellungen!$6:$1048576,MATCH(Kasse!S$5,Bestellungen!$A$5:$X$5,0),0))=FALSE,SUMIF(Kalkulation!$A$6:$A$40,Kasse!S$5&amp;"*",Kalkulation!$C$6:$C$40)*VLOOKUP($A186,Bestellungen!$6:$1048576,MATCH(Kasse!S$5,Bestellungen!$A$5:$X$5,0),0),"")</f>
        <v/>
      </c>
      <c r="T186" s="26" t="str">
        <f>IF(ISERROR(VLOOKUP($A186,Bestellungen!$6:$1048576,MATCH(Kasse!T$5,Bestellungen!$A$5:$X$5,0),0))=FALSE,SUMIF(Kalkulation!$A$6:$A$40,Kasse!T$5&amp;"*",Kalkulation!$C$6:$C$40)*VLOOKUP($A186,Bestellungen!$6:$1048576,MATCH(Kasse!T$5,Bestellungen!$A$5:$X$5,0),0),"")</f>
        <v/>
      </c>
      <c r="U186" s="26" t="str">
        <f t="shared" si="4"/>
        <v/>
      </c>
      <c r="W186" s="26" t="str">
        <f t="shared" si="5"/>
        <v/>
      </c>
      <c r="X186" s="26"/>
      <c r="Y186" s="26"/>
      <c r="Z186" s="26"/>
      <c r="AA186" s="26"/>
    </row>
    <row r="187" spans="1:27" x14ac:dyDescent="0.25">
      <c r="A187" t="str">
        <f>IF(LEN(Bestellungen!$A187)&gt;0,Bestellungen!$A187,"")</f>
        <v/>
      </c>
      <c r="B187" s="26" t="str">
        <f>IF(ISERROR(VLOOKUP($A187,Bestellungen!$6:$1048576,MATCH(Kasse!B$5,Bestellungen!$A$5:$X$5,0),0))=FALSE,SUMIF(Kalkulation!$A$6:$A$40,Kasse!B$5&amp;"*",Kalkulation!$C$6:$C$40)*VLOOKUP($A187,Bestellungen!$6:$1048576,MATCH(Kasse!B$5,Bestellungen!$A$5:$X$5,0),0),"")</f>
        <v/>
      </c>
      <c r="C187" s="26" t="str">
        <f>IF(ISERROR(VLOOKUP($A187,Bestellungen!$6:$1048576,MATCH(Kasse!C$5,Bestellungen!$A$5:$X$5,0),0))=FALSE,SUMIF(Kalkulation!$A$6:$A$40,Kasse!C$5&amp;"*",Kalkulation!$C$6:$C$40)*VLOOKUP($A187,Bestellungen!$6:$1048576,MATCH(Kasse!C$5,Bestellungen!$A$5:$X$5,0),0),"")</f>
        <v/>
      </c>
      <c r="D187" s="26" t="str">
        <f>IF(ISERROR(VLOOKUP($A187,Bestellungen!$6:$1048576,MATCH(Kasse!D$5,Bestellungen!$A$5:$X$5,0),0))=FALSE,SUMIF(Kalkulation!$A$6:$A$40,Kasse!D$5&amp;"*",Kalkulation!$C$6:$C$40)*VLOOKUP($A187,Bestellungen!$6:$1048576,MATCH(Kasse!D$5,Bestellungen!$A$5:$X$5,0),0),"")</f>
        <v/>
      </c>
      <c r="E187" s="26" t="str">
        <f>IF(ISERROR(VLOOKUP($A187,Bestellungen!$6:$1048576,MATCH(Kasse!E$5,Bestellungen!$A$5:$X$5,0),0))=FALSE,SUMIF(Kalkulation!$A$6:$A$40,Kasse!E$5&amp;"*",Kalkulation!$C$6:$C$40)*VLOOKUP($A187,Bestellungen!$6:$1048576,MATCH(Kasse!E$5,Bestellungen!$A$5:$X$5,0),0),"")</f>
        <v/>
      </c>
      <c r="F187" s="26" t="str">
        <f>IF(ISERROR(VLOOKUP($A187,Bestellungen!$6:$1048576,MATCH(Kasse!F$5,Bestellungen!$A$5:$X$5,0),0))=FALSE,SUMIF(Kalkulation!$A$6:$A$40,Kasse!F$5&amp;"*",Kalkulation!$C$6:$C$40)*VLOOKUP($A187,Bestellungen!$6:$1048576,MATCH(Kasse!F$5,Bestellungen!$A$5:$X$5,0),0),"")</f>
        <v/>
      </c>
      <c r="G187" s="26" t="str">
        <f>IF(ISERROR(VLOOKUP($A187,Bestellungen!$6:$1048576,MATCH(Kasse!G$5,Bestellungen!$A$5:$X$5,0),0))=FALSE,SUMIF(Kalkulation!$A$6:$A$40,Kasse!G$5&amp;"*",Kalkulation!$C$6:$C$40)*VLOOKUP($A187,Bestellungen!$6:$1048576,MATCH(Kasse!G$5,Bestellungen!$A$5:$X$5,0),0),"")</f>
        <v/>
      </c>
      <c r="H187" s="26" t="str">
        <f>IF(ISERROR(VLOOKUP($A187,Bestellungen!$6:$1048576,MATCH(Kasse!H$5,Bestellungen!$A$5:$X$5,0),0))=FALSE,SUMIF(Kalkulation!$A$6:$A$40,Kasse!H$5&amp;"*",Kalkulation!$C$6:$C$40)*VLOOKUP($A187,Bestellungen!$6:$1048576,MATCH(Kasse!H$5,Bestellungen!$A$5:$X$5,0),0),"")</f>
        <v/>
      </c>
      <c r="I187" s="26" t="str">
        <f>IF(ISERROR(VLOOKUP($A187,Bestellungen!$6:$1048576,MATCH(Kasse!I$5,Bestellungen!$A$5:$X$5,0),0))=FALSE,SUMIF(Kalkulation!$A$6:$A$40,Kasse!I$5&amp;"*",Kalkulation!$C$6:$C$40)*VLOOKUP($A187,Bestellungen!$6:$1048576,MATCH(Kasse!I$5,Bestellungen!$A$5:$X$5,0),0),"")</f>
        <v/>
      </c>
      <c r="J187" s="26" t="str">
        <f>IF(ISERROR(VLOOKUP($A187,Bestellungen!$6:$1048576,MATCH(Kasse!J$5,Bestellungen!$A$5:$X$5,0),0))=FALSE,SUMIF(Kalkulation!$A$6:$A$40,Kasse!J$5&amp;"*",Kalkulation!$C$6:$C$40)*VLOOKUP($A187,Bestellungen!$6:$1048576,MATCH(Kasse!J$5,Bestellungen!$A$5:$X$5,0),0),"")</f>
        <v/>
      </c>
      <c r="K187" s="26" t="str">
        <f>IF(ISERROR(VLOOKUP($A187,Bestellungen!$6:$1048576,MATCH(Kasse!K$5,Bestellungen!$A$5:$X$5,0),0))=FALSE,SUMIF(Kalkulation!$A$6:$A$40,Kasse!K$5&amp;"*",Kalkulation!$C$6:$C$40)*VLOOKUP($A187,Bestellungen!$6:$1048576,MATCH(Kasse!K$5,Bestellungen!$A$5:$X$5,0),0),"")</f>
        <v/>
      </c>
      <c r="L187" s="26" t="str">
        <f>IF(ISERROR(VLOOKUP($A187,Bestellungen!$6:$1048576,MATCH(Kasse!L$5,Bestellungen!$A$5:$X$5,0),0))=FALSE,SUMIF(Kalkulation!$A$6:$A$40,Kasse!L$5&amp;"*",Kalkulation!$C$6:$C$40)*VLOOKUP($A187,Bestellungen!$6:$1048576,MATCH(Kasse!L$5,Bestellungen!$A$5:$X$5,0),0),"")</f>
        <v/>
      </c>
      <c r="M187" s="26" t="str">
        <f>IF(ISERROR(VLOOKUP($A187,Bestellungen!$6:$1048576,MATCH(Kasse!M$5,Bestellungen!$A$5:$X$5,0),0))=FALSE,SUMIF(Kalkulation!$A$6:$A$40,Kasse!M$5&amp;"*",Kalkulation!$C$6:$C$40)*VLOOKUP($A187,Bestellungen!$6:$1048576,MATCH(Kasse!M$5,Bestellungen!$A$5:$X$5,0),0),"")</f>
        <v/>
      </c>
      <c r="N187" s="26" t="str">
        <f>IF(ISERROR(VLOOKUP($A187,Bestellungen!$6:$1048576,MATCH(Kasse!N$5,Bestellungen!$A$5:$X$5,0),0))=FALSE,SUMIF(Kalkulation!$A$6:$A$40,Kasse!N$5&amp;"*",Kalkulation!$C$6:$C$40)*VLOOKUP($A187,Bestellungen!$6:$1048576,MATCH(Kasse!N$5,Bestellungen!$A$5:$X$5,0),0),"")</f>
        <v/>
      </c>
      <c r="O187" s="26" t="str">
        <f>IF(ISERROR(VLOOKUP($A187,Bestellungen!$6:$1048576,MATCH(Kasse!O$5,Bestellungen!$A$5:$X$5,0),0))=FALSE,SUMIF(Kalkulation!$A$6:$A$40,Kasse!O$5&amp;"*",Kalkulation!$C$6:$C$40)*VLOOKUP($A187,Bestellungen!$6:$1048576,MATCH(Kasse!O$5,Bestellungen!$A$5:$X$5,0),0),"")</f>
        <v/>
      </c>
      <c r="P187" s="26" t="str">
        <f>IF(ISERROR(VLOOKUP($A187,Bestellungen!$6:$1048576,MATCH(Kasse!P$5,Bestellungen!$A$5:$X$5,0),0))=FALSE,SUMIF(Kalkulation!$A$6:$A$40,Kasse!P$5&amp;"*",Kalkulation!$C$6:$C$40)*VLOOKUP($A187,Bestellungen!$6:$1048576,MATCH(Kasse!P$5,Bestellungen!$A$5:$X$5,0),0),"")</f>
        <v/>
      </c>
      <c r="Q187" s="26" t="str">
        <f>IF(ISERROR(VLOOKUP($A187,Bestellungen!$6:$1048576,MATCH(Kasse!Q$5,Bestellungen!$A$5:$X$5,0),0))=FALSE,SUMIF(Kalkulation!$A$6:$A$40,Kasse!Q$5&amp;"*",Kalkulation!$C$6:$C$40)*VLOOKUP($A187,Bestellungen!$6:$1048576,MATCH(Kasse!Q$5,Bestellungen!$A$5:$X$5,0),0),"")</f>
        <v/>
      </c>
      <c r="R187" s="26" t="str">
        <f>IF(ISERROR(VLOOKUP($A187,Bestellungen!$6:$1048576,MATCH(Kasse!R$5,Bestellungen!$A$5:$X$5,0),0))=FALSE,SUMIF(Kalkulation!$A$6:$A$40,Kasse!R$5&amp;"*",Kalkulation!$C$6:$C$40)*VLOOKUP($A187,Bestellungen!$6:$1048576,MATCH(Kasse!R$5,Bestellungen!$A$5:$X$5,0),0),"")</f>
        <v/>
      </c>
      <c r="S187" s="26" t="str">
        <f>IF(ISERROR(VLOOKUP($A187,Bestellungen!$6:$1048576,MATCH(Kasse!S$5,Bestellungen!$A$5:$X$5,0),0))=FALSE,SUMIF(Kalkulation!$A$6:$A$40,Kasse!S$5&amp;"*",Kalkulation!$C$6:$C$40)*VLOOKUP($A187,Bestellungen!$6:$1048576,MATCH(Kasse!S$5,Bestellungen!$A$5:$X$5,0),0),"")</f>
        <v/>
      </c>
      <c r="T187" s="26" t="str">
        <f>IF(ISERROR(VLOOKUP($A187,Bestellungen!$6:$1048576,MATCH(Kasse!T$5,Bestellungen!$A$5:$X$5,0),0))=FALSE,SUMIF(Kalkulation!$A$6:$A$40,Kasse!T$5&amp;"*",Kalkulation!$C$6:$C$40)*VLOOKUP($A187,Bestellungen!$6:$1048576,MATCH(Kasse!T$5,Bestellungen!$A$5:$X$5,0),0),"")</f>
        <v/>
      </c>
      <c r="U187" s="26" t="str">
        <f t="shared" si="4"/>
        <v/>
      </c>
      <c r="W187" s="26" t="str">
        <f t="shared" si="5"/>
        <v/>
      </c>
      <c r="X187" s="26"/>
      <c r="Y187" s="26"/>
      <c r="Z187" s="26"/>
      <c r="AA187" s="26"/>
    </row>
    <row r="188" spans="1:27" x14ac:dyDescent="0.25">
      <c r="A188" t="str">
        <f>IF(LEN(Bestellungen!$A188)&gt;0,Bestellungen!$A188,"")</f>
        <v/>
      </c>
      <c r="B188" s="26" t="str">
        <f>IF(ISERROR(VLOOKUP($A188,Bestellungen!$6:$1048576,MATCH(Kasse!B$5,Bestellungen!$A$5:$X$5,0),0))=FALSE,SUMIF(Kalkulation!$A$6:$A$40,Kasse!B$5&amp;"*",Kalkulation!$C$6:$C$40)*VLOOKUP($A188,Bestellungen!$6:$1048576,MATCH(Kasse!B$5,Bestellungen!$A$5:$X$5,0),0),"")</f>
        <v/>
      </c>
      <c r="C188" s="26" t="str">
        <f>IF(ISERROR(VLOOKUP($A188,Bestellungen!$6:$1048576,MATCH(Kasse!C$5,Bestellungen!$A$5:$X$5,0),0))=FALSE,SUMIF(Kalkulation!$A$6:$A$40,Kasse!C$5&amp;"*",Kalkulation!$C$6:$C$40)*VLOOKUP($A188,Bestellungen!$6:$1048576,MATCH(Kasse!C$5,Bestellungen!$A$5:$X$5,0),0),"")</f>
        <v/>
      </c>
      <c r="D188" s="26" t="str">
        <f>IF(ISERROR(VLOOKUP($A188,Bestellungen!$6:$1048576,MATCH(Kasse!D$5,Bestellungen!$A$5:$X$5,0),0))=FALSE,SUMIF(Kalkulation!$A$6:$A$40,Kasse!D$5&amp;"*",Kalkulation!$C$6:$C$40)*VLOOKUP($A188,Bestellungen!$6:$1048576,MATCH(Kasse!D$5,Bestellungen!$A$5:$X$5,0),0),"")</f>
        <v/>
      </c>
      <c r="E188" s="26" t="str">
        <f>IF(ISERROR(VLOOKUP($A188,Bestellungen!$6:$1048576,MATCH(Kasse!E$5,Bestellungen!$A$5:$X$5,0),0))=FALSE,SUMIF(Kalkulation!$A$6:$A$40,Kasse!E$5&amp;"*",Kalkulation!$C$6:$C$40)*VLOOKUP($A188,Bestellungen!$6:$1048576,MATCH(Kasse!E$5,Bestellungen!$A$5:$X$5,0),0),"")</f>
        <v/>
      </c>
      <c r="F188" s="26" t="str">
        <f>IF(ISERROR(VLOOKUP($A188,Bestellungen!$6:$1048576,MATCH(Kasse!F$5,Bestellungen!$A$5:$X$5,0),0))=FALSE,SUMIF(Kalkulation!$A$6:$A$40,Kasse!F$5&amp;"*",Kalkulation!$C$6:$C$40)*VLOOKUP($A188,Bestellungen!$6:$1048576,MATCH(Kasse!F$5,Bestellungen!$A$5:$X$5,0),0),"")</f>
        <v/>
      </c>
      <c r="G188" s="26" t="str">
        <f>IF(ISERROR(VLOOKUP($A188,Bestellungen!$6:$1048576,MATCH(Kasse!G$5,Bestellungen!$A$5:$X$5,0),0))=FALSE,SUMIF(Kalkulation!$A$6:$A$40,Kasse!G$5&amp;"*",Kalkulation!$C$6:$C$40)*VLOOKUP($A188,Bestellungen!$6:$1048576,MATCH(Kasse!G$5,Bestellungen!$A$5:$X$5,0),0),"")</f>
        <v/>
      </c>
      <c r="H188" s="26" t="str">
        <f>IF(ISERROR(VLOOKUP($A188,Bestellungen!$6:$1048576,MATCH(Kasse!H$5,Bestellungen!$A$5:$X$5,0),0))=FALSE,SUMIF(Kalkulation!$A$6:$A$40,Kasse!H$5&amp;"*",Kalkulation!$C$6:$C$40)*VLOOKUP($A188,Bestellungen!$6:$1048576,MATCH(Kasse!H$5,Bestellungen!$A$5:$X$5,0),0),"")</f>
        <v/>
      </c>
      <c r="I188" s="26" t="str">
        <f>IF(ISERROR(VLOOKUP($A188,Bestellungen!$6:$1048576,MATCH(Kasse!I$5,Bestellungen!$A$5:$X$5,0),0))=FALSE,SUMIF(Kalkulation!$A$6:$A$40,Kasse!I$5&amp;"*",Kalkulation!$C$6:$C$40)*VLOOKUP($A188,Bestellungen!$6:$1048576,MATCH(Kasse!I$5,Bestellungen!$A$5:$X$5,0),0),"")</f>
        <v/>
      </c>
      <c r="J188" s="26" t="str">
        <f>IF(ISERROR(VLOOKUP($A188,Bestellungen!$6:$1048576,MATCH(Kasse!J$5,Bestellungen!$A$5:$X$5,0),0))=FALSE,SUMIF(Kalkulation!$A$6:$A$40,Kasse!J$5&amp;"*",Kalkulation!$C$6:$C$40)*VLOOKUP($A188,Bestellungen!$6:$1048576,MATCH(Kasse!J$5,Bestellungen!$A$5:$X$5,0),0),"")</f>
        <v/>
      </c>
      <c r="K188" s="26" t="str">
        <f>IF(ISERROR(VLOOKUP($A188,Bestellungen!$6:$1048576,MATCH(Kasse!K$5,Bestellungen!$A$5:$X$5,0),0))=FALSE,SUMIF(Kalkulation!$A$6:$A$40,Kasse!K$5&amp;"*",Kalkulation!$C$6:$C$40)*VLOOKUP($A188,Bestellungen!$6:$1048576,MATCH(Kasse!K$5,Bestellungen!$A$5:$X$5,0),0),"")</f>
        <v/>
      </c>
      <c r="L188" s="26" t="str">
        <f>IF(ISERROR(VLOOKUP($A188,Bestellungen!$6:$1048576,MATCH(Kasse!L$5,Bestellungen!$A$5:$X$5,0),0))=FALSE,SUMIF(Kalkulation!$A$6:$A$40,Kasse!L$5&amp;"*",Kalkulation!$C$6:$C$40)*VLOOKUP($A188,Bestellungen!$6:$1048576,MATCH(Kasse!L$5,Bestellungen!$A$5:$X$5,0),0),"")</f>
        <v/>
      </c>
      <c r="M188" s="26" t="str">
        <f>IF(ISERROR(VLOOKUP($A188,Bestellungen!$6:$1048576,MATCH(Kasse!M$5,Bestellungen!$A$5:$X$5,0),0))=FALSE,SUMIF(Kalkulation!$A$6:$A$40,Kasse!M$5&amp;"*",Kalkulation!$C$6:$C$40)*VLOOKUP($A188,Bestellungen!$6:$1048576,MATCH(Kasse!M$5,Bestellungen!$A$5:$X$5,0),0),"")</f>
        <v/>
      </c>
      <c r="N188" s="26" t="str">
        <f>IF(ISERROR(VLOOKUP($A188,Bestellungen!$6:$1048576,MATCH(Kasse!N$5,Bestellungen!$A$5:$X$5,0),0))=FALSE,SUMIF(Kalkulation!$A$6:$A$40,Kasse!N$5&amp;"*",Kalkulation!$C$6:$C$40)*VLOOKUP($A188,Bestellungen!$6:$1048576,MATCH(Kasse!N$5,Bestellungen!$A$5:$X$5,0),0),"")</f>
        <v/>
      </c>
      <c r="O188" s="26" t="str">
        <f>IF(ISERROR(VLOOKUP($A188,Bestellungen!$6:$1048576,MATCH(Kasse!O$5,Bestellungen!$A$5:$X$5,0),0))=FALSE,SUMIF(Kalkulation!$A$6:$A$40,Kasse!O$5&amp;"*",Kalkulation!$C$6:$C$40)*VLOOKUP($A188,Bestellungen!$6:$1048576,MATCH(Kasse!O$5,Bestellungen!$A$5:$X$5,0),0),"")</f>
        <v/>
      </c>
      <c r="P188" s="26" t="str">
        <f>IF(ISERROR(VLOOKUP($A188,Bestellungen!$6:$1048576,MATCH(Kasse!P$5,Bestellungen!$A$5:$X$5,0),0))=FALSE,SUMIF(Kalkulation!$A$6:$A$40,Kasse!P$5&amp;"*",Kalkulation!$C$6:$C$40)*VLOOKUP($A188,Bestellungen!$6:$1048576,MATCH(Kasse!P$5,Bestellungen!$A$5:$X$5,0),0),"")</f>
        <v/>
      </c>
      <c r="Q188" s="26" t="str">
        <f>IF(ISERROR(VLOOKUP($A188,Bestellungen!$6:$1048576,MATCH(Kasse!Q$5,Bestellungen!$A$5:$X$5,0),0))=FALSE,SUMIF(Kalkulation!$A$6:$A$40,Kasse!Q$5&amp;"*",Kalkulation!$C$6:$C$40)*VLOOKUP($A188,Bestellungen!$6:$1048576,MATCH(Kasse!Q$5,Bestellungen!$A$5:$X$5,0),0),"")</f>
        <v/>
      </c>
      <c r="R188" s="26" t="str">
        <f>IF(ISERROR(VLOOKUP($A188,Bestellungen!$6:$1048576,MATCH(Kasse!R$5,Bestellungen!$A$5:$X$5,0),0))=FALSE,SUMIF(Kalkulation!$A$6:$A$40,Kasse!R$5&amp;"*",Kalkulation!$C$6:$C$40)*VLOOKUP($A188,Bestellungen!$6:$1048576,MATCH(Kasse!R$5,Bestellungen!$A$5:$X$5,0),0),"")</f>
        <v/>
      </c>
      <c r="S188" s="26" t="str">
        <f>IF(ISERROR(VLOOKUP($A188,Bestellungen!$6:$1048576,MATCH(Kasse!S$5,Bestellungen!$A$5:$X$5,0),0))=FALSE,SUMIF(Kalkulation!$A$6:$A$40,Kasse!S$5&amp;"*",Kalkulation!$C$6:$C$40)*VLOOKUP($A188,Bestellungen!$6:$1048576,MATCH(Kasse!S$5,Bestellungen!$A$5:$X$5,0),0),"")</f>
        <v/>
      </c>
      <c r="T188" s="26" t="str">
        <f>IF(ISERROR(VLOOKUP($A188,Bestellungen!$6:$1048576,MATCH(Kasse!T$5,Bestellungen!$A$5:$X$5,0),0))=FALSE,SUMIF(Kalkulation!$A$6:$A$40,Kasse!T$5&amp;"*",Kalkulation!$C$6:$C$40)*VLOOKUP($A188,Bestellungen!$6:$1048576,MATCH(Kasse!T$5,Bestellungen!$A$5:$X$5,0),0),"")</f>
        <v/>
      </c>
      <c r="U188" s="26" t="str">
        <f t="shared" si="4"/>
        <v/>
      </c>
      <c r="W188" s="26" t="str">
        <f t="shared" si="5"/>
        <v/>
      </c>
      <c r="X188" s="26"/>
      <c r="Y188" s="26"/>
      <c r="Z188" s="26"/>
      <c r="AA188" s="26"/>
    </row>
    <row r="189" spans="1:27" x14ac:dyDescent="0.25">
      <c r="A189" t="str">
        <f>IF(LEN(Bestellungen!$A189)&gt;0,Bestellungen!$A189,"")</f>
        <v/>
      </c>
      <c r="B189" s="26" t="str">
        <f>IF(ISERROR(VLOOKUP($A189,Bestellungen!$6:$1048576,MATCH(Kasse!B$5,Bestellungen!$A$5:$X$5,0),0))=FALSE,SUMIF(Kalkulation!$A$6:$A$40,Kasse!B$5&amp;"*",Kalkulation!$C$6:$C$40)*VLOOKUP($A189,Bestellungen!$6:$1048576,MATCH(Kasse!B$5,Bestellungen!$A$5:$X$5,0),0),"")</f>
        <v/>
      </c>
      <c r="C189" s="26" t="str">
        <f>IF(ISERROR(VLOOKUP($A189,Bestellungen!$6:$1048576,MATCH(Kasse!C$5,Bestellungen!$A$5:$X$5,0),0))=FALSE,SUMIF(Kalkulation!$A$6:$A$40,Kasse!C$5&amp;"*",Kalkulation!$C$6:$C$40)*VLOOKUP($A189,Bestellungen!$6:$1048576,MATCH(Kasse!C$5,Bestellungen!$A$5:$X$5,0),0),"")</f>
        <v/>
      </c>
      <c r="D189" s="26" t="str">
        <f>IF(ISERROR(VLOOKUP($A189,Bestellungen!$6:$1048576,MATCH(Kasse!D$5,Bestellungen!$A$5:$X$5,0),0))=FALSE,SUMIF(Kalkulation!$A$6:$A$40,Kasse!D$5&amp;"*",Kalkulation!$C$6:$C$40)*VLOOKUP($A189,Bestellungen!$6:$1048576,MATCH(Kasse!D$5,Bestellungen!$A$5:$X$5,0),0),"")</f>
        <v/>
      </c>
      <c r="E189" s="26" t="str">
        <f>IF(ISERROR(VLOOKUP($A189,Bestellungen!$6:$1048576,MATCH(Kasse!E$5,Bestellungen!$A$5:$X$5,0),0))=FALSE,SUMIF(Kalkulation!$A$6:$A$40,Kasse!E$5&amp;"*",Kalkulation!$C$6:$C$40)*VLOOKUP($A189,Bestellungen!$6:$1048576,MATCH(Kasse!E$5,Bestellungen!$A$5:$X$5,0),0),"")</f>
        <v/>
      </c>
      <c r="F189" s="26" t="str">
        <f>IF(ISERROR(VLOOKUP($A189,Bestellungen!$6:$1048576,MATCH(Kasse!F$5,Bestellungen!$A$5:$X$5,0),0))=FALSE,SUMIF(Kalkulation!$A$6:$A$40,Kasse!F$5&amp;"*",Kalkulation!$C$6:$C$40)*VLOOKUP($A189,Bestellungen!$6:$1048576,MATCH(Kasse!F$5,Bestellungen!$A$5:$X$5,0),0),"")</f>
        <v/>
      </c>
      <c r="G189" s="26" t="str">
        <f>IF(ISERROR(VLOOKUP($A189,Bestellungen!$6:$1048576,MATCH(Kasse!G$5,Bestellungen!$A$5:$X$5,0),0))=FALSE,SUMIF(Kalkulation!$A$6:$A$40,Kasse!G$5&amp;"*",Kalkulation!$C$6:$C$40)*VLOOKUP($A189,Bestellungen!$6:$1048576,MATCH(Kasse!G$5,Bestellungen!$A$5:$X$5,0),0),"")</f>
        <v/>
      </c>
      <c r="H189" s="26" t="str">
        <f>IF(ISERROR(VLOOKUP($A189,Bestellungen!$6:$1048576,MATCH(Kasse!H$5,Bestellungen!$A$5:$X$5,0),0))=FALSE,SUMIF(Kalkulation!$A$6:$A$40,Kasse!H$5&amp;"*",Kalkulation!$C$6:$C$40)*VLOOKUP($A189,Bestellungen!$6:$1048576,MATCH(Kasse!H$5,Bestellungen!$A$5:$X$5,0),0),"")</f>
        <v/>
      </c>
      <c r="I189" s="26" t="str">
        <f>IF(ISERROR(VLOOKUP($A189,Bestellungen!$6:$1048576,MATCH(Kasse!I$5,Bestellungen!$A$5:$X$5,0),0))=FALSE,SUMIF(Kalkulation!$A$6:$A$40,Kasse!I$5&amp;"*",Kalkulation!$C$6:$C$40)*VLOOKUP($A189,Bestellungen!$6:$1048576,MATCH(Kasse!I$5,Bestellungen!$A$5:$X$5,0),0),"")</f>
        <v/>
      </c>
      <c r="J189" s="26" t="str">
        <f>IF(ISERROR(VLOOKUP($A189,Bestellungen!$6:$1048576,MATCH(Kasse!J$5,Bestellungen!$A$5:$X$5,0),0))=FALSE,SUMIF(Kalkulation!$A$6:$A$40,Kasse!J$5&amp;"*",Kalkulation!$C$6:$C$40)*VLOOKUP($A189,Bestellungen!$6:$1048576,MATCH(Kasse!J$5,Bestellungen!$A$5:$X$5,0),0),"")</f>
        <v/>
      </c>
      <c r="K189" s="26" t="str">
        <f>IF(ISERROR(VLOOKUP($A189,Bestellungen!$6:$1048576,MATCH(Kasse!K$5,Bestellungen!$A$5:$X$5,0),0))=FALSE,SUMIF(Kalkulation!$A$6:$A$40,Kasse!K$5&amp;"*",Kalkulation!$C$6:$C$40)*VLOOKUP($A189,Bestellungen!$6:$1048576,MATCH(Kasse!K$5,Bestellungen!$A$5:$X$5,0),0),"")</f>
        <v/>
      </c>
      <c r="L189" s="26" t="str">
        <f>IF(ISERROR(VLOOKUP($A189,Bestellungen!$6:$1048576,MATCH(Kasse!L$5,Bestellungen!$A$5:$X$5,0),0))=FALSE,SUMIF(Kalkulation!$A$6:$A$40,Kasse!L$5&amp;"*",Kalkulation!$C$6:$C$40)*VLOOKUP($A189,Bestellungen!$6:$1048576,MATCH(Kasse!L$5,Bestellungen!$A$5:$X$5,0),0),"")</f>
        <v/>
      </c>
      <c r="M189" s="26" t="str">
        <f>IF(ISERROR(VLOOKUP($A189,Bestellungen!$6:$1048576,MATCH(Kasse!M$5,Bestellungen!$A$5:$X$5,0),0))=FALSE,SUMIF(Kalkulation!$A$6:$A$40,Kasse!M$5&amp;"*",Kalkulation!$C$6:$C$40)*VLOOKUP($A189,Bestellungen!$6:$1048576,MATCH(Kasse!M$5,Bestellungen!$A$5:$X$5,0),0),"")</f>
        <v/>
      </c>
      <c r="N189" s="26" t="str">
        <f>IF(ISERROR(VLOOKUP($A189,Bestellungen!$6:$1048576,MATCH(Kasse!N$5,Bestellungen!$A$5:$X$5,0),0))=FALSE,SUMIF(Kalkulation!$A$6:$A$40,Kasse!N$5&amp;"*",Kalkulation!$C$6:$C$40)*VLOOKUP($A189,Bestellungen!$6:$1048576,MATCH(Kasse!N$5,Bestellungen!$A$5:$X$5,0),0),"")</f>
        <v/>
      </c>
      <c r="O189" s="26" t="str">
        <f>IF(ISERROR(VLOOKUP($A189,Bestellungen!$6:$1048576,MATCH(Kasse!O$5,Bestellungen!$A$5:$X$5,0),0))=FALSE,SUMIF(Kalkulation!$A$6:$A$40,Kasse!O$5&amp;"*",Kalkulation!$C$6:$C$40)*VLOOKUP($A189,Bestellungen!$6:$1048576,MATCH(Kasse!O$5,Bestellungen!$A$5:$X$5,0),0),"")</f>
        <v/>
      </c>
      <c r="P189" s="26" t="str">
        <f>IF(ISERROR(VLOOKUP($A189,Bestellungen!$6:$1048576,MATCH(Kasse!P$5,Bestellungen!$A$5:$X$5,0),0))=FALSE,SUMIF(Kalkulation!$A$6:$A$40,Kasse!P$5&amp;"*",Kalkulation!$C$6:$C$40)*VLOOKUP($A189,Bestellungen!$6:$1048576,MATCH(Kasse!P$5,Bestellungen!$A$5:$X$5,0),0),"")</f>
        <v/>
      </c>
      <c r="Q189" s="26" t="str">
        <f>IF(ISERROR(VLOOKUP($A189,Bestellungen!$6:$1048576,MATCH(Kasse!Q$5,Bestellungen!$A$5:$X$5,0),0))=FALSE,SUMIF(Kalkulation!$A$6:$A$40,Kasse!Q$5&amp;"*",Kalkulation!$C$6:$C$40)*VLOOKUP($A189,Bestellungen!$6:$1048576,MATCH(Kasse!Q$5,Bestellungen!$A$5:$X$5,0),0),"")</f>
        <v/>
      </c>
      <c r="R189" s="26" t="str">
        <f>IF(ISERROR(VLOOKUP($A189,Bestellungen!$6:$1048576,MATCH(Kasse!R$5,Bestellungen!$A$5:$X$5,0),0))=FALSE,SUMIF(Kalkulation!$A$6:$A$40,Kasse!R$5&amp;"*",Kalkulation!$C$6:$C$40)*VLOOKUP($A189,Bestellungen!$6:$1048576,MATCH(Kasse!R$5,Bestellungen!$A$5:$X$5,0),0),"")</f>
        <v/>
      </c>
      <c r="S189" s="26" t="str">
        <f>IF(ISERROR(VLOOKUP($A189,Bestellungen!$6:$1048576,MATCH(Kasse!S$5,Bestellungen!$A$5:$X$5,0),0))=FALSE,SUMIF(Kalkulation!$A$6:$A$40,Kasse!S$5&amp;"*",Kalkulation!$C$6:$C$40)*VLOOKUP($A189,Bestellungen!$6:$1048576,MATCH(Kasse!S$5,Bestellungen!$A$5:$X$5,0),0),"")</f>
        <v/>
      </c>
      <c r="T189" s="26" t="str">
        <f>IF(ISERROR(VLOOKUP($A189,Bestellungen!$6:$1048576,MATCH(Kasse!T$5,Bestellungen!$A$5:$X$5,0),0))=FALSE,SUMIF(Kalkulation!$A$6:$A$40,Kasse!T$5&amp;"*",Kalkulation!$C$6:$C$40)*VLOOKUP($A189,Bestellungen!$6:$1048576,MATCH(Kasse!T$5,Bestellungen!$A$5:$X$5,0),0),"")</f>
        <v/>
      </c>
      <c r="U189" s="26" t="str">
        <f t="shared" si="4"/>
        <v/>
      </c>
      <c r="W189" s="26" t="str">
        <f t="shared" si="5"/>
        <v/>
      </c>
      <c r="X189" s="26"/>
      <c r="Y189" s="26"/>
      <c r="Z189" s="26"/>
      <c r="AA189" s="26"/>
    </row>
    <row r="190" spans="1:27" x14ac:dyDescent="0.25">
      <c r="A190" t="str">
        <f>IF(LEN(Bestellungen!$A190)&gt;0,Bestellungen!$A190,"")</f>
        <v/>
      </c>
      <c r="B190" s="26" t="str">
        <f>IF(ISERROR(VLOOKUP($A190,Bestellungen!$6:$1048576,MATCH(Kasse!B$5,Bestellungen!$A$5:$X$5,0),0))=FALSE,SUMIF(Kalkulation!$A$6:$A$40,Kasse!B$5&amp;"*",Kalkulation!$C$6:$C$40)*VLOOKUP($A190,Bestellungen!$6:$1048576,MATCH(Kasse!B$5,Bestellungen!$A$5:$X$5,0),0),"")</f>
        <v/>
      </c>
      <c r="C190" s="26" t="str">
        <f>IF(ISERROR(VLOOKUP($A190,Bestellungen!$6:$1048576,MATCH(Kasse!C$5,Bestellungen!$A$5:$X$5,0),0))=FALSE,SUMIF(Kalkulation!$A$6:$A$40,Kasse!C$5&amp;"*",Kalkulation!$C$6:$C$40)*VLOOKUP($A190,Bestellungen!$6:$1048576,MATCH(Kasse!C$5,Bestellungen!$A$5:$X$5,0),0),"")</f>
        <v/>
      </c>
      <c r="D190" s="26" t="str">
        <f>IF(ISERROR(VLOOKUP($A190,Bestellungen!$6:$1048576,MATCH(Kasse!D$5,Bestellungen!$A$5:$X$5,0),0))=FALSE,SUMIF(Kalkulation!$A$6:$A$40,Kasse!D$5&amp;"*",Kalkulation!$C$6:$C$40)*VLOOKUP($A190,Bestellungen!$6:$1048576,MATCH(Kasse!D$5,Bestellungen!$A$5:$X$5,0),0),"")</f>
        <v/>
      </c>
      <c r="E190" s="26" t="str">
        <f>IF(ISERROR(VLOOKUP($A190,Bestellungen!$6:$1048576,MATCH(Kasse!E$5,Bestellungen!$A$5:$X$5,0),0))=FALSE,SUMIF(Kalkulation!$A$6:$A$40,Kasse!E$5&amp;"*",Kalkulation!$C$6:$C$40)*VLOOKUP($A190,Bestellungen!$6:$1048576,MATCH(Kasse!E$5,Bestellungen!$A$5:$X$5,0),0),"")</f>
        <v/>
      </c>
      <c r="F190" s="26" t="str">
        <f>IF(ISERROR(VLOOKUP($A190,Bestellungen!$6:$1048576,MATCH(Kasse!F$5,Bestellungen!$A$5:$X$5,0),0))=FALSE,SUMIF(Kalkulation!$A$6:$A$40,Kasse!F$5&amp;"*",Kalkulation!$C$6:$C$40)*VLOOKUP($A190,Bestellungen!$6:$1048576,MATCH(Kasse!F$5,Bestellungen!$A$5:$X$5,0),0),"")</f>
        <v/>
      </c>
      <c r="G190" s="26" t="str">
        <f>IF(ISERROR(VLOOKUP($A190,Bestellungen!$6:$1048576,MATCH(Kasse!G$5,Bestellungen!$A$5:$X$5,0),0))=FALSE,SUMIF(Kalkulation!$A$6:$A$40,Kasse!G$5&amp;"*",Kalkulation!$C$6:$C$40)*VLOOKUP($A190,Bestellungen!$6:$1048576,MATCH(Kasse!G$5,Bestellungen!$A$5:$X$5,0),0),"")</f>
        <v/>
      </c>
      <c r="H190" s="26" t="str">
        <f>IF(ISERROR(VLOOKUP($A190,Bestellungen!$6:$1048576,MATCH(Kasse!H$5,Bestellungen!$A$5:$X$5,0),0))=FALSE,SUMIF(Kalkulation!$A$6:$A$40,Kasse!H$5&amp;"*",Kalkulation!$C$6:$C$40)*VLOOKUP($A190,Bestellungen!$6:$1048576,MATCH(Kasse!H$5,Bestellungen!$A$5:$X$5,0),0),"")</f>
        <v/>
      </c>
      <c r="I190" s="26" t="str">
        <f>IF(ISERROR(VLOOKUP($A190,Bestellungen!$6:$1048576,MATCH(Kasse!I$5,Bestellungen!$A$5:$X$5,0),0))=FALSE,SUMIF(Kalkulation!$A$6:$A$40,Kasse!I$5&amp;"*",Kalkulation!$C$6:$C$40)*VLOOKUP($A190,Bestellungen!$6:$1048576,MATCH(Kasse!I$5,Bestellungen!$A$5:$X$5,0),0),"")</f>
        <v/>
      </c>
      <c r="J190" s="26" t="str">
        <f>IF(ISERROR(VLOOKUP($A190,Bestellungen!$6:$1048576,MATCH(Kasse!J$5,Bestellungen!$A$5:$X$5,0),0))=FALSE,SUMIF(Kalkulation!$A$6:$A$40,Kasse!J$5&amp;"*",Kalkulation!$C$6:$C$40)*VLOOKUP($A190,Bestellungen!$6:$1048576,MATCH(Kasse!J$5,Bestellungen!$A$5:$X$5,0),0),"")</f>
        <v/>
      </c>
      <c r="K190" s="26" t="str">
        <f>IF(ISERROR(VLOOKUP($A190,Bestellungen!$6:$1048576,MATCH(Kasse!K$5,Bestellungen!$A$5:$X$5,0),0))=FALSE,SUMIF(Kalkulation!$A$6:$A$40,Kasse!K$5&amp;"*",Kalkulation!$C$6:$C$40)*VLOOKUP($A190,Bestellungen!$6:$1048576,MATCH(Kasse!K$5,Bestellungen!$A$5:$X$5,0),0),"")</f>
        <v/>
      </c>
      <c r="L190" s="26" t="str">
        <f>IF(ISERROR(VLOOKUP($A190,Bestellungen!$6:$1048576,MATCH(Kasse!L$5,Bestellungen!$A$5:$X$5,0),0))=FALSE,SUMIF(Kalkulation!$A$6:$A$40,Kasse!L$5&amp;"*",Kalkulation!$C$6:$C$40)*VLOOKUP($A190,Bestellungen!$6:$1048576,MATCH(Kasse!L$5,Bestellungen!$A$5:$X$5,0),0),"")</f>
        <v/>
      </c>
      <c r="M190" s="26" t="str">
        <f>IF(ISERROR(VLOOKUP($A190,Bestellungen!$6:$1048576,MATCH(Kasse!M$5,Bestellungen!$A$5:$X$5,0),0))=FALSE,SUMIF(Kalkulation!$A$6:$A$40,Kasse!M$5&amp;"*",Kalkulation!$C$6:$C$40)*VLOOKUP($A190,Bestellungen!$6:$1048576,MATCH(Kasse!M$5,Bestellungen!$A$5:$X$5,0),0),"")</f>
        <v/>
      </c>
      <c r="N190" s="26" t="str">
        <f>IF(ISERROR(VLOOKUP($A190,Bestellungen!$6:$1048576,MATCH(Kasse!N$5,Bestellungen!$A$5:$X$5,0),0))=FALSE,SUMIF(Kalkulation!$A$6:$A$40,Kasse!N$5&amp;"*",Kalkulation!$C$6:$C$40)*VLOOKUP($A190,Bestellungen!$6:$1048576,MATCH(Kasse!N$5,Bestellungen!$A$5:$X$5,0),0),"")</f>
        <v/>
      </c>
      <c r="O190" s="26" t="str">
        <f>IF(ISERROR(VLOOKUP($A190,Bestellungen!$6:$1048576,MATCH(Kasse!O$5,Bestellungen!$A$5:$X$5,0),0))=FALSE,SUMIF(Kalkulation!$A$6:$A$40,Kasse!O$5&amp;"*",Kalkulation!$C$6:$C$40)*VLOOKUP($A190,Bestellungen!$6:$1048576,MATCH(Kasse!O$5,Bestellungen!$A$5:$X$5,0),0),"")</f>
        <v/>
      </c>
      <c r="P190" s="26" t="str">
        <f>IF(ISERROR(VLOOKUP($A190,Bestellungen!$6:$1048576,MATCH(Kasse!P$5,Bestellungen!$A$5:$X$5,0),0))=FALSE,SUMIF(Kalkulation!$A$6:$A$40,Kasse!P$5&amp;"*",Kalkulation!$C$6:$C$40)*VLOOKUP($A190,Bestellungen!$6:$1048576,MATCH(Kasse!P$5,Bestellungen!$A$5:$X$5,0),0),"")</f>
        <v/>
      </c>
      <c r="Q190" s="26" t="str">
        <f>IF(ISERROR(VLOOKUP($A190,Bestellungen!$6:$1048576,MATCH(Kasse!Q$5,Bestellungen!$A$5:$X$5,0),0))=FALSE,SUMIF(Kalkulation!$A$6:$A$40,Kasse!Q$5&amp;"*",Kalkulation!$C$6:$C$40)*VLOOKUP($A190,Bestellungen!$6:$1048576,MATCH(Kasse!Q$5,Bestellungen!$A$5:$X$5,0),0),"")</f>
        <v/>
      </c>
      <c r="R190" s="26" t="str">
        <f>IF(ISERROR(VLOOKUP($A190,Bestellungen!$6:$1048576,MATCH(Kasse!R$5,Bestellungen!$A$5:$X$5,0),0))=FALSE,SUMIF(Kalkulation!$A$6:$A$40,Kasse!R$5&amp;"*",Kalkulation!$C$6:$C$40)*VLOOKUP($A190,Bestellungen!$6:$1048576,MATCH(Kasse!R$5,Bestellungen!$A$5:$X$5,0),0),"")</f>
        <v/>
      </c>
      <c r="S190" s="26" t="str">
        <f>IF(ISERROR(VLOOKUP($A190,Bestellungen!$6:$1048576,MATCH(Kasse!S$5,Bestellungen!$A$5:$X$5,0),0))=FALSE,SUMIF(Kalkulation!$A$6:$A$40,Kasse!S$5&amp;"*",Kalkulation!$C$6:$C$40)*VLOOKUP($A190,Bestellungen!$6:$1048576,MATCH(Kasse!S$5,Bestellungen!$A$5:$X$5,0),0),"")</f>
        <v/>
      </c>
      <c r="T190" s="26" t="str">
        <f>IF(ISERROR(VLOOKUP($A190,Bestellungen!$6:$1048576,MATCH(Kasse!T$5,Bestellungen!$A$5:$X$5,0),0))=FALSE,SUMIF(Kalkulation!$A$6:$A$40,Kasse!T$5&amp;"*",Kalkulation!$C$6:$C$40)*VLOOKUP($A190,Bestellungen!$6:$1048576,MATCH(Kasse!T$5,Bestellungen!$A$5:$X$5,0),0),"")</f>
        <v/>
      </c>
      <c r="U190" s="26" t="str">
        <f t="shared" si="4"/>
        <v/>
      </c>
      <c r="W190" s="26" t="str">
        <f t="shared" si="5"/>
        <v/>
      </c>
      <c r="X190" s="26"/>
      <c r="Y190" s="26"/>
      <c r="Z190" s="26"/>
      <c r="AA190" s="26"/>
    </row>
    <row r="191" spans="1:27" x14ac:dyDescent="0.25">
      <c r="A191" t="str">
        <f>IF(LEN(Bestellungen!$A191)&gt;0,Bestellungen!$A191,"")</f>
        <v/>
      </c>
      <c r="B191" s="26" t="str">
        <f>IF(ISERROR(VLOOKUP($A191,Bestellungen!$6:$1048576,MATCH(Kasse!B$5,Bestellungen!$A$5:$X$5,0),0))=FALSE,SUMIF(Kalkulation!$A$6:$A$40,Kasse!B$5&amp;"*",Kalkulation!$C$6:$C$40)*VLOOKUP($A191,Bestellungen!$6:$1048576,MATCH(Kasse!B$5,Bestellungen!$A$5:$X$5,0),0),"")</f>
        <v/>
      </c>
      <c r="C191" s="26" t="str">
        <f>IF(ISERROR(VLOOKUP($A191,Bestellungen!$6:$1048576,MATCH(Kasse!C$5,Bestellungen!$A$5:$X$5,0),0))=FALSE,SUMIF(Kalkulation!$A$6:$A$40,Kasse!C$5&amp;"*",Kalkulation!$C$6:$C$40)*VLOOKUP($A191,Bestellungen!$6:$1048576,MATCH(Kasse!C$5,Bestellungen!$A$5:$X$5,0),0),"")</f>
        <v/>
      </c>
      <c r="D191" s="26" t="str">
        <f>IF(ISERROR(VLOOKUP($A191,Bestellungen!$6:$1048576,MATCH(Kasse!D$5,Bestellungen!$A$5:$X$5,0),0))=FALSE,SUMIF(Kalkulation!$A$6:$A$40,Kasse!D$5&amp;"*",Kalkulation!$C$6:$C$40)*VLOOKUP($A191,Bestellungen!$6:$1048576,MATCH(Kasse!D$5,Bestellungen!$A$5:$X$5,0),0),"")</f>
        <v/>
      </c>
      <c r="E191" s="26" t="str">
        <f>IF(ISERROR(VLOOKUP($A191,Bestellungen!$6:$1048576,MATCH(Kasse!E$5,Bestellungen!$A$5:$X$5,0),0))=FALSE,SUMIF(Kalkulation!$A$6:$A$40,Kasse!E$5&amp;"*",Kalkulation!$C$6:$C$40)*VLOOKUP($A191,Bestellungen!$6:$1048576,MATCH(Kasse!E$5,Bestellungen!$A$5:$X$5,0),0),"")</f>
        <v/>
      </c>
      <c r="F191" s="26" t="str">
        <f>IF(ISERROR(VLOOKUP($A191,Bestellungen!$6:$1048576,MATCH(Kasse!F$5,Bestellungen!$A$5:$X$5,0),0))=FALSE,SUMIF(Kalkulation!$A$6:$A$40,Kasse!F$5&amp;"*",Kalkulation!$C$6:$C$40)*VLOOKUP($A191,Bestellungen!$6:$1048576,MATCH(Kasse!F$5,Bestellungen!$A$5:$X$5,0),0),"")</f>
        <v/>
      </c>
      <c r="G191" s="26" t="str">
        <f>IF(ISERROR(VLOOKUP($A191,Bestellungen!$6:$1048576,MATCH(Kasse!G$5,Bestellungen!$A$5:$X$5,0),0))=FALSE,SUMIF(Kalkulation!$A$6:$A$40,Kasse!G$5&amp;"*",Kalkulation!$C$6:$C$40)*VLOOKUP($A191,Bestellungen!$6:$1048576,MATCH(Kasse!G$5,Bestellungen!$A$5:$X$5,0),0),"")</f>
        <v/>
      </c>
      <c r="H191" s="26" t="str">
        <f>IF(ISERROR(VLOOKUP($A191,Bestellungen!$6:$1048576,MATCH(Kasse!H$5,Bestellungen!$A$5:$X$5,0),0))=FALSE,SUMIF(Kalkulation!$A$6:$A$40,Kasse!H$5&amp;"*",Kalkulation!$C$6:$C$40)*VLOOKUP($A191,Bestellungen!$6:$1048576,MATCH(Kasse!H$5,Bestellungen!$A$5:$X$5,0),0),"")</f>
        <v/>
      </c>
      <c r="I191" s="26" t="str">
        <f>IF(ISERROR(VLOOKUP($A191,Bestellungen!$6:$1048576,MATCH(Kasse!I$5,Bestellungen!$A$5:$X$5,0),0))=FALSE,SUMIF(Kalkulation!$A$6:$A$40,Kasse!I$5&amp;"*",Kalkulation!$C$6:$C$40)*VLOOKUP($A191,Bestellungen!$6:$1048576,MATCH(Kasse!I$5,Bestellungen!$A$5:$X$5,0),0),"")</f>
        <v/>
      </c>
      <c r="J191" s="26" t="str">
        <f>IF(ISERROR(VLOOKUP($A191,Bestellungen!$6:$1048576,MATCH(Kasse!J$5,Bestellungen!$A$5:$X$5,0),0))=FALSE,SUMIF(Kalkulation!$A$6:$A$40,Kasse!J$5&amp;"*",Kalkulation!$C$6:$C$40)*VLOOKUP($A191,Bestellungen!$6:$1048576,MATCH(Kasse!J$5,Bestellungen!$A$5:$X$5,0),0),"")</f>
        <v/>
      </c>
      <c r="K191" s="26" t="str">
        <f>IF(ISERROR(VLOOKUP($A191,Bestellungen!$6:$1048576,MATCH(Kasse!K$5,Bestellungen!$A$5:$X$5,0),0))=FALSE,SUMIF(Kalkulation!$A$6:$A$40,Kasse!K$5&amp;"*",Kalkulation!$C$6:$C$40)*VLOOKUP($A191,Bestellungen!$6:$1048576,MATCH(Kasse!K$5,Bestellungen!$A$5:$X$5,0),0),"")</f>
        <v/>
      </c>
      <c r="L191" s="26" t="str">
        <f>IF(ISERROR(VLOOKUP($A191,Bestellungen!$6:$1048576,MATCH(Kasse!L$5,Bestellungen!$A$5:$X$5,0),0))=FALSE,SUMIF(Kalkulation!$A$6:$A$40,Kasse!L$5&amp;"*",Kalkulation!$C$6:$C$40)*VLOOKUP($A191,Bestellungen!$6:$1048576,MATCH(Kasse!L$5,Bestellungen!$A$5:$X$5,0),0),"")</f>
        <v/>
      </c>
      <c r="M191" s="26" t="str">
        <f>IF(ISERROR(VLOOKUP($A191,Bestellungen!$6:$1048576,MATCH(Kasse!M$5,Bestellungen!$A$5:$X$5,0),0))=FALSE,SUMIF(Kalkulation!$A$6:$A$40,Kasse!M$5&amp;"*",Kalkulation!$C$6:$C$40)*VLOOKUP($A191,Bestellungen!$6:$1048576,MATCH(Kasse!M$5,Bestellungen!$A$5:$X$5,0),0),"")</f>
        <v/>
      </c>
      <c r="N191" s="26" t="str">
        <f>IF(ISERROR(VLOOKUP($A191,Bestellungen!$6:$1048576,MATCH(Kasse!N$5,Bestellungen!$A$5:$X$5,0),0))=FALSE,SUMIF(Kalkulation!$A$6:$A$40,Kasse!N$5&amp;"*",Kalkulation!$C$6:$C$40)*VLOOKUP($A191,Bestellungen!$6:$1048576,MATCH(Kasse!N$5,Bestellungen!$A$5:$X$5,0),0),"")</f>
        <v/>
      </c>
      <c r="O191" s="26" t="str">
        <f>IF(ISERROR(VLOOKUP($A191,Bestellungen!$6:$1048576,MATCH(Kasse!O$5,Bestellungen!$A$5:$X$5,0),0))=FALSE,SUMIF(Kalkulation!$A$6:$A$40,Kasse!O$5&amp;"*",Kalkulation!$C$6:$C$40)*VLOOKUP($A191,Bestellungen!$6:$1048576,MATCH(Kasse!O$5,Bestellungen!$A$5:$X$5,0),0),"")</f>
        <v/>
      </c>
      <c r="P191" s="26" t="str">
        <f>IF(ISERROR(VLOOKUP($A191,Bestellungen!$6:$1048576,MATCH(Kasse!P$5,Bestellungen!$A$5:$X$5,0),0))=FALSE,SUMIF(Kalkulation!$A$6:$A$40,Kasse!P$5&amp;"*",Kalkulation!$C$6:$C$40)*VLOOKUP($A191,Bestellungen!$6:$1048576,MATCH(Kasse!P$5,Bestellungen!$A$5:$X$5,0),0),"")</f>
        <v/>
      </c>
      <c r="Q191" s="26" t="str">
        <f>IF(ISERROR(VLOOKUP($A191,Bestellungen!$6:$1048576,MATCH(Kasse!Q$5,Bestellungen!$A$5:$X$5,0),0))=FALSE,SUMIF(Kalkulation!$A$6:$A$40,Kasse!Q$5&amp;"*",Kalkulation!$C$6:$C$40)*VLOOKUP($A191,Bestellungen!$6:$1048576,MATCH(Kasse!Q$5,Bestellungen!$A$5:$X$5,0),0),"")</f>
        <v/>
      </c>
      <c r="R191" s="26" t="str">
        <f>IF(ISERROR(VLOOKUP($A191,Bestellungen!$6:$1048576,MATCH(Kasse!R$5,Bestellungen!$A$5:$X$5,0),0))=FALSE,SUMIF(Kalkulation!$A$6:$A$40,Kasse!R$5&amp;"*",Kalkulation!$C$6:$C$40)*VLOOKUP($A191,Bestellungen!$6:$1048576,MATCH(Kasse!R$5,Bestellungen!$A$5:$X$5,0),0),"")</f>
        <v/>
      </c>
      <c r="S191" s="26" t="str">
        <f>IF(ISERROR(VLOOKUP($A191,Bestellungen!$6:$1048576,MATCH(Kasse!S$5,Bestellungen!$A$5:$X$5,0),0))=FALSE,SUMIF(Kalkulation!$A$6:$A$40,Kasse!S$5&amp;"*",Kalkulation!$C$6:$C$40)*VLOOKUP($A191,Bestellungen!$6:$1048576,MATCH(Kasse!S$5,Bestellungen!$A$5:$X$5,0),0),"")</f>
        <v/>
      </c>
      <c r="T191" s="26" t="str">
        <f>IF(ISERROR(VLOOKUP($A191,Bestellungen!$6:$1048576,MATCH(Kasse!T$5,Bestellungen!$A$5:$X$5,0),0))=FALSE,SUMIF(Kalkulation!$A$6:$A$40,Kasse!T$5&amp;"*",Kalkulation!$C$6:$C$40)*VLOOKUP($A191,Bestellungen!$6:$1048576,MATCH(Kasse!T$5,Bestellungen!$A$5:$X$5,0),0),"")</f>
        <v/>
      </c>
      <c r="U191" s="26" t="str">
        <f t="shared" si="4"/>
        <v/>
      </c>
      <c r="W191" s="26" t="str">
        <f t="shared" si="5"/>
        <v/>
      </c>
      <c r="X191" s="26"/>
      <c r="Y191" s="26"/>
      <c r="Z191" s="26"/>
      <c r="AA191" s="26"/>
    </row>
    <row r="192" spans="1:27" x14ac:dyDescent="0.25">
      <c r="A192" t="str">
        <f>IF(LEN(Bestellungen!$A192)&gt;0,Bestellungen!$A192,"")</f>
        <v/>
      </c>
      <c r="B192" s="26" t="str">
        <f>IF(ISERROR(VLOOKUP($A192,Bestellungen!$6:$1048576,MATCH(Kasse!B$5,Bestellungen!$A$5:$X$5,0),0))=FALSE,SUMIF(Kalkulation!$A$6:$A$40,Kasse!B$5&amp;"*",Kalkulation!$C$6:$C$40)*VLOOKUP($A192,Bestellungen!$6:$1048576,MATCH(Kasse!B$5,Bestellungen!$A$5:$X$5,0),0),"")</f>
        <v/>
      </c>
      <c r="C192" s="26" t="str">
        <f>IF(ISERROR(VLOOKUP($A192,Bestellungen!$6:$1048576,MATCH(Kasse!C$5,Bestellungen!$A$5:$X$5,0),0))=FALSE,SUMIF(Kalkulation!$A$6:$A$40,Kasse!C$5&amp;"*",Kalkulation!$C$6:$C$40)*VLOOKUP($A192,Bestellungen!$6:$1048576,MATCH(Kasse!C$5,Bestellungen!$A$5:$X$5,0),0),"")</f>
        <v/>
      </c>
      <c r="D192" s="26" t="str">
        <f>IF(ISERROR(VLOOKUP($A192,Bestellungen!$6:$1048576,MATCH(Kasse!D$5,Bestellungen!$A$5:$X$5,0),0))=FALSE,SUMIF(Kalkulation!$A$6:$A$40,Kasse!D$5&amp;"*",Kalkulation!$C$6:$C$40)*VLOOKUP($A192,Bestellungen!$6:$1048576,MATCH(Kasse!D$5,Bestellungen!$A$5:$X$5,0),0),"")</f>
        <v/>
      </c>
      <c r="E192" s="26" t="str">
        <f>IF(ISERROR(VLOOKUP($A192,Bestellungen!$6:$1048576,MATCH(Kasse!E$5,Bestellungen!$A$5:$X$5,0),0))=FALSE,SUMIF(Kalkulation!$A$6:$A$40,Kasse!E$5&amp;"*",Kalkulation!$C$6:$C$40)*VLOOKUP($A192,Bestellungen!$6:$1048576,MATCH(Kasse!E$5,Bestellungen!$A$5:$X$5,0),0),"")</f>
        <v/>
      </c>
      <c r="F192" s="26" t="str">
        <f>IF(ISERROR(VLOOKUP($A192,Bestellungen!$6:$1048576,MATCH(Kasse!F$5,Bestellungen!$A$5:$X$5,0),0))=FALSE,SUMIF(Kalkulation!$A$6:$A$40,Kasse!F$5&amp;"*",Kalkulation!$C$6:$C$40)*VLOOKUP($A192,Bestellungen!$6:$1048576,MATCH(Kasse!F$5,Bestellungen!$A$5:$X$5,0),0),"")</f>
        <v/>
      </c>
      <c r="G192" s="26" t="str">
        <f>IF(ISERROR(VLOOKUP($A192,Bestellungen!$6:$1048576,MATCH(Kasse!G$5,Bestellungen!$A$5:$X$5,0),0))=FALSE,SUMIF(Kalkulation!$A$6:$A$40,Kasse!G$5&amp;"*",Kalkulation!$C$6:$C$40)*VLOOKUP($A192,Bestellungen!$6:$1048576,MATCH(Kasse!G$5,Bestellungen!$A$5:$X$5,0),0),"")</f>
        <v/>
      </c>
      <c r="H192" s="26" t="str">
        <f>IF(ISERROR(VLOOKUP($A192,Bestellungen!$6:$1048576,MATCH(Kasse!H$5,Bestellungen!$A$5:$X$5,0),0))=FALSE,SUMIF(Kalkulation!$A$6:$A$40,Kasse!H$5&amp;"*",Kalkulation!$C$6:$C$40)*VLOOKUP($A192,Bestellungen!$6:$1048576,MATCH(Kasse!H$5,Bestellungen!$A$5:$X$5,0),0),"")</f>
        <v/>
      </c>
      <c r="I192" s="26" t="str">
        <f>IF(ISERROR(VLOOKUP($A192,Bestellungen!$6:$1048576,MATCH(Kasse!I$5,Bestellungen!$A$5:$X$5,0),0))=FALSE,SUMIF(Kalkulation!$A$6:$A$40,Kasse!I$5&amp;"*",Kalkulation!$C$6:$C$40)*VLOOKUP($A192,Bestellungen!$6:$1048576,MATCH(Kasse!I$5,Bestellungen!$A$5:$X$5,0),0),"")</f>
        <v/>
      </c>
      <c r="J192" s="26" t="str">
        <f>IF(ISERROR(VLOOKUP($A192,Bestellungen!$6:$1048576,MATCH(Kasse!J$5,Bestellungen!$A$5:$X$5,0),0))=FALSE,SUMIF(Kalkulation!$A$6:$A$40,Kasse!J$5&amp;"*",Kalkulation!$C$6:$C$40)*VLOOKUP($A192,Bestellungen!$6:$1048576,MATCH(Kasse!J$5,Bestellungen!$A$5:$X$5,0),0),"")</f>
        <v/>
      </c>
      <c r="K192" s="26" t="str">
        <f>IF(ISERROR(VLOOKUP($A192,Bestellungen!$6:$1048576,MATCH(Kasse!K$5,Bestellungen!$A$5:$X$5,0),0))=FALSE,SUMIF(Kalkulation!$A$6:$A$40,Kasse!K$5&amp;"*",Kalkulation!$C$6:$C$40)*VLOOKUP($A192,Bestellungen!$6:$1048576,MATCH(Kasse!K$5,Bestellungen!$A$5:$X$5,0),0),"")</f>
        <v/>
      </c>
      <c r="L192" s="26" t="str">
        <f>IF(ISERROR(VLOOKUP($A192,Bestellungen!$6:$1048576,MATCH(Kasse!L$5,Bestellungen!$A$5:$X$5,0),0))=FALSE,SUMIF(Kalkulation!$A$6:$A$40,Kasse!L$5&amp;"*",Kalkulation!$C$6:$C$40)*VLOOKUP($A192,Bestellungen!$6:$1048576,MATCH(Kasse!L$5,Bestellungen!$A$5:$X$5,0),0),"")</f>
        <v/>
      </c>
      <c r="M192" s="26" t="str">
        <f>IF(ISERROR(VLOOKUP($A192,Bestellungen!$6:$1048576,MATCH(Kasse!M$5,Bestellungen!$A$5:$X$5,0),0))=FALSE,SUMIF(Kalkulation!$A$6:$A$40,Kasse!M$5&amp;"*",Kalkulation!$C$6:$C$40)*VLOOKUP($A192,Bestellungen!$6:$1048576,MATCH(Kasse!M$5,Bestellungen!$A$5:$X$5,0),0),"")</f>
        <v/>
      </c>
      <c r="N192" s="26" t="str">
        <f>IF(ISERROR(VLOOKUP($A192,Bestellungen!$6:$1048576,MATCH(Kasse!N$5,Bestellungen!$A$5:$X$5,0),0))=FALSE,SUMIF(Kalkulation!$A$6:$A$40,Kasse!N$5&amp;"*",Kalkulation!$C$6:$C$40)*VLOOKUP($A192,Bestellungen!$6:$1048576,MATCH(Kasse!N$5,Bestellungen!$A$5:$X$5,0),0),"")</f>
        <v/>
      </c>
      <c r="O192" s="26" t="str">
        <f>IF(ISERROR(VLOOKUP($A192,Bestellungen!$6:$1048576,MATCH(Kasse!O$5,Bestellungen!$A$5:$X$5,0),0))=FALSE,SUMIF(Kalkulation!$A$6:$A$40,Kasse!O$5&amp;"*",Kalkulation!$C$6:$C$40)*VLOOKUP($A192,Bestellungen!$6:$1048576,MATCH(Kasse!O$5,Bestellungen!$A$5:$X$5,0),0),"")</f>
        <v/>
      </c>
      <c r="P192" s="26" t="str">
        <f>IF(ISERROR(VLOOKUP($A192,Bestellungen!$6:$1048576,MATCH(Kasse!P$5,Bestellungen!$A$5:$X$5,0),0))=FALSE,SUMIF(Kalkulation!$A$6:$A$40,Kasse!P$5&amp;"*",Kalkulation!$C$6:$C$40)*VLOOKUP($A192,Bestellungen!$6:$1048576,MATCH(Kasse!P$5,Bestellungen!$A$5:$X$5,0),0),"")</f>
        <v/>
      </c>
      <c r="Q192" s="26" t="str">
        <f>IF(ISERROR(VLOOKUP($A192,Bestellungen!$6:$1048576,MATCH(Kasse!Q$5,Bestellungen!$A$5:$X$5,0),0))=FALSE,SUMIF(Kalkulation!$A$6:$A$40,Kasse!Q$5&amp;"*",Kalkulation!$C$6:$C$40)*VLOOKUP($A192,Bestellungen!$6:$1048576,MATCH(Kasse!Q$5,Bestellungen!$A$5:$X$5,0),0),"")</f>
        <v/>
      </c>
      <c r="R192" s="26" t="str">
        <f>IF(ISERROR(VLOOKUP($A192,Bestellungen!$6:$1048576,MATCH(Kasse!R$5,Bestellungen!$A$5:$X$5,0),0))=FALSE,SUMIF(Kalkulation!$A$6:$A$40,Kasse!R$5&amp;"*",Kalkulation!$C$6:$C$40)*VLOOKUP($A192,Bestellungen!$6:$1048576,MATCH(Kasse!R$5,Bestellungen!$A$5:$X$5,0),0),"")</f>
        <v/>
      </c>
      <c r="S192" s="26" t="str">
        <f>IF(ISERROR(VLOOKUP($A192,Bestellungen!$6:$1048576,MATCH(Kasse!S$5,Bestellungen!$A$5:$X$5,0),0))=FALSE,SUMIF(Kalkulation!$A$6:$A$40,Kasse!S$5&amp;"*",Kalkulation!$C$6:$C$40)*VLOOKUP($A192,Bestellungen!$6:$1048576,MATCH(Kasse!S$5,Bestellungen!$A$5:$X$5,0),0),"")</f>
        <v/>
      </c>
      <c r="T192" s="26" t="str">
        <f>IF(ISERROR(VLOOKUP($A192,Bestellungen!$6:$1048576,MATCH(Kasse!T$5,Bestellungen!$A$5:$X$5,0),0))=FALSE,SUMIF(Kalkulation!$A$6:$A$40,Kasse!T$5&amp;"*",Kalkulation!$C$6:$C$40)*VLOOKUP($A192,Bestellungen!$6:$1048576,MATCH(Kasse!T$5,Bestellungen!$A$5:$X$5,0),0),"")</f>
        <v/>
      </c>
      <c r="U192" s="26" t="str">
        <f t="shared" si="4"/>
        <v/>
      </c>
      <c r="W192" s="26" t="str">
        <f t="shared" si="5"/>
        <v/>
      </c>
      <c r="X192" s="26"/>
      <c r="Y192" s="26"/>
      <c r="Z192" s="26"/>
      <c r="AA192" s="26"/>
    </row>
    <row r="193" spans="1:27" x14ac:dyDescent="0.25">
      <c r="A193" t="str">
        <f>IF(LEN(Bestellungen!$A193)&gt;0,Bestellungen!$A193,"")</f>
        <v/>
      </c>
      <c r="B193" s="26" t="str">
        <f>IF(ISERROR(VLOOKUP($A193,Bestellungen!$6:$1048576,MATCH(Kasse!B$5,Bestellungen!$A$5:$X$5,0),0))=FALSE,SUMIF(Kalkulation!$A$6:$A$40,Kasse!B$5&amp;"*",Kalkulation!$C$6:$C$40)*VLOOKUP($A193,Bestellungen!$6:$1048576,MATCH(Kasse!B$5,Bestellungen!$A$5:$X$5,0),0),"")</f>
        <v/>
      </c>
      <c r="C193" s="26" t="str">
        <f>IF(ISERROR(VLOOKUP($A193,Bestellungen!$6:$1048576,MATCH(Kasse!C$5,Bestellungen!$A$5:$X$5,0),0))=FALSE,SUMIF(Kalkulation!$A$6:$A$40,Kasse!C$5&amp;"*",Kalkulation!$C$6:$C$40)*VLOOKUP($A193,Bestellungen!$6:$1048576,MATCH(Kasse!C$5,Bestellungen!$A$5:$X$5,0),0),"")</f>
        <v/>
      </c>
      <c r="D193" s="26" t="str">
        <f>IF(ISERROR(VLOOKUP($A193,Bestellungen!$6:$1048576,MATCH(Kasse!D$5,Bestellungen!$A$5:$X$5,0),0))=FALSE,SUMIF(Kalkulation!$A$6:$A$40,Kasse!D$5&amp;"*",Kalkulation!$C$6:$C$40)*VLOOKUP($A193,Bestellungen!$6:$1048576,MATCH(Kasse!D$5,Bestellungen!$A$5:$X$5,0),0),"")</f>
        <v/>
      </c>
      <c r="E193" s="26" t="str">
        <f>IF(ISERROR(VLOOKUP($A193,Bestellungen!$6:$1048576,MATCH(Kasse!E$5,Bestellungen!$A$5:$X$5,0),0))=FALSE,SUMIF(Kalkulation!$A$6:$A$40,Kasse!E$5&amp;"*",Kalkulation!$C$6:$C$40)*VLOOKUP($A193,Bestellungen!$6:$1048576,MATCH(Kasse!E$5,Bestellungen!$A$5:$X$5,0),0),"")</f>
        <v/>
      </c>
      <c r="F193" s="26" t="str">
        <f>IF(ISERROR(VLOOKUP($A193,Bestellungen!$6:$1048576,MATCH(Kasse!F$5,Bestellungen!$A$5:$X$5,0),0))=FALSE,SUMIF(Kalkulation!$A$6:$A$40,Kasse!F$5&amp;"*",Kalkulation!$C$6:$C$40)*VLOOKUP($A193,Bestellungen!$6:$1048576,MATCH(Kasse!F$5,Bestellungen!$A$5:$X$5,0),0),"")</f>
        <v/>
      </c>
      <c r="G193" s="26" t="str">
        <f>IF(ISERROR(VLOOKUP($A193,Bestellungen!$6:$1048576,MATCH(Kasse!G$5,Bestellungen!$A$5:$X$5,0),0))=FALSE,SUMIF(Kalkulation!$A$6:$A$40,Kasse!G$5&amp;"*",Kalkulation!$C$6:$C$40)*VLOOKUP($A193,Bestellungen!$6:$1048576,MATCH(Kasse!G$5,Bestellungen!$A$5:$X$5,0),0),"")</f>
        <v/>
      </c>
      <c r="H193" s="26" t="str">
        <f>IF(ISERROR(VLOOKUP($A193,Bestellungen!$6:$1048576,MATCH(Kasse!H$5,Bestellungen!$A$5:$X$5,0),0))=FALSE,SUMIF(Kalkulation!$A$6:$A$40,Kasse!H$5&amp;"*",Kalkulation!$C$6:$C$40)*VLOOKUP($A193,Bestellungen!$6:$1048576,MATCH(Kasse!H$5,Bestellungen!$A$5:$X$5,0),0),"")</f>
        <v/>
      </c>
      <c r="I193" s="26" t="str">
        <f>IF(ISERROR(VLOOKUP($A193,Bestellungen!$6:$1048576,MATCH(Kasse!I$5,Bestellungen!$A$5:$X$5,0),0))=FALSE,SUMIF(Kalkulation!$A$6:$A$40,Kasse!I$5&amp;"*",Kalkulation!$C$6:$C$40)*VLOOKUP($A193,Bestellungen!$6:$1048576,MATCH(Kasse!I$5,Bestellungen!$A$5:$X$5,0),0),"")</f>
        <v/>
      </c>
      <c r="J193" s="26" t="str">
        <f>IF(ISERROR(VLOOKUP($A193,Bestellungen!$6:$1048576,MATCH(Kasse!J$5,Bestellungen!$A$5:$X$5,0),0))=FALSE,SUMIF(Kalkulation!$A$6:$A$40,Kasse!J$5&amp;"*",Kalkulation!$C$6:$C$40)*VLOOKUP($A193,Bestellungen!$6:$1048576,MATCH(Kasse!J$5,Bestellungen!$A$5:$X$5,0),0),"")</f>
        <v/>
      </c>
      <c r="K193" s="26" t="str">
        <f>IF(ISERROR(VLOOKUP($A193,Bestellungen!$6:$1048576,MATCH(Kasse!K$5,Bestellungen!$A$5:$X$5,0),0))=FALSE,SUMIF(Kalkulation!$A$6:$A$40,Kasse!K$5&amp;"*",Kalkulation!$C$6:$C$40)*VLOOKUP($A193,Bestellungen!$6:$1048576,MATCH(Kasse!K$5,Bestellungen!$A$5:$X$5,0),0),"")</f>
        <v/>
      </c>
      <c r="L193" s="26" t="str">
        <f>IF(ISERROR(VLOOKUP($A193,Bestellungen!$6:$1048576,MATCH(Kasse!L$5,Bestellungen!$A$5:$X$5,0),0))=FALSE,SUMIF(Kalkulation!$A$6:$A$40,Kasse!L$5&amp;"*",Kalkulation!$C$6:$C$40)*VLOOKUP($A193,Bestellungen!$6:$1048576,MATCH(Kasse!L$5,Bestellungen!$A$5:$X$5,0),0),"")</f>
        <v/>
      </c>
      <c r="M193" s="26" t="str">
        <f>IF(ISERROR(VLOOKUP($A193,Bestellungen!$6:$1048576,MATCH(Kasse!M$5,Bestellungen!$A$5:$X$5,0),0))=FALSE,SUMIF(Kalkulation!$A$6:$A$40,Kasse!M$5&amp;"*",Kalkulation!$C$6:$C$40)*VLOOKUP($A193,Bestellungen!$6:$1048576,MATCH(Kasse!M$5,Bestellungen!$A$5:$X$5,0),0),"")</f>
        <v/>
      </c>
      <c r="N193" s="26" t="str">
        <f>IF(ISERROR(VLOOKUP($A193,Bestellungen!$6:$1048576,MATCH(Kasse!N$5,Bestellungen!$A$5:$X$5,0),0))=FALSE,SUMIF(Kalkulation!$A$6:$A$40,Kasse!N$5&amp;"*",Kalkulation!$C$6:$C$40)*VLOOKUP($A193,Bestellungen!$6:$1048576,MATCH(Kasse!N$5,Bestellungen!$A$5:$X$5,0),0),"")</f>
        <v/>
      </c>
      <c r="O193" s="26" t="str">
        <f>IF(ISERROR(VLOOKUP($A193,Bestellungen!$6:$1048576,MATCH(Kasse!O$5,Bestellungen!$A$5:$X$5,0),0))=FALSE,SUMIF(Kalkulation!$A$6:$A$40,Kasse!O$5&amp;"*",Kalkulation!$C$6:$C$40)*VLOOKUP($A193,Bestellungen!$6:$1048576,MATCH(Kasse!O$5,Bestellungen!$A$5:$X$5,0),0),"")</f>
        <v/>
      </c>
      <c r="P193" s="26" t="str">
        <f>IF(ISERROR(VLOOKUP($A193,Bestellungen!$6:$1048576,MATCH(Kasse!P$5,Bestellungen!$A$5:$X$5,0),0))=FALSE,SUMIF(Kalkulation!$A$6:$A$40,Kasse!P$5&amp;"*",Kalkulation!$C$6:$C$40)*VLOOKUP($A193,Bestellungen!$6:$1048576,MATCH(Kasse!P$5,Bestellungen!$A$5:$X$5,0),0),"")</f>
        <v/>
      </c>
      <c r="Q193" s="26" t="str">
        <f>IF(ISERROR(VLOOKUP($A193,Bestellungen!$6:$1048576,MATCH(Kasse!Q$5,Bestellungen!$A$5:$X$5,0),0))=FALSE,SUMIF(Kalkulation!$A$6:$A$40,Kasse!Q$5&amp;"*",Kalkulation!$C$6:$C$40)*VLOOKUP($A193,Bestellungen!$6:$1048576,MATCH(Kasse!Q$5,Bestellungen!$A$5:$X$5,0),0),"")</f>
        <v/>
      </c>
      <c r="R193" s="26" t="str">
        <f>IF(ISERROR(VLOOKUP($A193,Bestellungen!$6:$1048576,MATCH(Kasse!R$5,Bestellungen!$A$5:$X$5,0),0))=FALSE,SUMIF(Kalkulation!$A$6:$A$40,Kasse!R$5&amp;"*",Kalkulation!$C$6:$C$40)*VLOOKUP($A193,Bestellungen!$6:$1048576,MATCH(Kasse!R$5,Bestellungen!$A$5:$X$5,0),0),"")</f>
        <v/>
      </c>
      <c r="S193" s="26" t="str">
        <f>IF(ISERROR(VLOOKUP($A193,Bestellungen!$6:$1048576,MATCH(Kasse!S$5,Bestellungen!$A$5:$X$5,0),0))=FALSE,SUMIF(Kalkulation!$A$6:$A$40,Kasse!S$5&amp;"*",Kalkulation!$C$6:$C$40)*VLOOKUP($A193,Bestellungen!$6:$1048576,MATCH(Kasse!S$5,Bestellungen!$A$5:$X$5,0),0),"")</f>
        <v/>
      </c>
      <c r="T193" s="26" t="str">
        <f>IF(ISERROR(VLOOKUP($A193,Bestellungen!$6:$1048576,MATCH(Kasse!T$5,Bestellungen!$A$5:$X$5,0),0))=FALSE,SUMIF(Kalkulation!$A$6:$A$40,Kasse!T$5&amp;"*",Kalkulation!$C$6:$C$40)*VLOOKUP($A193,Bestellungen!$6:$1048576,MATCH(Kasse!T$5,Bestellungen!$A$5:$X$5,0),0),"")</f>
        <v/>
      </c>
      <c r="U193" s="26" t="str">
        <f t="shared" si="4"/>
        <v/>
      </c>
      <c r="W193" s="26" t="str">
        <f t="shared" si="5"/>
        <v/>
      </c>
      <c r="X193" s="26"/>
      <c r="Y193" s="26"/>
      <c r="Z193" s="26"/>
      <c r="AA193" s="26"/>
    </row>
    <row r="194" spans="1:27" x14ac:dyDescent="0.25">
      <c r="A194" t="str">
        <f>IF(LEN(Bestellungen!$A194)&gt;0,Bestellungen!$A194,"")</f>
        <v/>
      </c>
      <c r="B194" s="26" t="str">
        <f>IF(ISERROR(VLOOKUP($A194,Bestellungen!$6:$1048576,MATCH(Kasse!B$5,Bestellungen!$A$5:$X$5,0),0))=FALSE,SUMIF(Kalkulation!$A$6:$A$40,Kasse!B$5&amp;"*",Kalkulation!$C$6:$C$40)*VLOOKUP($A194,Bestellungen!$6:$1048576,MATCH(Kasse!B$5,Bestellungen!$A$5:$X$5,0),0),"")</f>
        <v/>
      </c>
      <c r="C194" s="26" t="str">
        <f>IF(ISERROR(VLOOKUP($A194,Bestellungen!$6:$1048576,MATCH(Kasse!C$5,Bestellungen!$A$5:$X$5,0),0))=FALSE,SUMIF(Kalkulation!$A$6:$A$40,Kasse!C$5&amp;"*",Kalkulation!$C$6:$C$40)*VLOOKUP($A194,Bestellungen!$6:$1048576,MATCH(Kasse!C$5,Bestellungen!$A$5:$X$5,0),0),"")</f>
        <v/>
      </c>
      <c r="D194" s="26" t="str">
        <f>IF(ISERROR(VLOOKUP($A194,Bestellungen!$6:$1048576,MATCH(Kasse!D$5,Bestellungen!$A$5:$X$5,0),0))=FALSE,SUMIF(Kalkulation!$A$6:$A$40,Kasse!D$5&amp;"*",Kalkulation!$C$6:$C$40)*VLOOKUP($A194,Bestellungen!$6:$1048576,MATCH(Kasse!D$5,Bestellungen!$A$5:$X$5,0),0),"")</f>
        <v/>
      </c>
      <c r="E194" s="26" t="str">
        <f>IF(ISERROR(VLOOKUP($A194,Bestellungen!$6:$1048576,MATCH(Kasse!E$5,Bestellungen!$A$5:$X$5,0),0))=FALSE,SUMIF(Kalkulation!$A$6:$A$40,Kasse!E$5&amp;"*",Kalkulation!$C$6:$C$40)*VLOOKUP($A194,Bestellungen!$6:$1048576,MATCH(Kasse!E$5,Bestellungen!$A$5:$X$5,0),0),"")</f>
        <v/>
      </c>
      <c r="F194" s="26" t="str">
        <f>IF(ISERROR(VLOOKUP($A194,Bestellungen!$6:$1048576,MATCH(Kasse!F$5,Bestellungen!$A$5:$X$5,0),0))=FALSE,SUMIF(Kalkulation!$A$6:$A$40,Kasse!F$5&amp;"*",Kalkulation!$C$6:$C$40)*VLOOKUP($A194,Bestellungen!$6:$1048576,MATCH(Kasse!F$5,Bestellungen!$A$5:$X$5,0),0),"")</f>
        <v/>
      </c>
      <c r="G194" s="26" t="str">
        <f>IF(ISERROR(VLOOKUP($A194,Bestellungen!$6:$1048576,MATCH(Kasse!G$5,Bestellungen!$A$5:$X$5,0),0))=FALSE,SUMIF(Kalkulation!$A$6:$A$40,Kasse!G$5&amp;"*",Kalkulation!$C$6:$C$40)*VLOOKUP($A194,Bestellungen!$6:$1048576,MATCH(Kasse!G$5,Bestellungen!$A$5:$X$5,0),0),"")</f>
        <v/>
      </c>
      <c r="H194" s="26" t="str">
        <f>IF(ISERROR(VLOOKUP($A194,Bestellungen!$6:$1048576,MATCH(Kasse!H$5,Bestellungen!$A$5:$X$5,0),0))=FALSE,SUMIF(Kalkulation!$A$6:$A$40,Kasse!H$5&amp;"*",Kalkulation!$C$6:$C$40)*VLOOKUP($A194,Bestellungen!$6:$1048576,MATCH(Kasse!H$5,Bestellungen!$A$5:$X$5,0),0),"")</f>
        <v/>
      </c>
      <c r="I194" s="26" t="str">
        <f>IF(ISERROR(VLOOKUP($A194,Bestellungen!$6:$1048576,MATCH(Kasse!I$5,Bestellungen!$A$5:$X$5,0),0))=FALSE,SUMIF(Kalkulation!$A$6:$A$40,Kasse!I$5&amp;"*",Kalkulation!$C$6:$C$40)*VLOOKUP($A194,Bestellungen!$6:$1048576,MATCH(Kasse!I$5,Bestellungen!$A$5:$X$5,0),0),"")</f>
        <v/>
      </c>
      <c r="J194" s="26" t="str">
        <f>IF(ISERROR(VLOOKUP($A194,Bestellungen!$6:$1048576,MATCH(Kasse!J$5,Bestellungen!$A$5:$X$5,0),0))=FALSE,SUMIF(Kalkulation!$A$6:$A$40,Kasse!J$5&amp;"*",Kalkulation!$C$6:$C$40)*VLOOKUP($A194,Bestellungen!$6:$1048576,MATCH(Kasse!J$5,Bestellungen!$A$5:$X$5,0),0),"")</f>
        <v/>
      </c>
      <c r="K194" s="26" t="str">
        <f>IF(ISERROR(VLOOKUP($A194,Bestellungen!$6:$1048576,MATCH(Kasse!K$5,Bestellungen!$A$5:$X$5,0),0))=FALSE,SUMIF(Kalkulation!$A$6:$A$40,Kasse!K$5&amp;"*",Kalkulation!$C$6:$C$40)*VLOOKUP($A194,Bestellungen!$6:$1048576,MATCH(Kasse!K$5,Bestellungen!$A$5:$X$5,0),0),"")</f>
        <v/>
      </c>
      <c r="L194" s="26" t="str">
        <f>IF(ISERROR(VLOOKUP($A194,Bestellungen!$6:$1048576,MATCH(Kasse!L$5,Bestellungen!$A$5:$X$5,0),0))=FALSE,SUMIF(Kalkulation!$A$6:$A$40,Kasse!L$5&amp;"*",Kalkulation!$C$6:$C$40)*VLOOKUP($A194,Bestellungen!$6:$1048576,MATCH(Kasse!L$5,Bestellungen!$A$5:$X$5,0),0),"")</f>
        <v/>
      </c>
      <c r="M194" s="26" t="str">
        <f>IF(ISERROR(VLOOKUP($A194,Bestellungen!$6:$1048576,MATCH(Kasse!M$5,Bestellungen!$A$5:$X$5,0),0))=FALSE,SUMIF(Kalkulation!$A$6:$A$40,Kasse!M$5&amp;"*",Kalkulation!$C$6:$C$40)*VLOOKUP($A194,Bestellungen!$6:$1048576,MATCH(Kasse!M$5,Bestellungen!$A$5:$X$5,0),0),"")</f>
        <v/>
      </c>
      <c r="N194" s="26" t="str">
        <f>IF(ISERROR(VLOOKUP($A194,Bestellungen!$6:$1048576,MATCH(Kasse!N$5,Bestellungen!$A$5:$X$5,0),0))=FALSE,SUMIF(Kalkulation!$A$6:$A$40,Kasse!N$5&amp;"*",Kalkulation!$C$6:$C$40)*VLOOKUP($A194,Bestellungen!$6:$1048576,MATCH(Kasse!N$5,Bestellungen!$A$5:$X$5,0),0),"")</f>
        <v/>
      </c>
      <c r="O194" s="26" t="str">
        <f>IF(ISERROR(VLOOKUP($A194,Bestellungen!$6:$1048576,MATCH(Kasse!O$5,Bestellungen!$A$5:$X$5,0),0))=FALSE,SUMIF(Kalkulation!$A$6:$A$40,Kasse!O$5&amp;"*",Kalkulation!$C$6:$C$40)*VLOOKUP($A194,Bestellungen!$6:$1048576,MATCH(Kasse!O$5,Bestellungen!$A$5:$X$5,0),0),"")</f>
        <v/>
      </c>
      <c r="P194" s="26" t="str">
        <f>IF(ISERROR(VLOOKUP($A194,Bestellungen!$6:$1048576,MATCH(Kasse!P$5,Bestellungen!$A$5:$X$5,0),0))=FALSE,SUMIF(Kalkulation!$A$6:$A$40,Kasse!P$5&amp;"*",Kalkulation!$C$6:$C$40)*VLOOKUP($A194,Bestellungen!$6:$1048576,MATCH(Kasse!P$5,Bestellungen!$A$5:$X$5,0),0),"")</f>
        <v/>
      </c>
      <c r="Q194" s="26" t="str">
        <f>IF(ISERROR(VLOOKUP($A194,Bestellungen!$6:$1048576,MATCH(Kasse!Q$5,Bestellungen!$A$5:$X$5,0),0))=FALSE,SUMIF(Kalkulation!$A$6:$A$40,Kasse!Q$5&amp;"*",Kalkulation!$C$6:$C$40)*VLOOKUP($A194,Bestellungen!$6:$1048576,MATCH(Kasse!Q$5,Bestellungen!$A$5:$X$5,0),0),"")</f>
        <v/>
      </c>
      <c r="R194" s="26" t="str">
        <f>IF(ISERROR(VLOOKUP($A194,Bestellungen!$6:$1048576,MATCH(Kasse!R$5,Bestellungen!$A$5:$X$5,0),0))=FALSE,SUMIF(Kalkulation!$A$6:$A$40,Kasse!R$5&amp;"*",Kalkulation!$C$6:$C$40)*VLOOKUP($A194,Bestellungen!$6:$1048576,MATCH(Kasse!R$5,Bestellungen!$A$5:$X$5,0),0),"")</f>
        <v/>
      </c>
      <c r="S194" s="26" t="str">
        <f>IF(ISERROR(VLOOKUP($A194,Bestellungen!$6:$1048576,MATCH(Kasse!S$5,Bestellungen!$A$5:$X$5,0),0))=FALSE,SUMIF(Kalkulation!$A$6:$A$40,Kasse!S$5&amp;"*",Kalkulation!$C$6:$C$40)*VLOOKUP($A194,Bestellungen!$6:$1048576,MATCH(Kasse!S$5,Bestellungen!$A$5:$X$5,0),0),"")</f>
        <v/>
      </c>
      <c r="T194" s="26" t="str">
        <f>IF(ISERROR(VLOOKUP($A194,Bestellungen!$6:$1048576,MATCH(Kasse!T$5,Bestellungen!$A$5:$X$5,0),0))=FALSE,SUMIF(Kalkulation!$A$6:$A$40,Kasse!T$5&amp;"*",Kalkulation!$C$6:$C$40)*VLOOKUP($A194,Bestellungen!$6:$1048576,MATCH(Kasse!T$5,Bestellungen!$A$5:$X$5,0),0),"")</f>
        <v/>
      </c>
      <c r="U194" s="26" t="str">
        <f t="shared" si="4"/>
        <v/>
      </c>
      <c r="W194" s="26" t="str">
        <f t="shared" si="5"/>
        <v/>
      </c>
      <c r="X194" s="26"/>
      <c r="Y194" s="26"/>
      <c r="Z194" s="26"/>
      <c r="AA194" s="26"/>
    </row>
    <row r="195" spans="1:27" x14ac:dyDescent="0.25">
      <c r="A195" t="str">
        <f>IF(LEN(Bestellungen!$A195)&gt;0,Bestellungen!$A195,"")</f>
        <v/>
      </c>
      <c r="B195" s="26" t="str">
        <f>IF(ISERROR(VLOOKUP($A195,Bestellungen!$6:$1048576,MATCH(Kasse!B$5,Bestellungen!$A$5:$X$5,0),0))=FALSE,SUMIF(Kalkulation!$A$6:$A$40,Kasse!B$5&amp;"*",Kalkulation!$C$6:$C$40)*VLOOKUP($A195,Bestellungen!$6:$1048576,MATCH(Kasse!B$5,Bestellungen!$A$5:$X$5,0),0),"")</f>
        <v/>
      </c>
      <c r="C195" s="26" t="str">
        <f>IF(ISERROR(VLOOKUP($A195,Bestellungen!$6:$1048576,MATCH(Kasse!C$5,Bestellungen!$A$5:$X$5,0),0))=FALSE,SUMIF(Kalkulation!$A$6:$A$40,Kasse!C$5&amp;"*",Kalkulation!$C$6:$C$40)*VLOOKUP($A195,Bestellungen!$6:$1048576,MATCH(Kasse!C$5,Bestellungen!$A$5:$X$5,0),0),"")</f>
        <v/>
      </c>
      <c r="D195" s="26" t="str">
        <f>IF(ISERROR(VLOOKUP($A195,Bestellungen!$6:$1048576,MATCH(Kasse!D$5,Bestellungen!$A$5:$X$5,0),0))=FALSE,SUMIF(Kalkulation!$A$6:$A$40,Kasse!D$5&amp;"*",Kalkulation!$C$6:$C$40)*VLOOKUP($A195,Bestellungen!$6:$1048576,MATCH(Kasse!D$5,Bestellungen!$A$5:$X$5,0),0),"")</f>
        <v/>
      </c>
      <c r="E195" s="26" t="str">
        <f>IF(ISERROR(VLOOKUP($A195,Bestellungen!$6:$1048576,MATCH(Kasse!E$5,Bestellungen!$A$5:$X$5,0),0))=FALSE,SUMIF(Kalkulation!$A$6:$A$40,Kasse!E$5&amp;"*",Kalkulation!$C$6:$C$40)*VLOOKUP($A195,Bestellungen!$6:$1048576,MATCH(Kasse!E$5,Bestellungen!$A$5:$X$5,0),0),"")</f>
        <v/>
      </c>
      <c r="F195" s="26" t="str">
        <f>IF(ISERROR(VLOOKUP($A195,Bestellungen!$6:$1048576,MATCH(Kasse!F$5,Bestellungen!$A$5:$X$5,0),0))=FALSE,SUMIF(Kalkulation!$A$6:$A$40,Kasse!F$5&amp;"*",Kalkulation!$C$6:$C$40)*VLOOKUP($A195,Bestellungen!$6:$1048576,MATCH(Kasse!F$5,Bestellungen!$A$5:$X$5,0),0),"")</f>
        <v/>
      </c>
      <c r="G195" s="26" t="str">
        <f>IF(ISERROR(VLOOKUP($A195,Bestellungen!$6:$1048576,MATCH(Kasse!G$5,Bestellungen!$A$5:$X$5,0),0))=FALSE,SUMIF(Kalkulation!$A$6:$A$40,Kasse!G$5&amp;"*",Kalkulation!$C$6:$C$40)*VLOOKUP($A195,Bestellungen!$6:$1048576,MATCH(Kasse!G$5,Bestellungen!$A$5:$X$5,0),0),"")</f>
        <v/>
      </c>
      <c r="H195" s="26" t="str">
        <f>IF(ISERROR(VLOOKUP($A195,Bestellungen!$6:$1048576,MATCH(Kasse!H$5,Bestellungen!$A$5:$X$5,0),0))=FALSE,SUMIF(Kalkulation!$A$6:$A$40,Kasse!H$5&amp;"*",Kalkulation!$C$6:$C$40)*VLOOKUP($A195,Bestellungen!$6:$1048576,MATCH(Kasse!H$5,Bestellungen!$A$5:$X$5,0),0),"")</f>
        <v/>
      </c>
      <c r="I195" s="26" t="str">
        <f>IF(ISERROR(VLOOKUP($A195,Bestellungen!$6:$1048576,MATCH(Kasse!I$5,Bestellungen!$A$5:$X$5,0),0))=FALSE,SUMIF(Kalkulation!$A$6:$A$40,Kasse!I$5&amp;"*",Kalkulation!$C$6:$C$40)*VLOOKUP($A195,Bestellungen!$6:$1048576,MATCH(Kasse!I$5,Bestellungen!$A$5:$X$5,0),0),"")</f>
        <v/>
      </c>
      <c r="J195" s="26" t="str">
        <f>IF(ISERROR(VLOOKUP($A195,Bestellungen!$6:$1048576,MATCH(Kasse!J$5,Bestellungen!$A$5:$X$5,0),0))=FALSE,SUMIF(Kalkulation!$A$6:$A$40,Kasse!J$5&amp;"*",Kalkulation!$C$6:$C$40)*VLOOKUP($A195,Bestellungen!$6:$1048576,MATCH(Kasse!J$5,Bestellungen!$A$5:$X$5,0),0),"")</f>
        <v/>
      </c>
      <c r="K195" s="26" t="str">
        <f>IF(ISERROR(VLOOKUP($A195,Bestellungen!$6:$1048576,MATCH(Kasse!K$5,Bestellungen!$A$5:$X$5,0),0))=FALSE,SUMIF(Kalkulation!$A$6:$A$40,Kasse!K$5&amp;"*",Kalkulation!$C$6:$C$40)*VLOOKUP($A195,Bestellungen!$6:$1048576,MATCH(Kasse!K$5,Bestellungen!$A$5:$X$5,0),0),"")</f>
        <v/>
      </c>
      <c r="L195" s="26" t="str">
        <f>IF(ISERROR(VLOOKUP($A195,Bestellungen!$6:$1048576,MATCH(Kasse!L$5,Bestellungen!$A$5:$X$5,0),0))=FALSE,SUMIF(Kalkulation!$A$6:$A$40,Kasse!L$5&amp;"*",Kalkulation!$C$6:$C$40)*VLOOKUP($A195,Bestellungen!$6:$1048576,MATCH(Kasse!L$5,Bestellungen!$A$5:$X$5,0),0),"")</f>
        <v/>
      </c>
      <c r="M195" s="26" t="str">
        <f>IF(ISERROR(VLOOKUP($A195,Bestellungen!$6:$1048576,MATCH(Kasse!M$5,Bestellungen!$A$5:$X$5,0),0))=FALSE,SUMIF(Kalkulation!$A$6:$A$40,Kasse!M$5&amp;"*",Kalkulation!$C$6:$C$40)*VLOOKUP($A195,Bestellungen!$6:$1048576,MATCH(Kasse!M$5,Bestellungen!$A$5:$X$5,0),0),"")</f>
        <v/>
      </c>
      <c r="N195" s="26" t="str">
        <f>IF(ISERROR(VLOOKUP($A195,Bestellungen!$6:$1048576,MATCH(Kasse!N$5,Bestellungen!$A$5:$X$5,0),0))=FALSE,SUMIF(Kalkulation!$A$6:$A$40,Kasse!N$5&amp;"*",Kalkulation!$C$6:$C$40)*VLOOKUP($A195,Bestellungen!$6:$1048576,MATCH(Kasse!N$5,Bestellungen!$A$5:$X$5,0),0),"")</f>
        <v/>
      </c>
      <c r="O195" s="26" t="str">
        <f>IF(ISERROR(VLOOKUP($A195,Bestellungen!$6:$1048576,MATCH(Kasse!O$5,Bestellungen!$A$5:$X$5,0),0))=FALSE,SUMIF(Kalkulation!$A$6:$A$40,Kasse!O$5&amp;"*",Kalkulation!$C$6:$C$40)*VLOOKUP($A195,Bestellungen!$6:$1048576,MATCH(Kasse!O$5,Bestellungen!$A$5:$X$5,0),0),"")</f>
        <v/>
      </c>
      <c r="P195" s="26" t="str">
        <f>IF(ISERROR(VLOOKUP($A195,Bestellungen!$6:$1048576,MATCH(Kasse!P$5,Bestellungen!$A$5:$X$5,0),0))=FALSE,SUMIF(Kalkulation!$A$6:$A$40,Kasse!P$5&amp;"*",Kalkulation!$C$6:$C$40)*VLOOKUP($A195,Bestellungen!$6:$1048576,MATCH(Kasse!P$5,Bestellungen!$A$5:$X$5,0),0),"")</f>
        <v/>
      </c>
      <c r="Q195" s="26" t="str">
        <f>IF(ISERROR(VLOOKUP($A195,Bestellungen!$6:$1048576,MATCH(Kasse!Q$5,Bestellungen!$A$5:$X$5,0),0))=FALSE,SUMIF(Kalkulation!$A$6:$A$40,Kasse!Q$5&amp;"*",Kalkulation!$C$6:$C$40)*VLOOKUP($A195,Bestellungen!$6:$1048576,MATCH(Kasse!Q$5,Bestellungen!$A$5:$X$5,0),0),"")</f>
        <v/>
      </c>
      <c r="R195" s="26" t="str">
        <f>IF(ISERROR(VLOOKUP($A195,Bestellungen!$6:$1048576,MATCH(Kasse!R$5,Bestellungen!$A$5:$X$5,0),0))=FALSE,SUMIF(Kalkulation!$A$6:$A$40,Kasse!R$5&amp;"*",Kalkulation!$C$6:$C$40)*VLOOKUP($A195,Bestellungen!$6:$1048576,MATCH(Kasse!R$5,Bestellungen!$A$5:$X$5,0),0),"")</f>
        <v/>
      </c>
      <c r="S195" s="26" t="str">
        <f>IF(ISERROR(VLOOKUP($A195,Bestellungen!$6:$1048576,MATCH(Kasse!S$5,Bestellungen!$A$5:$X$5,0),0))=FALSE,SUMIF(Kalkulation!$A$6:$A$40,Kasse!S$5&amp;"*",Kalkulation!$C$6:$C$40)*VLOOKUP($A195,Bestellungen!$6:$1048576,MATCH(Kasse!S$5,Bestellungen!$A$5:$X$5,0),0),"")</f>
        <v/>
      </c>
      <c r="T195" s="26" t="str">
        <f>IF(ISERROR(VLOOKUP($A195,Bestellungen!$6:$1048576,MATCH(Kasse!T$5,Bestellungen!$A$5:$X$5,0),0))=FALSE,SUMIF(Kalkulation!$A$6:$A$40,Kasse!T$5&amp;"*",Kalkulation!$C$6:$C$40)*VLOOKUP($A195,Bestellungen!$6:$1048576,MATCH(Kasse!T$5,Bestellungen!$A$5:$X$5,0),0),"")</f>
        <v/>
      </c>
      <c r="U195" s="26" t="str">
        <f t="shared" si="4"/>
        <v/>
      </c>
      <c r="W195" s="26" t="str">
        <f t="shared" si="5"/>
        <v/>
      </c>
      <c r="X195" s="26"/>
      <c r="Y195" s="26"/>
      <c r="Z195" s="26"/>
      <c r="AA195" s="26"/>
    </row>
    <row r="196" spans="1:27" x14ac:dyDescent="0.25">
      <c r="A196" t="str">
        <f>IF(LEN(Bestellungen!$A196)&gt;0,Bestellungen!$A196,"")</f>
        <v/>
      </c>
      <c r="B196" s="26" t="str">
        <f>IF(ISERROR(VLOOKUP($A196,Bestellungen!$6:$1048576,MATCH(Kasse!B$5,Bestellungen!$A$5:$X$5,0),0))=FALSE,SUMIF(Kalkulation!$A$6:$A$40,Kasse!B$5&amp;"*",Kalkulation!$C$6:$C$40)*VLOOKUP($A196,Bestellungen!$6:$1048576,MATCH(Kasse!B$5,Bestellungen!$A$5:$X$5,0),0),"")</f>
        <v/>
      </c>
      <c r="C196" s="26" t="str">
        <f>IF(ISERROR(VLOOKUP($A196,Bestellungen!$6:$1048576,MATCH(Kasse!C$5,Bestellungen!$A$5:$X$5,0),0))=FALSE,SUMIF(Kalkulation!$A$6:$A$40,Kasse!C$5&amp;"*",Kalkulation!$C$6:$C$40)*VLOOKUP($A196,Bestellungen!$6:$1048576,MATCH(Kasse!C$5,Bestellungen!$A$5:$X$5,0),0),"")</f>
        <v/>
      </c>
      <c r="D196" s="26" t="str">
        <f>IF(ISERROR(VLOOKUP($A196,Bestellungen!$6:$1048576,MATCH(Kasse!D$5,Bestellungen!$A$5:$X$5,0),0))=FALSE,SUMIF(Kalkulation!$A$6:$A$40,Kasse!D$5&amp;"*",Kalkulation!$C$6:$C$40)*VLOOKUP($A196,Bestellungen!$6:$1048576,MATCH(Kasse!D$5,Bestellungen!$A$5:$X$5,0),0),"")</f>
        <v/>
      </c>
      <c r="E196" s="26" t="str">
        <f>IF(ISERROR(VLOOKUP($A196,Bestellungen!$6:$1048576,MATCH(Kasse!E$5,Bestellungen!$A$5:$X$5,0),0))=FALSE,SUMIF(Kalkulation!$A$6:$A$40,Kasse!E$5&amp;"*",Kalkulation!$C$6:$C$40)*VLOOKUP($A196,Bestellungen!$6:$1048576,MATCH(Kasse!E$5,Bestellungen!$A$5:$X$5,0),0),"")</f>
        <v/>
      </c>
      <c r="F196" s="26" t="str">
        <f>IF(ISERROR(VLOOKUP($A196,Bestellungen!$6:$1048576,MATCH(Kasse!F$5,Bestellungen!$A$5:$X$5,0),0))=FALSE,SUMIF(Kalkulation!$A$6:$A$40,Kasse!F$5&amp;"*",Kalkulation!$C$6:$C$40)*VLOOKUP($A196,Bestellungen!$6:$1048576,MATCH(Kasse!F$5,Bestellungen!$A$5:$X$5,0),0),"")</f>
        <v/>
      </c>
      <c r="G196" s="26" t="str">
        <f>IF(ISERROR(VLOOKUP($A196,Bestellungen!$6:$1048576,MATCH(Kasse!G$5,Bestellungen!$A$5:$X$5,0),0))=FALSE,SUMIF(Kalkulation!$A$6:$A$40,Kasse!G$5&amp;"*",Kalkulation!$C$6:$C$40)*VLOOKUP($A196,Bestellungen!$6:$1048576,MATCH(Kasse!G$5,Bestellungen!$A$5:$X$5,0),0),"")</f>
        <v/>
      </c>
      <c r="H196" s="26" t="str">
        <f>IF(ISERROR(VLOOKUP($A196,Bestellungen!$6:$1048576,MATCH(Kasse!H$5,Bestellungen!$A$5:$X$5,0),0))=FALSE,SUMIF(Kalkulation!$A$6:$A$40,Kasse!H$5&amp;"*",Kalkulation!$C$6:$C$40)*VLOOKUP($A196,Bestellungen!$6:$1048576,MATCH(Kasse!H$5,Bestellungen!$A$5:$X$5,0),0),"")</f>
        <v/>
      </c>
      <c r="I196" s="26" t="str">
        <f>IF(ISERROR(VLOOKUP($A196,Bestellungen!$6:$1048576,MATCH(Kasse!I$5,Bestellungen!$A$5:$X$5,0),0))=FALSE,SUMIF(Kalkulation!$A$6:$A$40,Kasse!I$5&amp;"*",Kalkulation!$C$6:$C$40)*VLOOKUP($A196,Bestellungen!$6:$1048576,MATCH(Kasse!I$5,Bestellungen!$A$5:$X$5,0),0),"")</f>
        <v/>
      </c>
      <c r="J196" s="26" t="str">
        <f>IF(ISERROR(VLOOKUP($A196,Bestellungen!$6:$1048576,MATCH(Kasse!J$5,Bestellungen!$A$5:$X$5,0),0))=FALSE,SUMIF(Kalkulation!$A$6:$A$40,Kasse!J$5&amp;"*",Kalkulation!$C$6:$C$40)*VLOOKUP($A196,Bestellungen!$6:$1048576,MATCH(Kasse!J$5,Bestellungen!$A$5:$X$5,0),0),"")</f>
        <v/>
      </c>
      <c r="K196" s="26" t="str">
        <f>IF(ISERROR(VLOOKUP($A196,Bestellungen!$6:$1048576,MATCH(Kasse!K$5,Bestellungen!$A$5:$X$5,0),0))=FALSE,SUMIF(Kalkulation!$A$6:$A$40,Kasse!K$5&amp;"*",Kalkulation!$C$6:$C$40)*VLOOKUP($A196,Bestellungen!$6:$1048576,MATCH(Kasse!K$5,Bestellungen!$A$5:$X$5,0),0),"")</f>
        <v/>
      </c>
      <c r="L196" s="26" t="str">
        <f>IF(ISERROR(VLOOKUP($A196,Bestellungen!$6:$1048576,MATCH(Kasse!L$5,Bestellungen!$A$5:$X$5,0),0))=FALSE,SUMIF(Kalkulation!$A$6:$A$40,Kasse!L$5&amp;"*",Kalkulation!$C$6:$C$40)*VLOOKUP($A196,Bestellungen!$6:$1048576,MATCH(Kasse!L$5,Bestellungen!$A$5:$X$5,0),0),"")</f>
        <v/>
      </c>
      <c r="M196" s="26" t="str">
        <f>IF(ISERROR(VLOOKUP($A196,Bestellungen!$6:$1048576,MATCH(Kasse!M$5,Bestellungen!$A$5:$X$5,0),0))=FALSE,SUMIF(Kalkulation!$A$6:$A$40,Kasse!M$5&amp;"*",Kalkulation!$C$6:$C$40)*VLOOKUP($A196,Bestellungen!$6:$1048576,MATCH(Kasse!M$5,Bestellungen!$A$5:$X$5,0),0),"")</f>
        <v/>
      </c>
      <c r="N196" s="26" t="str">
        <f>IF(ISERROR(VLOOKUP($A196,Bestellungen!$6:$1048576,MATCH(Kasse!N$5,Bestellungen!$A$5:$X$5,0),0))=FALSE,SUMIF(Kalkulation!$A$6:$A$40,Kasse!N$5&amp;"*",Kalkulation!$C$6:$C$40)*VLOOKUP($A196,Bestellungen!$6:$1048576,MATCH(Kasse!N$5,Bestellungen!$A$5:$X$5,0),0),"")</f>
        <v/>
      </c>
      <c r="O196" s="26" t="str">
        <f>IF(ISERROR(VLOOKUP($A196,Bestellungen!$6:$1048576,MATCH(Kasse!O$5,Bestellungen!$A$5:$X$5,0),0))=FALSE,SUMIF(Kalkulation!$A$6:$A$40,Kasse!O$5&amp;"*",Kalkulation!$C$6:$C$40)*VLOOKUP($A196,Bestellungen!$6:$1048576,MATCH(Kasse!O$5,Bestellungen!$A$5:$X$5,0),0),"")</f>
        <v/>
      </c>
      <c r="P196" s="26" t="str">
        <f>IF(ISERROR(VLOOKUP($A196,Bestellungen!$6:$1048576,MATCH(Kasse!P$5,Bestellungen!$A$5:$X$5,0),0))=FALSE,SUMIF(Kalkulation!$A$6:$A$40,Kasse!P$5&amp;"*",Kalkulation!$C$6:$C$40)*VLOOKUP($A196,Bestellungen!$6:$1048576,MATCH(Kasse!P$5,Bestellungen!$A$5:$X$5,0),0),"")</f>
        <v/>
      </c>
      <c r="Q196" s="26" t="str">
        <f>IF(ISERROR(VLOOKUP($A196,Bestellungen!$6:$1048576,MATCH(Kasse!Q$5,Bestellungen!$A$5:$X$5,0),0))=FALSE,SUMIF(Kalkulation!$A$6:$A$40,Kasse!Q$5&amp;"*",Kalkulation!$C$6:$C$40)*VLOOKUP($A196,Bestellungen!$6:$1048576,MATCH(Kasse!Q$5,Bestellungen!$A$5:$X$5,0),0),"")</f>
        <v/>
      </c>
      <c r="R196" s="26" t="str">
        <f>IF(ISERROR(VLOOKUP($A196,Bestellungen!$6:$1048576,MATCH(Kasse!R$5,Bestellungen!$A$5:$X$5,0),0))=FALSE,SUMIF(Kalkulation!$A$6:$A$40,Kasse!R$5&amp;"*",Kalkulation!$C$6:$C$40)*VLOOKUP($A196,Bestellungen!$6:$1048576,MATCH(Kasse!R$5,Bestellungen!$A$5:$X$5,0),0),"")</f>
        <v/>
      </c>
      <c r="S196" s="26" t="str">
        <f>IF(ISERROR(VLOOKUP($A196,Bestellungen!$6:$1048576,MATCH(Kasse!S$5,Bestellungen!$A$5:$X$5,0),0))=FALSE,SUMIF(Kalkulation!$A$6:$A$40,Kasse!S$5&amp;"*",Kalkulation!$C$6:$C$40)*VLOOKUP($A196,Bestellungen!$6:$1048576,MATCH(Kasse!S$5,Bestellungen!$A$5:$X$5,0),0),"")</f>
        <v/>
      </c>
      <c r="T196" s="26" t="str">
        <f>IF(ISERROR(VLOOKUP($A196,Bestellungen!$6:$1048576,MATCH(Kasse!T$5,Bestellungen!$A$5:$X$5,0),0))=FALSE,SUMIF(Kalkulation!$A$6:$A$40,Kasse!T$5&amp;"*",Kalkulation!$C$6:$C$40)*VLOOKUP($A196,Bestellungen!$6:$1048576,MATCH(Kasse!T$5,Bestellungen!$A$5:$X$5,0),0),"")</f>
        <v/>
      </c>
      <c r="U196" s="26" t="str">
        <f t="shared" si="4"/>
        <v/>
      </c>
      <c r="W196" s="26" t="str">
        <f t="shared" si="5"/>
        <v/>
      </c>
      <c r="X196" s="26"/>
      <c r="Y196" s="26"/>
      <c r="Z196" s="26"/>
      <c r="AA196" s="26"/>
    </row>
    <row r="197" spans="1:27" x14ac:dyDescent="0.25">
      <c r="A197" t="str">
        <f>IF(LEN(Bestellungen!$A197)&gt;0,Bestellungen!$A197,"")</f>
        <v/>
      </c>
      <c r="B197" s="26" t="str">
        <f>IF(ISERROR(VLOOKUP($A197,Bestellungen!$6:$1048576,MATCH(Kasse!B$5,Bestellungen!$A$5:$X$5,0),0))=FALSE,SUMIF(Kalkulation!$A$6:$A$40,Kasse!B$5&amp;"*",Kalkulation!$C$6:$C$40)*VLOOKUP($A197,Bestellungen!$6:$1048576,MATCH(Kasse!B$5,Bestellungen!$A$5:$X$5,0),0),"")</f>
        <v/>
      </c>
      <c r="C197" s="26" t="str">
        <f>IF(ISERROR(VLOOKUP($A197,Bestellungen!$6:$1048576,MATCH(Kasse!C$5,Bestellungen!$A$5:$X$5,0),0))=FALSE,SUMIF(Kalkulation!$A$6:$A$40,Kasse!C$5&amp;"*",Kalkulation!$C$6:$C$40)*VLOOKUP($A197,Bestellungen!$6:$1048576,MATCH(Kasse!C$5,Bestellungen!$A$5:$X$5,0),0),"")</f>
        <v/>
      </c>
      <c r="D197" s="26" t="str">
        <f>IF(ISERROR(VLOOKUP($A197,Bestellungen!$6:$1048576,MATCH(Kasse!D$5,Bestellungen!$A$5:$X$5,0),0))=FALSE,SUMIF(Kalkulation!$A$6:$A$40,Kasse!D$5&amp;"*",Kalkulation!$C$6:$C$40)*VLOOKUP($A197,Bestellungen!$6:$1048576,MATCH(Kasse!D$5,Bestellungen!$A$5:$X$5,0),0),"")</f>
        <v/>
      </c>
      <c r="E197" s="26" t="str">
        <f>IF(ISERROR(VLOOKUP($A197,Bestellungen!$6:$1048576,MATCH(Kasse!E$5,Bestellungen!$A$5:$X$5,0),0))=FALSE,SUMIF(Kalkulation!$A$6:$A$40,Kasse!E$5&amp;"*",Kalkulation!$C$6:$C$40)*VLOOKUP($A197,Bestellungen!$6:$1048576,MATCH(Kasse!E$5,Bestellungen!$A$5:$X$5,0),0),"")</f>
        <v/>
      </c>
      <c r="F197" s="26" t="str">
        <f>IF(ISERROR(VLOOKUP($A197,Bestellungen!$6:$1048576,MATCH(Kasse!F$5,Bestellungen!$A$5:$X$5,0),0))=FALSE,SUMIF(Kalkulation!$A$6:$A$40,Kasse!F$5&amp;"*",Kalkulation!$C$6:$C$40)*VLOOKUP($A197,Bestellungen!$6:$1048576,MATCH(Kasse!F$5,Bestellungen!$A$5:$X$5,0),0),"")</f>
        <v/>
      </c>
      <c r="G197" s="26" t="str">
        <f>IF(ISERROR(VLOOKUP($A197,Bestellungen!$6:$1048576,MATCH(Kasse!G$5,Bestellungen!$A$5:$X$5,0),0))=FALSE,SUMIF(Kalkulation!$A$6:$A$40,Kasse!G$5&amp;"*",Kalkulation!$C$6:$C$40)*VLOOKUP($A197,Bestellungen!$6:$1048576,MATCH(Kasse!G$5,Bestellungen!$A$5:$X$5,0),0),"")</f>
        <v/>
      </c>
      <c r="H197" s="26" t="str">
        <f>IF(ISERROR(VLOOKUP($A197,Bestellungen!$6:$1048576,MATCH(Kasse!H$5,Bestellungen!$A$5:$X$5,0),0))=FALSE,SUMIF(Kalkulation!$A$6:$A$40,Kasse!H$5&amp;"*",Kalkulation!$C$6:$C$40)*VLOOKUP($A197,Bestellungen!$6:$1048576,MATCH(Kasse!H$5,Bestellungen!$A$5:$X$5,0),0),"")</f>
        <v/>
      </c>
      <c r="I197" s="26" t="str">
        <f>IF(ISERROR(VLOOKUP($A197,Bestellungen!$6:$1048576,MATCH(Kasse!I$5,Bestellungen!$A$5:$X$5,0),0))=FALSE,SUMIF(Kalkulation!$A$6:$A$40,Kasse!I$5&amp;"*",Kalkulation!$C$6:$C$40)*VLOOKUP($A197,Bestellungen!$6:$1048576,MATCH(Kasse!I$5,Bestellungen!$A$5:$X$5,0),0),"")</f>
        <v/>
      </c>
      <c r="J197" s="26" t="str">
        <f>IF(ISERROR(VLOOKUP($A197,Bestellungen!$6:$1048576,MATCH(Kasse!J$5,Bestellungen!$A$5:$X$5,0),0))=FALSE,SUMIF(Kalkulation!$A$6:$A$40,Kasse!J$5&amp;"*",Kalkulation!$C$6:$C$40)*VLOOKUP($A197,Bestellungen!$6:$1048576,MATCH(Kasse!J$5,Bestellungen!$A$5:$X$5,0),0),"")</f>
        <v/>
      </c>
      <c r="K197" s="26" t="str">
        <f>IF(ISERROR(VLOOKUP($A197,Bestellungen!$6:$1048576,MATCH(Kasse!K$5,Bestellungen!$A$5:$X$5,0),0))=FALSE,SUMIF(Kalkulation!$A$6:$A$40,Kasse!K$5&amp;"*",Kalkulation!$C$6:$C$40)*VLOOKUP($A197,Bestellungen!$6:$1048576,MATCH(Kasse!K$5,Bestellungen!$A$5:$X$5,0),0),"")</f>
        <v/>
      </c>
      <c r="L197" s="26" t="str">
        <f>IF(ISERROR(VLOOKUP($A197,Bestellungen!$6:$1048576,MATCH(Kasse!L$5,Bestellungen!$A$5:$X$5,0),0))=FALSE,SUMIF(Kalkulation!$A$6:$A$40,Kasse!L$5&amp;"*",Kalkulation!$C$6:$C$40)*VLOOKUP($A197,Bestellungen!$6:$1048576,MATCH(Kasse!L$5,Bestellungen!$A$5:$X$5,0),0),"")</f>
        <v/>
      </c>
      <c r="M197" s="26" t="str">
        <f>IF(ISERROR(VLOOKUP($A197,Bestellungen!$6:$1048576,MATCH(Kasse!M$5,Bestellungen!$A$5:$X$5,0),0))=FALSE,SUMIF(Kalkulation!$A$6:$A$40,Kasse!M$5&amp;"*",Kalkulation!$C$6:$C$40)*VLOOKUP($A197,Bestellungen!$6:$1048576,MATCH(Kasse!M$5,Bestellungen!$A$5:$X$5,0),0),"")</f>
        <v/>
      </c>
      <c r="N197" s="26" t="str">
        <f>IF(ISERROR(VLOOKUP($A197,Bestellungen!$6:$1048576,MATCH(Kasse!N$5,Bestellungen!$A$5:$X$5,0),0))=FALSE,SUMIF(Kalkulation!$A$6:$A$40,Kasse!N$5&amp;"*",Kalkulation!$C$6:$C$40)*VLOOKUP($A197,Bestellungen!$6:$1048576,MATCH(Kasse!N$5,Bestellungen!$A$5:$X$5,0),0),"")</f>
        <v/>
      </c>
      <c r="O197" s="26" t="str">
        <f>IF(ISERROR(VLOOKUP($A197,Bestellungen!$6:$1048576,MATCH(Kasse!O$5,Bestellungen!$A$5:$X$5,0),0))=FALSE,SUMIF(Kalkulation!$A$6:$A$40,Kasse!O$5&amp;"*",Kalkulation!$C$6:$C$40)*VLOOKUP($A197,Bestellungen!$6:$1048576,MATCH(Kasse!O$5,Bestellungen!$A$5:$X$5,0),0),"")</f>
        <v/>
      </c>
      <c r="P197" s="26" t="str">
        <f>IF(ISERROR(VLOOKUP($A197,Bestellungen!$6:$1048576,MATCH(Kasse!P$5,Bestellungen!$A$5:$X$5,0),0))=FALSE,SUMIF(Kalkulation!$A$6:$A$40,Kasse!P$5&amp;"*",Kalkulation!$C$6:$C$40)*VLOOKUP($A197,Bestellungen!$6:$1048576,MATCH(Kasse!P$5,Bestellungen!$A$5:$X$5,0),0),"")</f>
        <v/>
      </c>
      <c r="Q197" s="26" t="str">
        <f>IF(ISERROR(VLOOKUP($A197,Bestellungen!$6:$1048576,MATCH(Kasse!Q$5,Bestellungen!$A$5:$X$5,0),0))=FALSE,SUMIF(Kalkulation!$A$6:$A$40,Kasse!Q$5&amp;"*",Kalkulation!$C$6:$C$40)*VLOOKUP($A197,Bestellungen!$6:$1048576,MATCH(Kasse!Q$5,Bestellungen!$A$5:$X$5,0),0),"")</f>
        <v/>
      </c>
      <c r="R197" s="26" t="str">
        <f>IF(ISERROR(VLOOKUP($A197,Bestellungen!$6:$1048576,MATCH(Kasse!R$5,Bestellungen!$A$5:$X$5,0),0))=FALSE,SUMIF(Kalkulation!$A$6:$A$40,Kasse!R$5&amp;"*",Kalkulation!$C$6:$C$40)*VLOOKUP($A197,Bestellungen!$6:$1048576,MATCH(Kasse!R$5,Bestellungen!$A$5:$X$5,0),0),"")</f>
        <v/>
      </c>
      <c r="S197" s="26" t="str">
        <f>IF(ISERROR(VLOOKUP($A197,Bestellungen!$6:$1048576,MATCH(Kasse!S$5,Bestellungen!$A$5:$X$5,0),0))=FALSE,SUMIF(Kalkulation!$A$6:$A$40,Kasse!S$5&amp;"*",Kalkulation!$C$6:$C$40)*VLOOKUP($A197,Bestellungen!$6:$1048576,MATCH(Kasse!S$5,Bestellungen!$A$5:$X$5,0),0),"")</f>
        <v/>
      </c>
      <c r="T197" s="26" t="str">
        <f>IF(ISERROR(VLOOKUP($A197,Bestellungen!$6:$1048576,MATCH(Kasse!T$5,Bestellungen!$A$5:$X$5,0),0))=FALSE,SUMIF(Kalkulation!$A$6:$A$40,Kasse!T$5&amp;"*",Kalkulation!$C$6:$C$40)*VLOOKUP($A197,Bestellungen!$6:$1048576,MATCH(Kasse!T$5,Bestellungen!$A$5:$X$5,0),0),"")</f>
        <v/>
      </c>
      <c r="U197" s="26" t="str">
        <f t="shared" si="4"/>
        <v/>
      </c>
      <c r="W197" s="26" t="str">
        <f t="shared" si="5"/>
        <v/>
      </c>
      <c r="X197" s="26"/>
      <c r="Y197" s="26"/>
      <c r="Z197" s="26"/>
      <c r="AA197" s="26"/>
    </row>
    <row r="198" spans="1:27" x14ac:dyDescent="0.25">
      <c r="A198" t="str">
        <f>IF(LEN(Bestellungen!$A198)&gt;0,Bestellungen!$A198,"")</f>
        <v/>
      </c>
      <c r="B198" s="26" t="str">
        <f>IF(ISERROR(VLOOKUP($A198,Bestellungen!$6:$1048576,MATCH(Kasse!B$5,Bestellungen!$A$5:$X$5,0),0))=FALSE,SUMIF(Kalkulation!$A$6:$A$40,Kasse!B$5&amp;"*",Kalkulation!$C$6:$C$40)*VLOOKUP($A198,Bestellungen!$6:$1048576,MATCH(Kasse!B$5,Bestellungen!$A$5:$X$5,0),0),"")</f>
        <v/>
      </c>
      <c r="C198" s="26" t="str">
        <f>IF(ISERROR(VLOOKUP($A198,Bestellungen!$6:$1048576,MATCH(Kasse!C$5,Bestellungen!$A$5:$X$5,0),0))=FALSE,SUMIF(Kalkulation!$A$6:$A$40,Kasse!C$5&amp;"*",Kalkulation!$C$6:$C$40)*VLOOKUP($A198,Bestellungen!$6:$1048576,MATCH(Kasse!C$5,Bestellungen!$A$5:$X$5,0),0),"")</f>
        <v/>
      </c>
      <c r="D198" s="26" t="str">
        <f>IF(ISERROR(VLOOKUP($A198,Bestellungen!$6:$1048576,MATCH(Kasse!D$5,Bestellungen!$A$5:$X$5,0),0))=FALSE,SUMIF(Kalkulation!$A$6:$A$40,Kasse!D$5&amp;"*",Kalkulation!$C$6:$C$40)*VLOOKUP($A198,Bestellungen!$6:$1048576,MATCH(Kasse!D$5,Bestellungen!$A$5:$X$5,0),0),"")</f>
        <v/>
      </c>
      <c r="E198" s="26" t="str">
        <f>IF(ISERROR(VLOOKUP($A198,Bestellungen!$6:$1048576,MATCH(Kasse!E$5,Bestellungen!$A$5:$X$5,0),0))=FALSE,SUMIF(Kalkulation!$A$6:$A$40,Kasse!E$5&amp;"*",Kalkulation!$C$6:$C$40)*VLOOKUP($A198,Bestellungen!$6:$1048576,MATCH(Kasse!E$5,Bestellungen!$A$5:$X$5,0),0),"")</f>
        <v/>
      </c>
      <c r="F198" s="26" t="str">
        <f>IF(ISERROR(VLOOKUP($A198,Bestellungen!$6:$1048576,MATCH(Kasse!F$5,Bestellungen!$A$5:$X$5,0),0))=FALSE,SUMIF(Kalkulation!$A$6:$A$40,Kasse!F$5&amp;"*",Kalkulation!$C$6:$C$40)*VLOOKUP($A198,Bestellungen!$6:$1048576,MATCH(Kasse!F$5,Bestellungen!$A$5:$X$5,0),0),"")</f>
        <v/>
      </c>
      <c r="G198" s="26" t="str">
        <f>IF(ISERROR(VLOOKUP($A198,Bestellungen!$6:$1048576,MATCH(Kasse!G$5,Bestellungen!$A$5:$X$5,0),0))=FALSE,SUMIF(Kalkulation!$A$6:$A$40,Kasse!G$5&amp;"*",Kalkulation!$C$6:$C$40)*VLOOKUP($A198,Bestellungen!$6:$1048576,MATCH(Kasse!G$5,Bestellungen!$A$5:$X$5,0),0),"")</f>
        <v/>
      </c>
      <c r="H198" s="26" t="str">
        <f>IF(ISERROR(VLOOKUP($A198,Bestellungen!$6:$1048576,MATCH(Kasse!H$5,Bestellungen!$A$5:$X$5,0),0))=FALSE,SUMIF(Kalkulation!$A$6:$A$40,Kasse!H$5&amp;"*",Kalkulation!$C$6:$C$40)*VLOOKUP($A198,Bestellungen!$6:$1048576,MATCH(Kasse!H$5,Bestellungen!$A$5:$X$5,0),0),"")</f>
        <v/>
      </c>
      <c r="I198" s="26" t="str">
        <f>IF(ISERROR(VLOOKUP($A198,Bestellungen!$6:$1048576,MATCH(Kasse!I$5,Bestellungen!$A$5:$X$5,0),0))=FALSE,SUMIF(Kalkulation!$A$6:$A$40,Kasse!I$5&amp;"*",Kalkulation!$C$6:$C$40)*VLOOKUP($A198,Bestellungen!$6:$1048576,MATCH(Kasse!I$5,Bestellungen!$A$5:$X$5,0),0),"")</f>
        <v/>
      </c>
      <c r="J198" s="26" t="str">
        <f>IF(ISERROR(VLOOKUP($A198,Bestellungen!$6:$1048576,MATCH(Kasse!J$5,Bestellungen!$A$5:$X$5,0),0))=FALSE,SUMIF(Kalkulation!$A$6:$A$40,Kasse!J$5&amp;"*",Kalkulation!$C$6:$C$40)*VLOOKUP($A198,Bestellungen!$6:$1048576,MATCH(Kasse!J$5,Bestellungen!$A$5:$X$5,0),0),"")</f>
        <v/>
      </c>
      <c r="K198" s="26" t="str">
        <f>IF(ISERROR(VLOOKUP($A198,Bestellungen!$6:$1048576,MATCH(Kasse!K$5,Bestellungen!$A$5:$X$5,0),0))=FALSE,SUMIF(Kalkulation!$A$6:$A$40,Kasse!K$5&amp;"*",Kalkulation!$C$6:$C$40)*VLOOKUP($A198,Bestellungen!$6:$1048576,MATCH(Kasse!K$5,Bestellungen!$A$5:$X$5,0),0),"")</f>
        <v/>
      </c>
      <c r="L198" s="26" t="str">
        <f>IF(ISERROR(VLOOKUP($A198,Bestellungen!$6:$1048576,MATCH(Kasse!L$5,Bestellungen!$A$5:$X$5,0),0))=FALSE,SUMIF(Kalkulation!$A$6:$A$40,Kasse!L$5&amp;"*",Kalkulation!$C$6:$C$40)*VLOOKUP($A198,Bestellungen!$6:$1048576,MATCH(Kasse!L$5,Bestellungen!$A$5:$X$5,0),0),"")</f>
        <v/>
      </c>
      <c r="M198" s="26" t="str">
        <f>IF(ISERROR(VLOOKUP($A198,Bestellungen!$6:$1048576,MATCH(Kasse!M$5,Bestellungen!$A$5:$X$5,0),0))=FALSE,SUMIF(Kalkulation!$A$6:$A$40,Kasse!M$5&amp;"*",Kalkulation!$C$6:$C$40)*VLOOKUP($A198,Bestellungen!$6:$1048576,MATCH(Kasse!M$5,Bestellungen!$A$5:$X$5,0),0),"")</f>
        <v/>
      </c>
      <c r="N198" s="26" t="str">
        <f>IF(ISERROR(VLOOKUP($A198,Bestellungen!$6:$1048576,MATCH(Kasse!N$5,Bestellungen!$A$5:$X$5,0),0))=FALSE,SUMIF(Kalkulation!$A$6:$A$40,Kasse!N$5&amp;"*",Kalkulation!$C$6:$C$40)*VLOOKUP($A198,Bestellungen!$6:$1048576,MATCH(Kasse!N$5,Bestellungen!$A$5:$X$5,0),0),"")</f>
        <v/>
      </c>
      <c r="O198" s="26" t="str">
        <f>IF(ISERROR(VLOOKUP($A198,Bestellungen!$6:$1048576,MATCH(Kasse!O$5,Bestellungen!$A$5:$X$5,0),0))=FALSE,SUMIF(Kalkulation!$A$6:$A$40,Kasse!O$5&amp;"*",Kalkulation!$C$6:$C$40)*VLOOKUP($A198,Bestellungen!$6:$1048576,MATCH(Kasse!O$5,Bestellungen!$A$5:$X$5,0),0),"")</f>
        <v/>
      </c>
      <c r="P198" s="26" t="str">
        <f>IF(ISERROR(VLOOKUP($A198,Bestellungen!$6:$1048576,MATCH(Kasse!P$5,Bestellungen!$A$5:$X$5,0),0))=FALSE,SUMIF(Kalkulation!$A$6:$A$40,Kasse!P$5&amp;"*",Kalkulation!$C$6:$C$40)*VLOOKUP($A198,Bestellungen!$6:$1048576,MATCH(Kasse!P$5,Bestellungen!$A$5:$X$5,0),0),"")</f>
        <v/>
      </c>
      <c r="Q198" s="26" t="str">
        <f>IF(ISERROR(VLOOKUP($A198,Bestellungen!$6:$1048576,MATCH(Kasse!Q$5,Bestellungen!$A$5:$X$5,0),0))=FALSE,SUMIF(Kalkulation!$A$6:$A$40,Kasse!Q$5&amp;"*",Kalkulation!$C$6:$C$40)*VLOOKUP($A198,Bestellungen!$6:$1048576,MATCH(Kasse!Q$5,Bestellungen!$A$5:$X$5,0),0),"")</f>
        <v/>
      </c>
      <c r="R198" s="26" t="str">
        <f>IF(ISERROR(VLOOKUP($A198,Bestellungen!$6:$1048576,MATCH(Kasse!R$5,Bestellungen!$A$5:$X$5,0),0))=FALSE,SUMIF(Kalkulation!$A$6:$A$40,Kasse!R$5&amp;"*",Kalkulation!$C$6:$C$40)*VLOOKUP($A198,Bestellungen!$6:$1048576,MATCH(Kasse!R$5,Bestellungen!$A$5:$X$5,0),0),"")</f>
        <v/>
      </c>
      <c r="S198" s="26" t="str">
        <f>IF(ISERROR(VLOOKUP($A198,Bestellungen!$6:$1048576,MATCH(Kasse!S$5,Bestellungen!$A$5:$X$5,0),0))=FALSE,SUMIF(Kalkulation!$A$6:$A$40,Kasse!S$5&amp;"*",Kalkulation!$C$6:$C$40)*VLOOKUP($A198,Bestellungen!$6:$1048576,MATCH(Kasse!S$5,Bestellungen!$A$5:$X$5,0),0),"")</f>
        <v/>
      </c>
      <c r="T198" s="26" t="str">
        <f>IF(ISERROR(VLOOKUP($A198,Bestellungen!$6:$1048576,MATCH(Kasse!T$5,Bestellungen!$A$5:$X$5,0),0))=FALSE,SUMIF(Kalkulation!$A$6:$A$40,Kasse!T$5&amp;"*",Kalkulation!$C$6:$C$40)*VLOOKUP($A198,Bestellungen!$6:$1048576,MATCH(Kasse!T$5,Bestellungen!$A$5:$X$5,0),0),"")</f>
        <v/>
      </c>
      <c r="U198" s="26" t="str">
        <f t="shared" si="4"/>
        <v/>
      </c>
      <c r="W198" s="26" t="str">
        <f t="shared" si="5"/>
        <v/>
      </c>
      <c r="X198" s="26"/>
      <c r="Y198" s="26"/>
      <c r="Z198" s="26"/>
      <c r="AA198" s="26"/>
    </row>
    <row r="199" spans="1:27" x14ac:dyDescent="0.25">
      <c r="A199" t="str">
        <f>IF(LEN(Bestellungen!$A199)&gt;0,Bestellungen!$A199,"")</f>
        <v/>
      </c>
      <c r="B199" s="26" t="str">
        <f>IF(ISERROR(VLOOKUP($A199,Bestellungen!$6:$1048576,MATCH(Kasse!B$5,Bestellungen!$A$5:$X$5,0),0))=FALSE,SUMIF(Kalkulation!$A$6:$A$40,Kasse!B$5&amp;"*",Kalkulation!$C$6:$C$40)*VLOOKUP($A199,Bestellungen!$6:$1048576,MATCH(Kasse!B$5,Bestellungen!$A$5:$X$5,0),0),"")</f>
        <v/>
      </c>
      <c r="C199" s="26" t="str">
        <f>IF(ISERROR(VLOOKUP($A199,Bestellungen!$6:$1048576,MATCH(Kasse!C$5,Bestellungen!$A$5:$X$5,0),0))=FALSE,SUMIF(Kalkulation!$A$6:$A$40,Kasse!C$5&amp;"*",Kalkulation!$C$6:$C$40)*VLOOKUP($A199,Bestellungen!$6:$1048576,MATCH(Kasse!C$5,Bestellungen!$A$5:$X$5,0),0),"")</f>
        <v/>
      </c>
      <c r="D199" s="26" t="str">
        <f>IF(ISERROR(VLOOKUP($A199,Bestellungen!$6:$1048576,MATCH(Kasse!D$5,Bestellungen!$A$5:$X$5,0),0))=FALSE,SUMIF(Kalkulation!$A$6:$A$40,Kasse!D$5&amp;"*",Kalkulation!$C$6:$C$40)*VLOOKUP($A199,Bestellungen!$6:$1048576,MATCH(Kasse!D$5,Bestellungen!$A$5:$X$5,0),0),"")</f>
        <v/>
      </c>
      <c r="E199" s="26" t="str">
        <f>IF(ISERROR(VLOOKUP($A199,Bestellungen!$6:$1048576,MATCH(Kasse!E$5,Bestellungen!$A$5:$X$5,0),0))=FALSE,SUMIF(Kalkulation!$A$6:$A$40,Kasse!E$5&amp;"*",Kalkulation!$C$6:$C$40)*VLOOKUP($A199,Bestellungen!$6:$1048576,MATCH(Kasse!E$5,Bestellungen!$A$5:$X$5,0),0),"")</f>
        <v/>
      </c>
      <c r="F199" s="26" t="str">
        <f>IF(ISERROR(VLOOKUP($A199,Bestellungen!$6:$1048576,MATCH(Kasse!F$5,Bestellungen!$A$5:$X$5,0),0))=FALSE,SUMIF(Kalkulation!$A$6:$A$40,Kasse!F$5&amp;"*",Kalkulation!$C$6:$C$40)*VLOOKUP($A199,Bestellungen!$6:$1048576,MATCH(Kasse!F$5,Bestellungen!$A$5:$X$5,0),0),"")</f>
        <v/>
      </c>
      <c r="G199" s="26" t="str">
        <f>IF(ISERROR(VLOOKUP($A199,Bestellungen!$6:$1048576,MATCH(Kasse!G$5,Bestellungen!$A$5:$X$5,0),0))=FALSE,SUMIF(Kalkulation!$A$6:$A$40,Kasse!G$5&amp;"*",Kalkulation!$C$6:$C$40)*VLOOKUP($A199,Bestellungen!$6:$1048576,MATCH(Kasse!G$5,Bestellungen!$A$5:$X$5,0),0),"")</f>
        <v/>
      </c>
      <c r="H199" s="26" t="str">
        <f>IF(ISERROR(VLOOKUP($A199,Bestellungen!$6:$1048576,MATCH(Kasse!H$5,Bestellungen!$A$5:$X$5,0),0))=FALSE,SUMIF(Kalkulation!$A$6:$A$40,Kasse!H$5&amp;"*",Kalkulation!$C$6:$C$40)*VLOOKUP($A199,Bestellungen!$6:$1048576,MATCH(Kasse!H$5,Bestellungen!$A$5:$X$5,0),0),"")</f>
        <v/>
      </c>
      <c r="I199" s="26" t="str">
        <f>IF(ISERROR(VLOOKUP($A199,Bestellungen!$6:$1048576,MATCH(Kasse!I$5,Bestellungen!$A$5:$X$5,0),0))=FALSE,SUMIF(Kalkulation!$A$6:$A$40,Kasse!I$5&amp;"*",Kalkulation!$C$6:$C$40)*VLOOKUP($A199,Bestellungen!$6:$1048576,MATCH(Kasse!I$5,Bestellungen!$A$5:$X$5,0),0),"")</f>
        <v/>
      </c>
      <c r="J199" s="26" t="str">
        <f>IF(ISERROR(VLOOKUP($A199,Bestellungen!$6:$1048576,MATCH(Kasse!J$5,Bestellungen!$A$5:$X$5,0),0))=FALSE,SUMIF(Kalkulation!$A$6:$A$40,Kasse!J$5&amp;"*",Kalkulation!$C$6:$C$40)*VLOOKUP($A199,Bestellungen!$6:$1048576,MATCH(Kasse!J$5,Bestellungen!$A$5:$X$5,0),0),"")</f>
        <v/>
      </c>
      <c r="K199" s="26" t="str">
        <f>IF(ISERROR(VLOOKUP($A199,Bestellungen!$6:$1048576,MATCH(Kasse!K$5,Bestellungen!$A$5:$X$5,0),0))=FALSE,SUMIF(Kalkulation!$A$6:$A$40,Kasse!K$5&amp;"*",Kalkulation!$C$6:$C$40)*VLOOKUP($A199,Bestellungen!$6:$1048576,MATCH(Kasse!K$5,Bestellungen!$A$5:$X$5,0),0),"")</f>
        <v/>
      </c>
      <c r="L199" s="26" t="str">
        <f>IF(ISERROR(VLOOKUP($A199,Bestellungen!$6:$1048576,MATCH(Kasse!L$5,Bestellungen!$A$5:$X$5,0),0))=FALSE,SUMIF(Kalkulation!$A$6:$A$40,Kasse!L$5&amp;"*",Kalkulation!$C$6:$C$40)*VLOOKUP($A199,Bestellungen!$6:$1048576,MATCH(Kasse!L$5,Bestellungen!$A$5:$X$5,0),0),"")</f>
        <v/>
      </c>
      <c r="M199" s="26" t="str">
        <f>IF(ISERROR(VLOOKUP($A199,Bestellungen!$6:$1048576,MATCH(Kasse!M$5,Bestellungen!$A$5:$X$5,0),0))=FALSE,SUMIF(Kalkulation!$A$6:$A$40,Kasse!M$5&amp;"*",Kalkulation!$C$6:$C$40)*VLOOKUP($A199,Bestellungen!$6:$1048576,MATCH(Kasse!M$5,Bestellungen!$A$5:$X$5,0),0),"")</f>
        <v/>
      </c>
      <c r="N199" s="26" t="str">
        <f>IF(ISERROR(VLOOKUP($A199,Bestellungen!$6:$1048576,MATCH(Kasse!N$5,Bestellungen!$A$5:$X$5,0),0))=FALSE,SUMIF(Kalkulation!$A$6:$A$40,Kasse!N$5&amp;"*",Kalkulation!$C$6:$C$40)*VLOOKUP($A199,Bestellungen!$6:$1048576,MATCH(Kasse!N$5,Bestellungen!$A$5:$X$5,0),0),"")</f>
        <v/>
      </c>
      <c r="O199" s="26" t="str">
        <f>IF(ISERROR(VLOOKUP($A199,Bestellungen!$6:$1048576,MATCH(Kasse!O$5,Bestellungen!$A$5:$X$5,0),0))=FALSE,SUMIF(Kalkulation!$A$6:$A$40,Kasse!O$5&amp;"*",Kalkulation!$C$6:$C$40)*VLOOKUP($A199,Bestellungen!$6:$1048576,MATCH(Kasse!O$5,Bestellungen!$A$5:$X$5,0),0),"")</f>
        <v/>
      </c>
      <c r="P199" s="26" t="str">
        <f>IF(ISERROR(VLOOKUP($A199,Bestellungen!$6:$1048576,MATCH(Kasse!P$5,Bestellungen!$A$5:$X$5,0),0))=FALSE,SUMIF(Kalkulation!$A$6:$A$40,Kasse!P$5&amp;"*",Kalkulation!$C$6:$C$40)*VLOOKUP($A199,Bestellungen!$6:$1048576,MATCH(Kasse!P$5,Bestellungen!$A$5:$X$5,0),0),"")</f>
        <v/>
      </c>
      <c r="Q199" s="26" t="str">
        <f>IF(ISERROR(VLOOKUP($A199,Bestellungen!$6:$1048576,MATCH(Kasse!Q$5,Bestellungen!$A$5:$X$5,0),0))=FALSE,SUMIF(Kalkulation!$A$6:$A$40,Kasse!Q$5&amp;"*",Kalkulation!$C$6:$C$40)*VLOOKUP($A199,Bestellungen!$6:$1048576,MATCH(Kasse!Q$5,Bestellungen!$A$5:$X$5,0),0),"")</f>
        <v/>
      </c>
      <c r="R199" s="26" t="str">
        <f>IF(ISERROR(VLOOKUP($A199,Bestellungen!$6:$1048576,MATCH(Kasse!R$5,Bestellungen!$A$5:$X$5,0),0))=FALSE,SUMIF(Kalkulation!$A$6:$A$40,Kasse!R$5&amp;"*",Kalkulation!$C$6:$C$40)*VLOOKUP($A199,Bestellungen!$6:$1048576,MATCH(Kasse!R$5,Bestellungen!$A$5:$X$5,0),0),"")</f>
        <v/>
      </c>
      <c r="S199" s="26" t="str">
        <f>IF(ISERROR(VLOOKUP($A199,Bestellungen!$6:$1048576,MATCH(Kasse!S$5,Bestellungen!$A$5:$X$5,0),0))=FALSE,SUMIF(Kalkulation!$A$6:$A$40,Kasse!S$5&amp;"*",Kalkulation!$C$6:$C$40)*VLOOKUP($A199,Bestellungen!$6:$1048576,MATCH(Kasse!S$5,Bestellungen!$A$5:$X$5,0),0),"")</f>
        <v/>
      </c>
      <c r="T199" s="26" t="str">
        <f>IF(ISERROR(VLOOKUP($A199,Bestellungen!$6:$1048576,MATCH(Kasse!T$5,Bestellungen!$A$5:$X$5,0),0))=FALSE,SUMIF(Kalkulation!$A$6:$A$40,Kasse!T$5&amp;"*",Kalkulation!$C$6:$C$40)*VLOOKUP($A199,Bestellungen!$6:$1048576,MATCH(Kasse!T$5,Bestellungen!$A$5:$X$5,0),0),"")</f>
        <v/>
      </c>
      <c r="U199" s="26" t="str">
        <f t="shared" ref="U199:U262" si="6">IF(COUNT(B199:M199)&gt;0,SUM(B199:M199),"")</f>
        <v/>
      </c>
      <c r="W199" s="26" t="str">
        <f t="shared" ref="W199:W262" si="7">IF(AND(ISNUMBER(U199),ISNUMBER(VALUE(V199))),VALUE(V199)-U199,"")</f>
        <v/>
      </c>
      <c r="X199" s="26"/>
      <c r="Y199" s="26"/>
      <c r="Z199" s="26"/>
      <c r="AA199" s="26"/>
    </row>
    <row r="200" spans="1:27" x14ac:dyDescent="0.25">
      <c r="A200" t="str">
        <f>IF(LEN(Bestellungen!$A200)&gt;0,Bestellungen!$A200,"")</f>
        <v/>
      </c>
      <c r="B200" s="26" t="str">
        <f>IF(ISERROR(VLOOKUP($A200,Bestellungen!$6:$1048576,MATCH(Kasse!B$5,Bestellungen!$A$5:$X$5,0),0))=FALSE,SUMIF(Kalkulation!$A$6:$A$40,Kasse!B$5&amp;"*",Kalkulation!$C$6:$C$40)*VLOOKUP($A200,Bestellungen!$6:$1048576,MATCH(Kasse!B$5,Bestellungen!$A$5:$X$5,0),0),"")</f>
        <v/>
      </c>
      <c r="C200" s="26" t="str">
        <f>IF(ISERROR(VLOOKUP($A200,Bestellungen!$6:$1048576,MATCH(Kasse!C$5,Bestellungen!$A$5:$X$5,0),0))=FALSE,SUMIF(Kalkulation!$A$6:$A$40,Kasse!C$5&amp;"*",Kalkulation!$C$6:$C$40)*VLOOKUP($A200,Bestellungen!$6:$1048576,MATCH(Kasse!C$5,Bestellungen!$A$5:$X$5,0),0),"")</f>
        <v/>
      </c>
      <c r="D200" s="26" t="str">
        <f>IF(ISERROR(VLOOKUP($A200,Bestellungen!$6:$1048576,MATCH(Kasse!D$5,Bestellungen!$A$5:$X$5,0),0))=FALSE,SUMIF(Kalkulation!$A$6:$A$40,Kasse!D$5&amp;"*",Kalkulation!$C$6:$C$40)*VLOOKUP($A200,Bestellungen!$6:$1048576,MATCH(Kasse!D$5,Bestellungen!$A$5:$X$5,0),0),"")</f>
        <v/>
      </c>
      <c r="E200" s="26" t="str">
        <f>IF(ISERROR(VLOOKUP($A200,Bestellungen!$6:$1048576,MATCH(Kasse!E$5,Bestellungen!$A$5:$X$5,0),0))=FALSE,SUMIF(Kalkulation!$A$6:$A$40,Kasse!E$5&amp;"*",Kalkulation!$C$6:$C$40)*VLOOKUP($A200,Bestellungen!$6:$1048576,MATCH(Kasse!E$5,Bestellungen!$A$5:$X$5,0),0),"")</f>
        <v/>
      </c>
      <c r="F200" s="26" t="str">
        <f>IF(ISERROR(VLOOKUP($A200,Bestellungen!$6:$1048576,MATCH(Kasse!F$5,Bestellungen!$A$5:$X$5,0),0))=FALSE,SUMIF(Kalkulation!$A$6:$A$40,Kasse!F$5&amp;"*",Kalkulation!$C$6:$C$40)*VLOOKUP($A200,Bestellungen!$6:$1048576,MATCH(Kasse!F$5,Bestellungen!$A$5:$X$5,0),0),"")</f>
        <v/>
      </c>
      <c r="G200" s="26" t="str">
        <f>IF(ISERROR(VLOOKUP($A200,Bestellungen!$6:$1048576,MATCH(Kasse!G$5,Bestellungen!$A$5:$X$5,0),0))=FALSE,SUMIF(Kalkulation!$A$6:$A$40,Kasse!G$5&amp;"*",Kalkulation!$C$6:$C$40)*VLOOKUP($A200,Bestellungen!$6:$1048576,MATCH(Kasse!G$5,Bestellungen!$A$5:$X$5,0),0),"")</f>
        <v/>
      </c>
      <c r="H200" s="26" t="str">
        <f>IF(ISERROR(VLOOKUP($A200,Bestellungen!$6:$1048576,MATCH(Kasse!H$5,Bestellungen!$A$5:$X$5,0),0))=FALSE,SUMIF(Kalkulation!$A$6:$A$40,Kasse!H$5&amp;"*",Kalkulation!$C$6:$C$40)*VLOOKUP($A200,Bestellungen!$6:$1048576,MATCH(Kasse!H$5,Bestellungen!$A$5:$X$5,0),0),"")</f>
        <v/>
      </c>
      <c r="I200" s="26" t="str">
        <f>IF(ISERROR(VLOOKUP($A200,Bestellungen!$6:$1048576,MATCH(Kasse!I$5,Bestellungen!$A$5:$X$5,0),0))=FALSE,SUMIF(Kalkulation!$A$6:$A$40,Kasse!I$5&amp;"*",Kalkulation!$C$6:$C$40)*VLOOKUP($A200,Bestellungen!$6:$1048576,MATCH(Kasse!I$5,Bestellungen!$A$5:$X$5,0),0),"")</f>
        <v/>
      </c>
      <c r="J200" s="26" t="str">
        <f>IF(ISERROR(VLOOKUP($A200,Bestellungen!$6:$1048576,MATCH(Kasse!J$5,Bestellungen!$A$5:$X$5,0),0))=FALSE,SUMIF(Kalkulation!$A$6:$A$40,Kasse!J$5&amp;"*",Kalkulation!$C$6:$C$40)*VLOOKUP($A200,Bestellungen!$6:$1048576,MATCH(Kasse!J$5,Bestellungen!$A$5:$X$5,0),0),"")</f>
        <v/>
      </c>
      <c r="K200" s="26" t="str">
        <f>IF(ISERROR(VLOOKUP($A200,Bestellungen!$6:$1048576,MATCH(Kasse!K$5,Bestellungen!$A$5:$X$5,0),0))=FALSE,SUMIF(Kalkulation!$A$6:$A$40,Kasse!K$5&amp;"*",Kalkulation!$C$6:$C$40)*VLOOKUP($A200,Bestellungen!$6:$1048576,MATCH(Kasse!K$5,Bestellungen!$A$5:$X$5,0),0),"")</f>
        <v/>
      </c>
      <c r="L200" s="26" t="str">
        <f>IF(ISERROR(VLOOKUP($A200,Bestellungen!$6:$1048576,MATCH(Kasse!L$5,Bestellungen!$A$5:$X$5,0),0))=FALSE,SUMIF(Kalkulation!$A$6:$A$40,Kasse!L$5&amp;"*",Kalkulation!$C$6:$C$40)*VLOOKUP($A200,Bestellungen!$6:$1048576,MATCH(Kasse!L$5,Bestellungen!$A$5:$X$5,0),0),"")</f>
        <v/>
      </c>
      <c r="M200" s="26" t="str">
        <f>IF(ISERROR(VLOOKUP($A200,Bestellungen!$6:$1048576,MATCH(Kasse!M$5,Bestellungen!$A$5:$X$5,0),0))=FALSE,SUMIF(Kalkulation!$A$6:$A$40,Kasse!M$5&amp;"*",Kalkulation!$C$6:$C$40)*VLOOKUP($A200,Bestellungen!$6:$1048576,MATCH(Kasse!M$5,Bestellungen!$A$5:$X$5,0),0),"")</f>
        <v/>
      </c>
      <c r="N200" s="26" t="str">
        <f>IF(ISERROR(VLOOKUP($A200,Bestellungen!$6:$1048576,MATCH(Kasse!N$5,Bestellungen!$A$5:$X$5,0),0))=FALSE,SUMIF(Kalkulation!$A$6:$A$40,Kasse!N$5&amp;"*",Kalkulation!$C$6:$C$40)*VLOOKUP($A200,Bestellungen!$6:$1048576,MATCH(Kasse!N$5,Bestellungen!$A$5:$X$5,0),0),"")</f>
        <v/>
      </c>
      <c r="O200" s="26" t="str">
        <f>IF(ISERROR(VLOOKUP($A200,Bestellungen!$6:$1048576,MATCH(Kasse!O$5,Bestellungen!$A$5:$X$5,0),0))=FALSE,SUMIF(Kalkulation!$A$6:$A$40,Kasse!O$5&amp;"*",Kalkulation!$C$6:$C$40)*VLOOKUP($A200,Bestellungen!$6:$1048576,MATCH(Kasse!O$5,Bestellungen!$A$5:$X$5,0),0),"")</f>
        <v/>
      </c>
      <c r="P200" s="26" t="str">
        <f>IF(ISERROR(VLOOKUP($A200,Bestellungen!$6:$1048576,MATCH(Kasse!P$5,Bestellungen!$A$5:$X$5,0),0))=FALSE,SUMIF(Kalkulation!$A$6:$A$40,Kasse!P$5&amp;"*",Kalkulation!$C$6:$C$40)*VLOOKUP($A200,Bestellungen!$6:$1048576,MATCH(Kasse!P$5,Bestellungen!$A$5:$X$5,0),0),"")</f>
        <v/>
      </c>
      <c r="Q200" s="26" t="str">
        <f>IF(ISERROR(VLOOKUP($A200,Bestellungen!$6:$1048576,MATCH(Kasse!Q$5,Bestellungen!$A$5:$X$5,0),0))=FALSE,SUMIF(Kalkulation!$A$6:$A$40,Kasse!Q$5&amp;"*",Kalkulation!$C$6:$C$40)*VLOOKUP($A200,Bestellungen!$6:$1048576,MATCH(Kasse!Q$5,Bestellungen!$A$5:$X$5,0),0),"")</f>
        <v/>
      </c>
      <c r="R200" s="26" t="str">
        <f>IF(ISERROR(VLOOKUP($A200,Bestellungen!$6:$1048576,MATCH(Kasse!R$5,Bestellungen!$A$5:$X$5,0),0))=FALSE,SUMIF(Kalkulation!$A$6:$A$40,Kasse!R$5&amp;"*",Kalkulation!$C$6:$C$40)*VLOOKUP($A200,Bestellungen!$6:$1048576,MATCH(Kasse!R$5,Bestellungen!$A$5:$X$5,0),0),"")</f>
        <v/>
      </c>
      <c r="S200" s="26" t="str">
        <f>IF(ISERROR(VLOOKUP($A200,Bestellungen!$6:$1048576,MATCH(Kasse!S$5,Bestellungen!$A$5:$X$5,0),0))=FALSE,SUMIF(Kalkulation!$A$6:$A$40,Kasse!S$5&amp;"*",Kalkulation!$C$6:$C$40)*VLOOKUP($A200,Bestellungen!$6:$1048576,MATCH(Kasse!S$5,Bestellungen!$A$5:$X$5,0),0),"")</f>
        <v/>
      </c>
      <c r="T200" s="26" t="str">
        <f>IF(ISERROR(VLOOKUP($A200,Bestellungen!$6:$1048576,MATCH(Kasse!T$5,Bestellungen!$A$5:$X$5,0),0))=FALSE,SUMIF(Kalkulation!$A$6:$A$40,Kasse!T$5&amp;"*",Kalkulation!$C$6:$C$40)*VLOOKUP($A200,Bestellungen!$6:$1048576,MATCH(Kasse!T$5,Bestellungen!$A$5:$X$5,0),0),"")</f>
        <v/>
      </c>
      <c r="U200" s="26" t="str">
        <f t="shared" si="6"/>
        <v/>
      </c>
      <c r="W200" s="26" t="str">
        <f t="shared" si="7"/>
        <v/>
      </c>
      <c r="X200" s="26"/>
      <c r="Y200" s="26"/>
      <c r="Z200" s="26"/>
      <c r="AA200" s="26"/>
    </row>
    <row r="201" spans="1:27" x14ac:dyDescent="0.25">
      <c r="A201" t="str">
        <f>IF(LEN(Bestellungen!$A201)&gt;0,Bestellungen!$A201,"")</f>
        <v/>
      </c>
      <c r="B201" s="26" t="str">
        <f>IF(ISERROR(VLOOKUP($A201,Bestellungen!$6:$1048576,MATCH(Kasse!B$5,Bestellungen!$A$5:$X$5,0),0))=FALSE,SUMIF(Kalkulation!$A$6:$A$40,Kasse!B$5&amp;"*",Kalkulation!$C$6:$C$40)*VLOOKUP($A201,Bestellungen!$6:$1048576,MATCH(Kasse!B$5,Bestellungen!$A$5:$X$5,0),0),"")</f>
        <v/>
      </c>
      <c r="C201" s="26" t="str">
        <f>IF(ISERROR(VLOOKUP($A201,Bestellungen!$6:$1048576,MATCH(Kasse!C$5,Bestellungen!$A$5:$X$5,0),0))=FALSE,SUMIF(Kalkulation!$A$6:$A$40,Kasse!C$5&amp;"*",Kalkulation!$C$6:$C$40)*VLOOKUP($A201,Bestellungen!$6:$1048576,MATCH(Kasse!C$5,Bestellungen!$A$5:$X$5,0),0),"")</f>
        <v/>
      </c>
      <c r="D201" s="26" t="str">
        <f>IF(ISERROR(VLOOKUP($A201,Bestellungen!$6:$1048576,MATCH(Kasse!D$5,Bestellungen!$A$5:$X$5,0),0))=FALSE,SUMIF(Kalkulation!$A$6:$A$40,Kasse!D$5&amp;"*",Kalkulation!$C$6:$C$40)*VLOOKUP($A201,Bestellungen!$6:$1048576,MATCH(Kasse!D$5,Bestellungen!$A$5:$X$5,0),0),"")</f>
        <v/>
      </c>
      <c r="E201" s="26" t="str">
        <f>IF(ISERROR(VLOOKUP($A201,Bestellungen!$6:$1048576,MATCH(Kasse!E$5,Bestellungen!$A$5:$X$5,0),0))=FALSE,SUMIF(Kalkulation!$A$6:$A$40,Kasse!E$5&amp;"*",Kalkulation!$C$6:$C$40)*VLOOKUP($A201,Bestellungen!$6:$1048576,MATCH(Kasse!E$5,Bestellungen!$A$5:$X$5,0),0),"")</f>
        <v/>
      </c>
      <c r="F201" s="26" t="str">
        <f>IF(ISERROR(VLOOKUP($A201,Bestellungen!$6:$1048576,MATCH(Kasse!F$5,Bestellungen!$A$5:$X$5,0),0))=FALSE,SUMIF(Kalkulation!$A$6:$A$40,Kasse!F$5&amp;"*",Kalkulation!$C$6:$C$40)*VLOOKUP($A201,Bestellungen!$6:$1048576,MATCH(Kasse!F$5,Bestellungen!$A$5:$X$5,0),0),"")</f>
        <v/>
      </c>
      <c r="G201" s="26" t="str">
        <f>IF(ISERROR(VLOOKUP($A201,Bestellungen!$6:$1048576,MATCH(Kasse!G$5,Bestellungen!$A$5:$X$5,0),0))=FALSE,SUMIF(Kalkulation!$A$6:$A$40,Kasse!G$5&amp;"*",Kalkulation!$C$6:$C$40)*VLOOKUP($A201,Bestellungen!$6:$1048576,MATCH(Kasse!G$5,Bestellungen!$A$5:$X$5,0),0),"")</f>
        <v/>
      </c>
      <c r="H201" s="26" t="str">
        <f>IF(ISERROR(VLOOKUP($A201,Bestellungen!$6:$1048576,MATCH(Kasse!H$5,Bestellungen!$A$5:$X$5,0),0))=FALSE,SUMIF(Kalkulation!$A$6:$A$40,Kasse!H$5&amp;"*",Kalkulation!$C$6:$C$40)*VLOOKUP($A201,Bestellungen!$6:$1048576,MATCH(Kasse!H$5,Bestellungen!$A$5:$X$5,0),0),"")</f>
        <v/>
      </c>
      <c r="I201" s="26" t="str">
        <f>IF(ISERROR(VLOOKUP($A201,Bestellungen!$6:$1048576,MATCH(Kasse!I$5,Bestellungen!$A$5:$X$5,0),0))=FALSE,SUMIF(Kalkulation!$A$6:$A$40,Kasse!I$5&amp;"*",Kalkulation!$C$6:$C$40)*VLOOKUP($A201,Bestellungen!$6:$1048576,MATCH(Kasse!I$5,Bestellungen!$A$5:$X$5,0),0),"")</f>
        <v/>
      </c>
      <c r="J201" s="26" t="str">
        <f>IF(ISERROR(VLOOKUP($A201,Bestellungen!$6:$1048576,MATCH(Kasse!J$5,Bestellungen!$A$5:$X$5,0),0))=FALSE,SUMIF(Kalkulation!$A$6:$A$40,Kasse!J$5&amp;"*",Kalkulation!$C$6:$C$40)*VLOOKUP($A201,Bestellungen!$6:$1048576,MATCH(Kasse!J$5,Bestellungen!$A$5:$X$5,0),0),"")</f>
        <v/>
      </c>
      <c r="K201" s="26" t="str">
        <f>IF(ISERROR(VLOOKUP($A201,Bestellungen!$6:$1048576,MATCH(Kasse!K$5,Bestellungen!$A$5:$X$5,0),0))=FALSE,SUMIF(Kalkulation!$A$6:$A$40,Kasse!K$5&amp;"*",Kalkulation!$C$6:$C$40)*VLOOKUP($A201,Bestellungen!$6:$1048576,MATCH(Kasse!K$5,Bestellungen!$A$5:$X$5,0),0),"")</f>
        <v/>
      </c>
      <c r="L201" s="26" t="str">
        <f>IF(ISERROR(VLOOKUP($A201,Bestellungen!$6:$1048576,MATCH(Kasse!L$5,Bestellungen!$A$5:$X$5,0),0))=FALSE,SUMIF(Kalkulation!$A$6:$A$40,Kasse!L$5&amp;"*",Kalkulation!$C$6:$C$40)*VLOOKUP($A201,Bestellungen!$6:$1048576,MATCH(Kasse!L$5,Bestellungen!$A$5:$X$5,0),0),"")</f>
        <v/>
      </c>
      <c r="M201" s="26" t="str">
        <f>IF(ISERROR(VLOOKUP($A201,Bestellungen!$6:$1048576,MATCH(Kasse!M$5,Bestellungen!$A$5:$X$5,0),0))=FALSE,SUMIF(Kalkulation!$A$6:$A$40,Kasse!M$5&amp;"*",Kalkulation!$C$6:$C$40)*VLOOKUP($A201,Bestellungen!$6:$1048576,MATCH(Kasse!M$5,Bestellungen!$A$5:$X$5,0),0),"")</f>
        <v/>
      </c>
      <c r="N201" s="26" t="str">
        <f>IF(ISERROR(VLOOKUP($A201,Bestellungen!$6:$1048576,MATCH(Kasse!N$5,Bestellungen!$A$5:$X$5,0),0))=FALSE,SUMIF(Kalkulation!$A$6:$A$40,Kasse!N$5&amp;"*",Kalkulation!$C$6:$C$40)*VLOOKUP($A201,Bestellungen!$6:$1048576,MATCH(Kasse!N$5,Bestellungen!$A$5:$X$5,0),0),"")</f>
        <v/>
      </c>
      <c r="O201" s="26" t="str">
        <f>IF(ISERROR(VLOOKUP($A201,Bestellungen!$6:$1048576,MATCH(Kasse!O$5,Bestellungen!$A$5:$X$5,0),0))=FALSE,SUMIF(Kalkulation!$A$6:$A$40,Kasse!O$5&amp;"*",Kalkulation!$C$6:$C$40)*VLOOKUP($A201,Bestellungen!$6:$1048576,MATCH(Kasse!O$5,Bestellungen!$A$5:$X$5,0),0),"")</f>
        <v/>
      </c>
      <c r="P201" s="26" t="str">
        <f>IF(ISERROR(VLOOKUP($A201,Bestellungen!$6:$1048576,MATCH(Kasse!P$5,Bestellungen!$A$5:$X$5,0),0))=FALSE,SUMIF(Kalkulation!$A$6:$A$40,Kasse!P$5&amp;"*",Kalkulation!$C$6:$C$40)*VLOOKUP($A201,Bestellungen!$6:$1048576,MATCH(Kasse!P$5,Bestellungen!$A$5:$X$5,0),0),"")</f>
        <v/>
      </c>
      <c r="Q201" s="26" t="str">
        <f>IF(ISERROR(VLOOKUP($A201,Bestellungen!$6:$1048576,MATCH(Kasse!Q$5,Bestellungen!$A$5:$X$5,0),0))=FALSE,SUMIF(Kalkulation!$A$6:$A$40,Kasse!Q$5&amp;"*",Kalkulation!$C$6:$C$40)*VLOOKUP($A201,Bestellungen!$6:$1048576,MATCH(Kasse!Q$5,Bestellungen!$A$5:$X$5,0),0),"")</f>
        <v/>
      </c>
      <c r="R201" s="26" t="str">
        <f>IF(ISERROR(VLOOKUP($A201,Bestellungen!$6:$1048576,MATCH(Kasse!R$5,Bestellungen!$A$5:$X$5,0),0))=FALSE,SUMIF(Kalkulation!$A$6:$A$40,Kasse!R$5&amp;"*",Kalkulation!$C$6:$C$40)*VLOOKUP($A201,Bestellungen!$6:$1048576,MATCH(Kasse!R$5,Bestellungen!$A$5:$X$5,0),0),"")</f>
        <v/>
      </c>
      <c r="S201" s="26" t="str">
        <f>IF(ISERROR(VLOOKUP($A201,Bestellungen!$6:$1048576,MATCH(Kasse!S$5,Bestellungen!$A$5:$X$5,0),0))=FALSE,SUMIF(Kalkulation!$A$6:$A$40,Kasse!S$5&amp;"*",Kalkulation!$C$6:$C$40)*VLOOKUP($A201,Bestellungen!$6:$1048576,MATCH(Kasse!S$5,Bestellungen!$A$5:$X$5,0),0),"")</f>
        <v/>
      </c>
      <c r="T201" s="26" t="str">
        <f>IF(ISERROR(VLOOKUP($A201,Bestellungen!$6:$1048576,MATCH(Kasse!T$5,Bestellungen!$A$5:$X$5,0),0))=FALSE,SUMIF(Kalkulation!$A$6:$A$40,Kasse!T$5&amp;"*",Kalkulation!$C$6:$C$40)*VLOOKUP($A201,Bestellungen!$6:$1048576,MATCH(Kasse!T$5,Bestellungen!$A$5:$X$5,0),0),"")</f>
        <v/>
      </c>
      <c r="U201" s="26" t="str">
        <f t="shared" si="6"/>
        <v/>
      </c>
      <c r="W201" s="26" t="str">
        <f t="shared" si="7"/>
        <v/>
      </c>
      <c r="X201" s="26"/>
      <c r="Y201" s="26"/>
      <c r="Z201" s="26"/>
      <c r="AA201" s="26"/>
    </row>
    <row r="202" spans="1:27" x14ac:dyDescent="0.25">
      <c r="A202" t="str">
        <f>IF(LEN(Bestellungen!$A202)&gt;0,Bestellungen!$A202,"")</f>
        <v/>
      </c>
      <c r="B202" s="26" t="str">
        <f>IF(ISERROR(VLOOKUP($A202,Bestellungen!$6:$1048576,MATCH(Kasse!B$5,Bestellungen!$A$5:$X$5,0),0))=FALSE,SUMIF(Kalkulation!$A$6:$A$40,Kasse!B$5&amp;"*",Kalkulation!$C$6:$C$40)*VLOOKUP($A202,Bestellungen!$6:$1048576,MATCH(Kasse!B$5,Bestellungen!$A$5:$X$5,0),0),"")</f>
        <v/>
      </c>
      <c r="C202" s="26" t="str">
        <f>IF(ISERROR(VLOOKUP($A202,Bestellungen!$6:$1048576,MATCH(Kasse!C$5,Bestellungen!$A$5:$X$5,0),0))=FALSE,SUMIF(Kalkulation!$A$6:$A$40,Kasse!C$5&amp;"*",Kalkulation!$C$6:$C$40)*VLOOKUP($A202,Bestellungen!$6:$1048576,MATCH(Kasse!C$5,Bestellungen!$A$5:$X$5,0),0),"")</f>
        <v/>
      </c>
      <c r="D202" s="26" t="str">
        <f>IF(ISERROR(VLOOKUP($A202,Bestellungen!$6:$1048576,MATCH(Kasse!D$5,Bestellungen!$A$5:$X$5,0),0))=FALSE,SUMIF(Kalkulation!$A$6:$A$40,Kasse!D$5&amp;"*",Kalkulation!$C$6:$C$40)*VLOOKUP($A202,Bestellungen!$6:$1048576,MATCH(Kasse!D$5,Bestellungen!$A$5:$X$5,0),0),"")</f>
        <v/>
      </c>
      <c r="E202" s="26" t="str">
        <f>IF(ISERROR(VLOOKUP($A202,Bestellungen!$6:$1048576,MATCH(Kasse!E$5,Bestellungen!$A$5:$X$5,0),0))=FALSE,SUMIF(Kalkulation!$A$6:$A$40,Kasse!E$5&amp;"*",Kalkulation!$C$6:$C$40)*VLOOKUP($A202,Bestellungen!$6:$1048576,MATCH(Kasse!E$5,Bestellungen!$A$5:$X$5,0),0),"")</f>
        <v/>
      </c>
      <c r="F202" s="26" t="str">
        <f>IF(ISERROR(VLOOKUP($A202,Bestellungen!$6:$1048576,MATCH(Kasse!F$5,Bestellungen!$A$5:$X$5,0),0))=FALSE,SUMIF(Kalkulation!$A$6:$A$40,Kasse!F$5&amp;"*",Kalkulation!$C$6:$C$40)*VLOOKUP($A202,Bestellungen!$6:$1048576,MATCH(Kasse!F$5,Bestellungen!$A$5:$X$5,0),0),"")</f>
        <v/>
      </c>
      <c r="G202" s="26" t="str">
        <f>IF(ISERROR(VLOOKUP($A202,Bestellungen!$6:$1048576,MATCH(Kasse!G$5,Bestellungen!$A$5:$X$5,0),0))=FALSE,SUMIF(Kalkulation!$A$6:$A$40,Kasse!G$5&amp;"*",Kalkulation!$C$6:$C$40)*VLOOKUP($A202,Bestellungen!$6:$1048576,MATCH(Kasse!G$5,Bestellungen!$A$5:$X$5,0),0),"")</f>
        <v/>
      </c>
      <c r="H202" s="26" t="str">
        <f>IF(ISERROR(VLOOKUP($A202,Bestellungen!$6:$1048576,MATCH(Kasse!H$5,Bestellungen!$A$5:$X$5,0),0))=FALSE,SUMIF(Kalkulation!$A$6:$A$40,Kasse!H$5&amp;"*",Kalkulation!$C$6:$C$40)*VLOOKUP($A202,Bestellungen!$6:$1048576,MATCH(Kasse!H$5,Bestellungen!$A$5:$X$5,0),0),"")</f>
        <v/>
      </c>
      <c r="I202" s="26" t="str">
        <f>IF(ISERROR(VLOOKUP($A202,Bestellungen!$6:$1048576,MATCH(Kasse!I$5,Bestellungen!$A$5:$X$5,0),0))=FALSE,SUMIF(Kalkulation!$A$6:$A$40,Kasse!I$5&amp;"*",Kalkulation!$C$6:$C$40)*VLOOKUP($A202,Bestellungen!$6:$1048576,MATCH(Kasse!I$5,Bestellungen!$A$5:$X$5,0),0),"")</f>
        <v/>
      </c>
      <c r="J202" s="26" t="str">
        <f>IF(ISERROR(VLOOKUP($A202,Bestellungen!$6:$1048576,MATCH(Kasse!J$5,Bestellungen!$A$5:$X$5,0),0))=FALSE,SUMIF(Kalkulation!$A$6:$A$40,Kasse!J$5&amp;"*",Kalkulation!$C$6:$C$40)*VLOOKUP($A202,Bestellungen!$6:$1048576,MATCH(Kasse!J$5,Bestellungen!$A$5:$X$5,0),0),"")</f>
        <v/>
      </c>
      <c r="K202" s="26" t="str">
        <f>IF(ISERROR(VLOOKUP($A202,Bestellungen!$6:$1048576,MATCH(Kasse!K$5,Bestellungen!$A$5:$X$5,0),0))=FALSE,SUMIF(Kalkulation!$A$6:$A$40,Kasse!K$5&amp;"*",Kalkulation!$C$6:$C$40)*VLOOKUP($A202,Bestellungen!$6:$1048576,MATCH(Kasse!K$5,Bestellungen!$A$5:$X$5,0),0),"")</f>
        <v/>
      </c>
      <c r="L202" s="26" t="str">
        <f>IF(ISERROR(VLOOKUP($A202,Bestellungen!$6:$1048576,MATCH(Kasse!L$5,Bestellungen!$A$5:$X$5,0),0))=FALSE,SUMIF(Kalkulation!$A$6:$A$40,Kasse!L$5&amp;"*",Kalkulation!$C$6:$C$40)*VLOOKUP($A202,Bestellungen!$6:$1048576,MATCH(Kasse!L$5,Bestellungen!$A$5:$X$5,0),0),"")</f>
        <v/>
      </c>
      <c r="M202" s="26" t="str">
        <f>IF(ISERROR(VLOOKUP($A202,Bestellungen!$6:$1048576,MATCH(Kasse!M$5,Bestellungen!$A$5:$X$5,0),0))=FALSE,SUMIF(Kalkulation!$A$6:$A$40,Kasse!M$5&amp;"*",Kalkulation!$C$6:$C$40)*VLOOKUP($A202,Bestellungen!$6:$1048576,MATCH(Kasse!M$5,Bestellungen!$A$5:$X$5,0),0),"")</f>
        <v/>
      </c>
      <c r="N202" s="26" t="str">
        <f>IF(ISERROR(VLOOKUP($A202,Bestellungen!$6:$1048576,MATCH(Kasse!N$5,Bestellungen!$A$5:$X$5,0),0))=FALSE,SUMIF(Kalkulation!$A$6:$A$40,Kasse!N$5&amp;"*",Kalkulation!$C$6:$C$40)*VLOOKUP($A202,Bestellungen!$6:$1048576,MATCH(Kasse!N$5,Bestellungen!$A$5:$X$5,0),0),"")</f>
        <v/>
      </c>
      <c r="O202" s="26" t="str">
        <f>IF(ISERROR(VLOOKUP($A202,Bestellungen!$6:$1048576,MATCH(Kasse!O$5,Bestellungen!$A$5:$X$5,0),0))=FALSE,SUMIF(Kalkulation!$A$6:$A$40,Kasse!O$5&amp;"*",Kalkulation!$C$6:$C$40)*VLOOKUP($A202,Bestellungen!$6:$1048576,MATCH(Kasse!O$5,Bestellungen!$A$5:$X$5,0),0),"")</f>
        <v/>
      </c>
      <c r="P202" s="26" t="str">
        <f>IF(ISERROR(VLOOKUP($A202,Bestellungen!$6:$1048576,MATCH(Kasse!P$5,Bestellungen!$A$5:$X$5,0),0))=FALSE,SUMIF(Kalkulation!$A$6:$A$40,Kasse!P$5&amp;"*",Kalkulation!$C$6:$C$40)*VLOOKUP($A202,Bestellungen!$6:$1048576,MATCH(Kasse!P$5,Bestellungen!$A$5:$X$5,0),0),"")</f>
        <v/>
      </c>
      <c r="Q202" s="26" t="str">
        <f>IF(ISERROR(VLOOKUP($A202,Bestellungen!$6:$1048576,MATCH(Kasse!Q$5,Bestellungen!$A$5:$X$5,0),0))=FALSE,SUMIF(Kalkulation!$A$6:$A$40,Kasse!Q$5&amp;"*",Kalkulation!$C$6:$C$40)*VLOOKUP($A202,Bestellungen!$6:$1048576,MATCH(Kasse!Q$5,Bestellungen!$A$5:$X$5,0),0),"")</f>
        <v/>
      </c>
      <c r="R202" s="26" t="str">
        <f>IF(ISERROR(VLOOKUP($A202,Bestellungen!$6:$1048576,MATCH(Kasse!R$5,Bestellungen!$A$5:$X$5,0),0))=FALSE,SUMIF(Kalkulation!$A$6:$A$40,Kasse!R$5&amp;"*",Kalkulation!$C$6:$C$40)*VLOOKUP($A202,Bestellungen!$6:$1048576,MATCH(Kasse!R$5,Bestellungen!$A$5:$X$5,0),0),"")</f>
        <v/>
      </c>
      <c r="S202" s="26" t="str">
        <f>IF(ISERROR(VLOOKUP($A202,Bestellungen!$6:$1048576,MATCH(Kasse!S$5,Bestellungen!$A$5:$X$5,0),0))=FALSE,SUMIF(Kalkulation!$A$6:$A$40,Kasse!S$5&amp;"*",Kalkulation!$C$6:$C$40)*VLOOKUP($A202,Bestellungen!$6:$1048576,MATCH(Kasse!S$5,Bestellungen!$A$5:$X$5,0),0),"")</f>
        <v/>
      </c>
      <c r="T202" s="26" t="str">
        <f>IF(ISERROR(VLOOKUP($A202,Bestellungen!$6:$1048576,MATCH(Kasse!T$5,Bestellungen!$A$5:$X$5,0),0))=FALSE,SUMIF(Kalkulation!$A$6:$A$40,Kasse!T$5&amp;"*",Kalkulation!$C$6:$C$40)*VLOOKUP($A202,Bestellungen!$6:$1048576,MATCH(Kasse!T$5,Bestellungen!$A$5:$X$5,0),0),"")</f>
        <v/>
      </c>
      <c r="U202" s="26" t="str">
        <f t="shared" si="6"/>
        <v/>
      </c>
      <c r="W202" s="26" t="str">
        <f t="shared" si="7"/>
        <v/>
      </c>
      <c r="X202" s="26"/>
      <c r="Y202" s="26"/>
      <c r="Z202" s="26"/>
      <c r="AA202" s="26"/>
    </row>
    <row r="203" spans="1:27" x14ac:dyDescent="0.25">
      <c r="A203" t="str">
        <f>IF(LEN(Bestellungen!$A203)&gt;0,Bestellungen!$A203,"")</f>
        <v/>
      </c>
      <c r="B203" s="26" t="str">
        <f>IF(ISERROR(VLOOKUP($A203,Bestellungen!$6:$1048576,MATCH(Kasse!B$5,Bestellungen!$A$5:$X$5,0),0))=FALSE,SUMIF(Kalkulation!$A$6:$A$40,Kasse!B$5&amp;"*",Kalkulation!$C$6:$C$40)*VLOOKUP($A203,Bestellungen!$6:$1048576,MATCH(Kasse!B$5,Bestellungen!$A$5:$X$5,0),0),"")</f>
        <v/>
      </c>
      <c r="C203" s="26" t="str">
        <f>IF(ISERROR(VLOOKUP($A203,Bestellungen!$6:$1048576,MATCH(Kasse!C$5,Bestellungen!$A$5:$X$5,0),0))=FALSE,SUMIF(Kalkulation!$A$6:$A$40,Kasse!C$5&amp;"*",Kalkulation!$C$6:$C$40)*VLOOKUP($A203,Bestellungen!$6:$1048576,MATCH(Kasse!C$5,Bestellungen!$A$5:$X$5,0),0),"")</f>
        <v/>
      </c>
      <c r="D203" s="26" t="str">
        <f>IF(ISERROR(VLOOKUP($A203,Bestellungen!$6:$1048576,MATCH(Kasse!D$5,Bestellungen!$A$5:$X$5,0),0))=FALSE,SUMIF(Kalkulation!$A$6:$A$40,Kasse!D$5&amp;"*",Kalkulation!$C$6:$C$40)*VLOOKUP($A203,Bestellungen!$6:$1048576,MATCH(Kasse!D$5,Bestellungen!$A$5:$X$5,0),0),"")</f>
        <v/>
      </c>
      <c r="E203" s="26" t="str">
        <f>IF(ISERROR(VLOOKUP($A203,Bestellungen!$6:$1048576,MATCH(Kasse!E$5,Bestellungen!$A$5:$X$5,0),0))=FALSE,SUMIF(Kalkulation!$A$6:$A$40,Kasse!E$5&amp;"*",Kalkulation!$C$6:$C$40)*VLOOKUP($A203,Bestellungen!$6:$1048576,MATCH(Kasse!E$5,Bestellungen!$A$5:$X$5,0),0),"")</f>
        <v/>
      </c>
      <c r="F203" s="26" t="str">
        <f>IF(ISERROR(VLOOKUP($A203,Bestellungen!$6:$1048576,MATCH(Kasse!F$5,Bestellungen!$A$5:$X$5,0),0))=FALSE,SUMIF(Kalkulation!$A$6:$A$40,Kasse!F$5&amp;"*",Kalkulation!$C$6:$C$40)*VLOOKUP($A203,Bestellungen!$6:$1048576,MATCH(Kasse!F$5,Bestellungen!$A$5:$X$5,0),0),"")</f>
        <v/>
      </c>
      <c r="G203" s="26" t="str">
        <f>IF(ISERROR(VLOOKUP($A203,Bestellungen!$6:$1048576,MATCH(Kasse!G$5,Bestellungen!$A$5:$X$5,0),0))=FALSE,SUMIF(Kalkulation!$A$6:$A$40,Kasse!G$5&amp;"*",Kalkulation!$C$6:$C$40)*VLOOKUP($A203,Bestellungen!$6:$1048576,MATCH(Kasse!G$5,Bestellungen!$A$5:$X$5,0),0),"")</f>
        <v/>
      </c>
      <c r="H203" s="26" t="str">
        <f>IF(ISERROR(VLOOKUP($A203,Bestellungen!$6:$1048576,MATCH(Kasse!H$5,Bestellungen!$A$5:$X$5,0),0))=FALSE,SUMIF(Kalkulation!$A$6:$A$40,Kasse!H$5&amp;"*",Kalkulation!$C$6:$C$40)*VLOOKUP($A203,Bestellungen!$6:$1048576,MATCH(Kasse!H$5,Bestellungen!$A$5:$X$5,0),0),"")</f>
        <v/>
      </c>
      <c r="I203" s="26" t="str">
        <f>IF(ISERROR(VLOOKUP($A203,Bestellungen!$6:$1048576,MATCH(Kasse!I$5,Bestellungen!$A$5:$X$5,0),0))=FALSE,SUMIF(Kalkulation!$A$6:$A$40,Kasse!I$5&amp;"*",Kalkulation!$C$6:$C$40)*VLOOKUP($A203,Bestellungen!$6:$1048576,MATCH(Kasse!I$5,Bestellungen!$A$5:$X$5,0),0),"")</f>
        <v/>
      </c>
      <c r="J203" s="26" t="str">
        <f>IF(ISERROR(VLOOKUP($A203,Bestellungen!$6:$1048576,MATCH(Kasse!J$5,Bestellungen!$A$5:$X$5,0),0))=FALSE,SUMIF(Kalkulation!$A$6:$A$40,Kasse!J$5&amp;"*",Kalkulation!$C$6:$C$40)*VLOOKUP($A203,Bestellungen!$6:$1048576,MATCH(Kasse!J$5,Bestellungen!$A$5:$X$5,0),0),"")</f>
        <v/>
      </c>
      <c r="K203" s="26" t="str">
        <f>IF(ISERROR(VLOOKUP($A203,Bestellungen!$6:$1048576,MATCH(Kasse!K$5,Bestellungen!$A$5:$X$5,0),0))=FALSE,SUMIF(Kalkulation!$A$6:$A$40,Kasse!K$5&amp;"*",Kalkulation!$C$6:$C$40)*VLOOKUP($A203,Bestellungen!$6:$1048576,MATCH(Kasse!K$5,Bestellungen!$A$5:$X$5,0),0),"")</f>
        <v/>
      </c>
      <c r="L203" s="26" t="str">
        <f>IF(ISERROR(VLOOKUP($A203,Bestellungen!$6:$1048576,MATCH(Kasse!L$5,Bestellungen!$A$5:$X$5,0),0))=FALSE,SUMIF(Kalkulation!$A$6:$A$40,Kasse!L$5&amp;"*",Kalkulation!$C$6:$C$40)*VLOOKUP($A203,Bestellungen!$6:$1048576,MATCH(Kasse!L$5,Bestellungen!$A$5:$X$5,0),0),"")</f>
        <v/>
      </c>
      <c r="M203" s="26" t="str">
        <f>IF(ISERROR(VLOOKUP($A203,Bestellungen!$6:$1048576,MATCH(Kasse!M$5,Bestellungen!$A$5:$X$5,0),0))=FALSE,SUMIF(Kalkulation!$A$6:$A$40,Kasse!M$5&amp;"*",Kalkulation!$C$6:$C$40)*VLOOKUP($A203,Bestellungen!$6:$1048576,MATCH(Kasse!M$5,Bestellungen!$A$5:$X$5,0),0),"")</f>
        <v/>
      </c>
      <c r="N203" s="26" t="str">
        <f>IF(ISERROR(VLOOKUP($A203,Bestellungen!$6:$1048576,MATCH(Kasse!N$5,Bestellungen!$A$5:$X$5,0),0))=FALSE,SUMIF(Kalkulation!$A$6:$A$40,Kasse!N$5&amp;"*",Kalkulation!$C$6:$C$40)*VLOOKUP($A203,Bestellungen!$6:$1048576,MATCH(Kasse!N$5,Bestellungen!$A$5:$X$5,0),0),"")</f>
        <v/>
      </c>
      <c r="O203" s="26" t="str">
        <f>IF(ISERROR(VLOOKUP($A203,Bestellungen!$6:$1048576,MATCH(Kasse!O$5,Bestellungen!$A$5:$X$5,0),0))=FALSE,SUMIF(Kalkulation!$A$6:$A$40,Kasse!O$5&amp;"*",Kalkulation!$C$6:$C$40)*VLOOKUP($A203,Bestellungen!$6:$1048576,MATCH(Kasse!O$5,Bestellungen!$A$5:$X$5,0),0),"")</f>
        <v/>
      </c>
      <c r="P203" s="26" t="str">
        <f>IF(ISERROR(VLOOKUP($A203,Bestellungen!$6:$1048576,MATCH(Kasse!P$5,Bestellungen!$A$5:$X$5,0),0))=FALSE,SUMIF(Kalkulation!$A$6:$A$40,Kasse!P$5&amp;"*",Kalkulation!$C$6:$C$40)*VLOOKUP($A203,Bestellungen!$6:$1048576,MATCH(Kasse!P$5,Bestellungen!$A$5:$X$5,0),0),"")</f>
        <v/>
      </c>
      <c r="Q203" s="26" t="str">
        <f>IF(ISERROR(VLOOKUP($A203,Bestellungen!$6:$1048576,MATCH(Kasse!Q$5,Bestellungen!$A$5:$X$5,0),0))=FALSE,SUMIF(Kalkulation!$A$6:$A$40,Kasse!Q$5&amp;"*",Kalkulation!$C$6:$C$40)*VLOOKUP($A203,Bestellungen!$6:$1048576,MATCH(Kasse!Q$5,Bestellungen!$A$5:$X$5,0),0),"")</f>
        <v/>
      </c>
      <c r="R203" s="26" t="str">
        <f>IF(ISERROR(VLOOKUP($A203,Bestellungen!$6:$1048576,MATCH(Kasse!R$5,Bestellungen!$A$5:$X$5,0),0))=FALSE,SUMIF(Kalkulation!$A$6:$A$40,Kasse!R$5&amp;"*",Kalkulation!$C$6:$C$40)*VLOOKUP($A203,Bestellungen!$6:$1048576,MATCH(Kasse!R$5,Bestellungen!$A$5:$X$5,0),0),"")</f>
        <v/>
      </c>
      <c r="S203" s="26" t="str">
        <f>IF(ISERROR(VLOOKUP($A203,Bestellungen!$6:$1048576,MATCH(Kasse!S$5,Bestellungen!$A$5:$X$5,0),0))=FALSE,SUMIF(Kalkulation!$A$6:$A$40,Kasse!S$5&amp;"*",Kalkulation!$C$6:$C$40)*VLOOKUP($A203,Bestellungen!$6:$1048576,MATCH(Kasse!S$5,Bestellungen!$A$5:$X$5,0),0),"")</f>
        <v/>
      </c>
      <c r="T203" s="26" t="str">
        <f>IF(ISERROR(VLOOKUP($A203,Bestellungen!$6:$1048576,MATCH(Kasse!T$5,Bestellungen!$A$5:$X$5,0),0))=FALSE,SUMIF(Kalkulation!$A$6:$A$40,Kasse!T$5&amp;"*",Kalkulation!$C$6:$C$40)*VLOOKUP($A203,Bestellungen!$6:$1048576,MATCH(Kasse!T$5,Bestellungen!$A$5:$X$5,0),0),"")</f>
        <v/>
      </c>
      <c r="U203" s="26" t="str">
        <f t="shared" si="6"/>
        <v/>
      </c>
      <c r="W203" s="26" t="str">
        <f t="shared" si="7"/>
        <v/>
      </c>
      <c r="X203" s="26"/>
      <c r="Y203" s="26"/>
      <c r="Z203" s="26"/>
      <c r="AA203" s="26"/>
    </row>
    <row r="204" spans="1:27" x14ac:dyDescent="0.25">
      <c r="A204" t="str">
        <f>IF(LEN(Bestellungen!$A204)&gt;0,Bestellungen!$A204,"")</f>
        <v/>
      </c>
      <c r="B204" s="26" t="str">
        <f>IF(ISERROR(VLOOKUP($A204,Bestellungen!$6:$1048576,MATCH(Kasse!B$5,Bestellungen!$A$5:$X$5,0),0))=FALSE,SUMIF(Kalkulation!$A$6:$A$40,Kasse!B$5&amp;"*",Kalkulation!$C$6:$C$40)*VLOOKUP($A204,Bestellungen!$6:$1048576,MATCH(Kasse!B$5,Bestellungen!$A$5:$X$5,0),0),"")</f>
        <v/>
      </c>
      <c r="C204" s="26" t="str">
        <f>IF(ISERROR(VLOOKUP($A204,Bestellungen!$6:$1048576,MATCH(Kasse!C$5,Bestellungen!$A$5:$X$5,0),0))=FALSE,SUMIF(Kalkulation!$A$6:$A$40,Kasse!C$5&amp;"*",Kalkulation!$C$6:$C$40)*VLOOKUP($A204,Bestellungen!$6:$1048576,MATCH(Kasse!C$5,Bestellungen!$A$5:$X$5,0),0),"")</f>
        <v/>
      </c>
      <c r="D204" s="26" t="str">
        <f>IF(ISERROR(VLOOKUP($A204,Bestellungen!$6:$1048576,MATCH(Kasse!D$5,Bestellungen!$A$5:$X$5,0),0))=FALSE,SUMIF(Kalkulation!$A$6:$A$40,Kasse!D$5&amp;"*",Kalkulation!$C$6:$C$40)*VLOOKUP($A204,Bestellungen!$6:$1048576,MATCH(Kasse!D$5,Bestellungen!$A$5:$X$5,0),0),"")</f>
        <v/>
      </c>
      <c r="E204" s="26" t="str">
        <f>IF(ISERROR(VLOOKUP($A204,Bestellungen!$6:$1048576,MATCH(Kasse!E$5,Bestellungen!$A$5:$X$5,0),0))=FALSE,SUMIF(Kalkulation!$A$6:$A$40,Kasse!E$5&amp;"*",Kalkulation!$C$6:$C$40)*VLOOKUP($A204,Bestellungen!$6:$1048576,MATCH(Kasse!E$5,Bestellungen!$A$5:$X$5,0),0),"")</f>
        <v/>
      </c>
      <c r="F204" s="26" t="str">
        <f>IF(ISERROR(VLOOKUP($A204,Bestellungen!$6:$1048576,MATCH(Kasse!F$5,Bestellungen!$A$5:$X$5,0),0))=FALSE,SUMIF(Kalkulation!$A$6:$A$40,Kasse!F$5&amp;"*",Kalkulation!$C$6:$C$40)*VLOOKUP($A204,Bestellungen!$6:$1048576,MATCH(Kasse!F$5,Bestellungen!$A$5:$X$5,0),0),"")</f>
        <v/>
      </c>
      <c r="G204" s="26" t="str">
        <f>IF(ISERROR(VLOOKUP($A204,Bestellungen!$6:$1048576,MATCH(Kasse!G$5,Bestellungen!$A$5:$X$5,0),0))=FALSE,SUMIF(Kalkulation!$A$6:$A$40,Kasse!G$5&amp;"*",Kalkulation!$C$6:$C$40)*VLOOKUP($A204,Bestellungen!$6:$1048576,MATCH(Kasse!G$5,Bestellungen!$A$5:$X$5,0),0),"")</f>
        <v/>
      </c>
      <c r="H204" s="26" t="str">
        <f>IF(ISERROR(VLOOKUP($A204,Bestellungen!$6:$1048576,MATCH(Kasse!H$5,Bestellungen!$A$5:$X$5,0),0))=FALSE,SUMIF(Kalkulation!$A$6:$A$40,Kasse!H$5&amp;"*",Kalkulation!$C$6:$C$40)*VLOOKUP($A204,Bestellungen!$6:$1048576,MATCH(Kasse!H$5,Bestellungen!$A$5:$X$5,0),0),"")</f>
        <v/>
      </c>
      <c r="I204" s="26" t="str">
        <f>IF(ISERROR(VLOOKUP($A204,Bestellungen!$6:$1048576,MATCH(Kasse!I$5,Bestellungen!$A$5:$X$5,0),0))=FALSE,SUMIF(Kalkulation!$A$6:$A$40,Kasse!I$5&amp;"*",Kalkulation!$C$6:$C$40)*VLOOKUP($A204,Bestellungen!$6:$1048576,MATCH(Kasse!I$5,Bestellungen!$A$5:$X$5,0),0),"")</f>
        <v/>
      </c>
      <c r="J204" s="26" t="str">
        <f>IF(ISERROR(VLOOKUP($A204,Bestellungen!$6:$1048576,MATCH(Kasse!J$5,Bestellungen!$A$5:$X$5,0),0))=FALSE,SUMIF(Kalkulation!$A$6:$A$40,Kasse!J$5&amp;"*",Kalkulation!$C$6:$C$40)*VLOOKUP($A204,Bestellungen!$6:$1048576,MATCH(Kasse!J$5,Bestellungen!$A$5:$X$5,0),0),"")</f>
        <v/>
      </c>
      <c r="K204" s="26" t="str">
        <f>IF(ISERROR(VLOOKUP($A204,Bestellungen!$6:$1048576,MATCH(Kasse!K$5,Bestellungen!$A$5:$X$5,0),0))=FALSE,SUMIF(Kalkulation!$A$6:$A$40,Kasse!K$5&amp;"*",Kalkulation!$C$6:$C$40)*VLOOKUP($A204,Bestellungen!$6:$1048576,MATCH(Kasse!K$5,Bestellungen!$A$5:$X$5,0),0),"")</f>
        <v/>
      </c>
      <c r="L204" s="26" t="str">
        <f>IF(ISERROR(VLOOKUP($A204,Bestellungen!$6:$1048576,MATCH(Kasse!L$5,Bestellungen!$A$5:$X$5,0),0))=FALSE,SUMIF(Kalkulation!$A$6:$A$40,Kasse!L$5&amp;"*",Kalkulation!$C$6:$C$40)*VLOOKUP($A204,Bestellungen!$6:$1048576,MATCH(Kasse!L$5,Bestellungen!$A$5:$X$5,0),0),"")</f>
        <v/>
      </c>
      <c r="M204" s="26" t="str">
        <f>IF(ISERROR(VLOOKUP($A204,Bestellungen!$6:$1048576,MATCH(Kasse!M$5,Bestellungen!$A$5:$X$5,0),0))=FALSE,SUMIF(Kalkulation!$A$6:$A$40,Kasse!M$5&amp;"*",Kalkulation!$C$6:$C$40)*VLOOKUP($A204,Bestellungen!$6:$1048576,MATCH(Kasse!M$5,Bestellungen!$A$5:$X$5,0),0),"")</f>
        <v/>
      </c>
      <c r="N204" s="26" t="str">
        <f>IF(ISERROR(VLOOKUP($A204,Bestellungen!$6:$1048576,MATCH(Kasse!N$5,Bestellungen!$A$5:$X$5,0),0))=FALSE,SUMIF(Kalkulation!$A$6:$A$40,Kasse!N$5&amp;"*",Kalkulation!$C$6:$C$40)*VLOOKUP($A204,Bestellungen!$6:$1048576,MATCH(Kasse!N$5,Bestellungen!$A$5:$X$5,0),0),"")</f>
        <v/>
      </c>
      <c r="O204" s="26" t="str">
        <f>IF(ISERROR(VLOOKUP($A204,Bestellungen!$6:$1048576,MATCH(Kasse!O$5,Bestellungen!$A$5:$X$5,0),0))=FALSE,SUMIF(Kalkulation!$A$6:$A$40,Kasse!O$5&amp;"*",Kalkulation!$C$6:$C$40)*VLOOKUP($A204,Bestellungen!$6:$1048576,MATCH(Kasse!O$5,Bestellungen!$A$5:$X$5,0),0),"")</f>
        <v/>
      </c>
      <c r="P204" s="26" t="str">
        <f>IF(ISERROR(VLOOKUP($A204,Bestellungen!$6:$1048576,MATCH(Kasse!P$5,Bestellungen!$A$5:$X$5,0),0))=FALSE,SUMIF(Kalkulation!$A$6:$A$40,Kasse!P$5&amp;"*",Kalkulation!$C$6:$C$40)*VLOOKUP($A204,Bestellungen!$6:$1048576,MATCH(Kasse!P$5,Bestellungen!$A$5:$X$5,0),0),"")</f>
        <v/>
      </c>
      <c r="Q204" s="26" t="str">
        <f>IF(ISERROR(VLOOKUP($A204,Bestellungen!$6:$1048576,MATCH(Kasse!Q$5,Bestellungen!$A$5:$X$5,0),0))=FALSE,SUMIF(Kalkulation!$A$6:$A$40,Kasse!Q$5&amp;"*",Kalkulation!$C$6:$C$40)*VLOOKUP($A204,Bestellungen!$6:$1048576,MATCH(Kasse!Q$5,Bestellungen!$A$5:$X$5,0),0),"")</f>
        <v/>
      </c>
      <c r="R204" s="26" t="str">
        <f>IF(ISERROR(VLOOKUP($A204,Bestellungen!$6:$1048576,MATCH(Kasse!R$5,Bestellungen!$A$5:$X$5,0),0))=FALSE,SUMIF(Kalkulation!$A$6:$A$40,Kasse!R$5&amp;"*",Kalkulation!$C$6:$C$40)*VLOOKUP($A204,Bestellungen!$6:$1048576,MATCH(Kasse!R$5,Bestellungen!$A$5:$X$5,0),0),"")</f>
        <v/>
      </c>
      <c r="S204" s="26" t="str">
        <f>IF(ISERROR(VLOOKUP($A204,Bestellungen!$6:$1048576,MATCH(Kasse!S$5,Bestellungen!$A$5:$X$5,0),0))=FALSE,SUMIF(Kalkulation!$A$6:$A$40,Kasse!S$5&amp;"*",Kalkulation!$C$6:$C$40)*VLOOKUP($A204,Bestellungen!$6:$1048576,MATCH(Kasse!S$5,Bestellungen!$A$5:$X$5,0),0),"")</f>
        <v/>
      </c>
      <c r="T204" s="26" t="str">
        <f>IF(ISERROR(VLOOKUP($A204,Bestellungen!$6:$1048576,MATCH(Kasse!T$5,Bestellungen!$A$5:$X$5,0),0))=FALSE,SUMIF(Kalkulation!$A$6:$A$40,Kasse!T$5&amp;"*",Kalkulation!$C$6:$C$40)*VLOOKUP($A204,Bestellungen!$6:$1048576,MATCH(Kasse!T$5,Bestellungen!$A$5:$X$5,0),0),"")</f>
        <v/>
      </c>
      <c r="U204" s="26" t="str">
        <f t="shared" si="6"/>
        <v/>
      </c>
      <c r="W204" s="26" t="str">
        <f t="shared" si="7"/>
        <v/>
      </c>
      <c r="X204" s="26"/>
      <c r="Y204" s="26"/>
      <c r="Z204" s="26"/>
      <c r="AA204" s="26"/>
    </row>
    <row r="205" spans="1:27" x14ac:dyDescent="0.25">
      <c r="A205" t="str">
        <f>IF(LEN(Bestellungen!$A205)&gt;0,Bestellungen!$A205,"")</f>
        <v/>
      </c>
      <c r="B205" s="26" t="str">
        <f>IF(ISERROR(VLOOKUP($A205,Bestellungen!$6:$1048576,MATCH(Kasse!B$5,Bestellungen!$A$5:$X$5,0),0))=FALSE,SUMIF(Kalkulation!$A$6:$A$40,Kasse!B$5&amp;"*",Kalkulation!$C$6:$C$40)*VLOOKUP($A205,Bestellungen!$6:$1048576,MATCH(Kasse!B$5,Bestellungen!$A$5:$X$5,0),0),"")</f>
        <v/>
      </c>
      <c r="C205" s="26" t="str">
        <f>IF(ISERROR(VLOOKUP($A205,Bestellungen!$6:$1048576,MATCH(Kasse!C$5,Bestellungen!$A$5:$X$5,0),0))=FALSE,SUMIF(Kalkulation!$A$6:$A$40,Kasse!C$5&amp;"*",Kalkulation!$C$6:$C$40)*VLOOKUP($A205,Bestellungen!$6:$1048576,MATCH(Kasse!C$5,Bestellungen!$A$5:$X$5,0),0),"")</f>
        <v/>
      </c>
      <c r="D205" s="26" t="str">
        <f>IF(ISERROR(VLOOKUP($A205,Bestellungen!$6:$1048576,MATCH(Kasse!D$5,Bestellungen!$A$5:$X$5,0),0))=FALSE,SUMIF(Kalkulation!$A$6:$A$40,Kasse!D$5&amp;"*",Kalkulation!$C$6:$C$40)*VLOOKUP($A205,Bestellungen!$6:$1048576,MATCH(Kasse!D$5,Bestellungen!$A$5:$X$5,0),0),"")</f>
        <v/>
      </c>
      <c r="E205" s="26" t="str">
        <f>IF(ISERROR(VLOOKUP($A205,Bestellungen!$6:$1048576,MATCH(Kasse!E$5,Bestellungen!$A$5:$X$5,0),0))=FALSE,SUMIF(Kalkulation!$A$6:$A$40,Kasse!E$5&amp;"*",Kalkulation!$C$6:$C$40)*VLOOKUP($A205,Bestellungen!$6:$1048576,MATCH(Kasse!E$5,Bestellungen!$A$5:$X$5,0),0),"")</f>
        <v/>
      </c>
      <c r="F205" s="26" t="str">
        <f>IF(ISERROR(VLOOKUP($A205,Bestellungen!$6:$1048576,MATCH(Kasse!F$5,Bestellungen!$A$5:$X$5,0),0))=FALSE,SUMIF(Kalkulation!$A$6:$A$40,Kasse!F$5&amp;"*",Kalkulation!$C$6:$C$40)*VLOOKUP($A205,Bestellungen!$6:$1048576,MATCH(Kasse!F$5,Bestellungen!$A$5:$X$5,0),0),"")</f>
        <v/>
      </c>
      <c r="G205" s="26" t="str">
        <f>IF(ISERROR(VLOOKUP($A205,Bestellungen!$6:$1048576,MATCH(Kasse!G$5,Bestellungen!$A$5:$X$5,0),0))=FALSE,SUMIF(Kalkulation!$A$6:$A$40,Kasse!G$5&amp;"*",Kalkulation!$C$6:$C$40)*VLOOKUP($A205,Bestellungen!$6:$1048576,MATCH(Kasse!G$5,Bestellungen!$A$5:$X$5,0),0),"")</f>
        <v/>
      </c>
      <c r="H205" s="26" t="str">
        <f>IF(ISERROR(VLOOKUP($A205,Bestellungen!$6:$1048576,MATCH(Kasse!H$5,Bestellungen!$A$5:$X$5,0),0))=FALSE,SUMIF(Kalkulation!$A$6:$A$40,Kasse!H$5&amp;"*",Kalkulation!$C$6:$C$40)*VLOOKUP($A205,Bestellungen!$6:$1048576,MATCH(Kasse!H$5,Bestellungen!$A$5:$X$5,0),0),"")</f>
        <v/>
      </c>
      <c r="I205" s="26" t="str">
        <f>IF(ISERROR(VLOOKUP($A205,Bestellungen!$6:$1048576,MATCH(Kasse!I$5,Bestellungen!$A$5:$X$5,0),0))=FALSE,SUMIF(Kalkulation!$A$6:$A$40,Kasse!I$5&amp;"*",Kalkulation!$C$6:$C$40)*VLOOKUP($A205,Bestellungen!$6:$1048576,MATCH(Kasse!I$5,Bestellungen!$A$5:$X$5,0),0),"")</f>
        <v/>
      </c>
      <c r="J205" s="26" t="str">
        <f>IF(ISERROR(VLOOKUP($A205,Bestellungen!$6:$1048576,MATCH(Kasse!J$5,Bestellungen!$A$5:$X$5,0),0))=FALSE,SUMIF(Kalkulation!$A$6:$A$40,Kasse!J$5&amp;"*",Kalkulation!$C$6:$C$40)*VLOOKUP($A205,Bestellungen!$6:$1048576,MATCH(Kasse!J$5,Bestellungen!$A$5:$X$5,0),0),"")</f>
        <v/>
      </c>
      <c r="K205" s="26" t="str">
        <f>IF(ISERROR(VLOOKUP($A205,Bestellungen!$6:$1048576,MATCH(Kasse!K$5,Bestellungen!$A$5:$X$5,0),0))=FALSE,SUMIF(Kalkulation!$A$6:$A$40,Kasse!K$5&amp;"*",Kalkulation!$C$6:$C$40)*VLOOKUP($A205,Bestellungen!$6:$1048576,MATCH(Kasse!K$5,Bestellungen!$A$5:$X$5,0),0),"")</f>
        <v/>
      </c>
      <c r="L205" s="26" t="str">
        <f>IF(ISERROR(VLOOKUP($A205,Bestellungen!$6:$1048576,MATCH(Kasse!L$5,Bestellungen!$A$5:$X$5,0),0))=FALSE,SUMIF(Kalkulation!$A$6:$A$40,Kasse!L$5&amp;"*",Kalkulation!$C$6:$C$40)*VLOOKUP($A205,Bestellungen!$6:$1048576,MATCH(Kasse!L$5,Bestellungen!$A$5:$X$5,0),0),"")</f>
        <v/>
      </c>
      <c r="M205" s="26" t="str">
        <f>IF(ISERROR(VLOOKUP($A205,Bestellungen!$6:$1048576,MATCH(Kasse!M$5,Bestellungen!$A$5:$X$5,0),0))=FALSE,SUMIF(Kalkulation!$A$6:$A$40,Kasse!M$5&amp;"*",Kalkulation!$C$6:$C$40)*VLOOKUP($A205,Bestellungen!$6:$1048576,MATCH(Kasse!M$5,Bestellungen!$A$5:$X$5,0),0),"")</f>
        <v/>
      </c>
      <c r="N205" s="26" t="str">
        <f>IF(ISERROR(VLOOKUP($A205,Bestellungen!$6:$1048576,MATCH(Kasse!N$5,Bestellungen!$A$5:$X$5,0),0))=FALSE,SUMIF(Kalkulation!$A$6:$A$40,Kasse!N$5&amp;"*",Kalkulation!$C$6:$C$40)*VLOOKUP($A205,Bestellungen!$6:$1048576,MATCH(Kasse!N$5,Bestellungen!$A$5:$X$5,0),0),"")</f>
        <v/>
      </c>
      <c r="O205" s="26" t="str">
        <f>IF(ISERROR(VLOOKUP($A205,Bestellungen!$6:$1048576,MATCH(Kasse!O$5,Bestellungen!$A$5:$X$5,0),0))=FALSE,SUMIF(Kalkulation!$A$6:$A$40,Kasse!O$5&amp;"*",Kalkulation!$C$6:$C$40)*VLOOKUP($A205,Bestellungen!$6:$1048576,MATCH(Kasse!O$5,Bestellungen!$A$5:$X$5,0),0),"")</f>
        <v/>
      </c>
      <c r="P205" s="26" t="str">
        <f>IF(ISERROR(VLOOKUP($A205,Bestellungen!$6:$1048576,MATCH(Kasse!P$5,Bestellungen!$A$5:$X$5,0),0))=FALSE,SUMIF(Kalkulation!$A$6:$A$40,Kasse!P$5&amp;"*",Kalkulation!$C$6:$C$40)*VLOOKUP($A205,Bestellungen!$6:$1048576,MATCH(Kasse!P$5,Bestellungen!$A$5:$X$5,0),0),"")</f>
        <v/>
      </c>
      <c r="Q205" s="26" t="str">
        <f>IF(ISERROR(VLOOKUP($A205,Bestellungen!$6:$1048576,MATCH(Kasse!Q$5,Bestellungen!$A$5:$X$5,0),0))=FALSE,SUMIF(Kalkulation!$A$6:$A$40,Kasse!Q$5&amp;"*",Kalkulation!$C$6:$C$40)*VLOOKUP($A205,Bestellungen!$6:$1048576,MATCH(Kasse!Q$5,Bestellungen!$A$5:$X$5,0),0),"")</f>
        <v/>
      </c>
      <c r="R205" s="26" t="str">
        <f>IF(ISERROR(VLOOKUP($A205,Bestellungen!$6:$1048576,MATCH(Kasse!R$5,Bestellungen!$A$5:$X$5,0),0))=FALSE,SUMIF(Kalkulation!$A$6:$A$40,Kasse!R$5&amp;"*",Kalkulation!$C$6:$C$40)*VLOOKUP($A205,Bestellungen!$6:$1048576,MATCH(Kasse!R$5,Bestellungen!$A$5:$X$5,0),0),"")</f>
        <v/>
      </c>
      <c r="S205" s="26" t="str">
        <f>IF(ISERROR(VLOOKUP($A205,Bestellungen!$6:$1048576,MATCH(Kasse!S$5,Bestellungen!$A$5:$X$5,0),0))=FALSE,SUMIF(Kalkulation!$A$6:$A$40,Kasse!S$5&amp;"*",Kalkulation!$C$6:$C$40)*VLOOKUP($A205,Bestellungen!$6:$1048576,MATCH(Kasse!S$5,Bestellungen!$A$5:$X$5,0),0),"")</f>
        <v/>
      </c>
      <c r="T205" s="26" t="str">
        <f>IF(ISERROR(VLOOKUP($A205,Bestellungen!$6:$1048576,MATCH(Kasse!T$5,Bestellungen!$A$5:$X$5,0),0))=FALSE,SUMIF(Kalkulation!$A$6:$A$40,Kasse!T$5&amp;"*",Kalkulation!$C$6:$C$40)*VLOOKUP($A205,Bestellungen!$6:$1048576,MATCH(Kasse!T$5,Bestellungen!$A$5:$X$5,0),0),"")</f>
        <v/>
      </c>
      <c r="U205" s="26" t="str">
        <f t="shared" si="6"/>
        <v/>
      </c>
      <c r="W205" s="26" t="str">
        <f t="shared" si="7"/>
        <v/>
      </c>
      <c r="X205" s="26"/>
      <c r="Y205" s="26"/>
      <c r="Z205" s="26"/>
      <c r="AA205" s="26"/>
    </row>
    <row r="206" spans="1:27" x14ac:dyDescent="0.25">
      <c r="A206" t="str">
        <f>IF(LEN(Bestellungen!$A206)&gt;0,Bestellungen!$A206,"")</f>
        <v/>
      </c>
      <c r="B206" s="26" t="str">
        <f>IF(ISERROR(VLOOKUP($A206,Bestellungen!$6:$1048576,MATCH(Kasse!B$5,Bestellungen!$A$5:$X$5,0),0))=FALSE,SUMIF(Kalkulation!$A$6:$A$40,Kasse!B$5&amp;"*",Kalkulation!$C$6:$C$40)*VLOOKUP($A206,Bestellungen!$6:$1048576,MATCH(Kasse!B$5,Bestellungen!$A$5:$X$5,0),0),"")</f>
        <v/>
      </c>
      <c r="C206" s="26" t="str">
        <f>IF(ISERROR(VLOOKUP($A206,Bestellungen!$6:$1048576,MATCH(Kasse!C$5,Bestellungen!$A$5:$X$5,0),0))=FALSE,SUMIF(Kalkulation!$A$6:$A$40,Kasse!C$5&amp;"*",Kalkulation!$C$6:$C$40)*VLOOKUP($A206,Bestellungen!$6:$1048576,MATCH(Kasse!C$5,Bestellungen!$A$5:$X$5,0),0),"")</f>
        <v/>
      </c>
      <c r="D206" s="26" t="str">
        <f>IF(ISERROR(VLOOKUP($A206,Bestellungen!$6:$1048576,MATCH(Kasse!D$5,Bestellungen!$A$5:$X$5,0),0))=FALSE,SUMIF(Kalkulation!$A$6:$A$40,Kasse!D$5&amp;"*",Kalkulation!$C$6:$C$40)*VLOOKUP($A206,Bestellungen!$6:$1048576,MATCH(Kasse!D$5,Bestellungen!$A$5:$X$5,0),0),"")</f>
        <v/>
      </c>
      <c r="E206" s="26" t="str">
        <f>IF(ISERROR(VLOOKUP($A206,Bestellungen!$6:$1048576,MATCH(Kasse!E$5,Bestellungen!$A$5:$X$5,0),0))=FALSE,SUMIF(Kalkulation!$A$6:$A$40,Kasse!E$5&amp;"*",Kalkulation!$C$6:$C$40)*VLOOKUP($A206,Bestellungen!$6:$1048576,MATCH(Kasse!E$5,Bestellungen!$A$5:$X$5,0),0),"")</f>
        <v/>
      </c>
      <c r="F206" s="26" t="str">
        <f>IF(ISERROR(VLOOKUP($A206,Bestellungen!$6:$1048576,MATCH(Kasse!F$5,Bestellungen!$A$5:$X$5,0),0))=FALSE,SUMIF(Kalkulation!$A$6:$A$40,Kasse!F$5&amp;"*",Kalkulation!$C$6:$C$40)*VLOOKUP($A206,Bestellungen!$6:$1048576,MATCH(Kasse!F$5,Bestellungen!$A$5:$X$5,0),0),"")</f>
        <v/>
      </c>
      <c r="G206" s="26" t="str">
        <f>IF(ISERROR(VLOOKUP($A206,Bestellungen!$6:$1048576,MATCH(Kasse!G$5,Bestellungen!$A$5:$X$5,0),0))=FALSE,SUMIF(Kalkulation!$A$6:$A$40,Kasse!G$5&amp;"*",Kalkulation!$C$6:$C$40)*VLOOKUP($A206,Bestellungen!$6:$1048576,MATCH(Kasse!G$5,Bestellungen!$A$5:$X$5,0),0),"")</f>
        <v/>
      </c>
      <c r="H206" s="26" t="str">
        <f>IF(ISERROR(VLOOKUP($A206,Bestellungen!$6:$1048576,MATCH(Kasse!H$5,Bestellungen!$A$5:$X$5,0),0))=FALSE,SUMIF(Kalkulation!$A$6:$A$40,Kasse!H$5&amp;"*",Kalkulation!$C$6:$C$40)*VLOOKUP($A206,Bestellungen!$6:$1048576,MATCH(Kasse!H$5,Bestellungen!$A$5:$X$5,0),0),"")</f>
        <v/>
      </c>
      <c r="I206" s="26" t="str">
        <f>IF(ISERROR(VLOOKUP($A206,Bestellungen!$6:$1048576,MATCH(Kasse!I$5,Bestellungen!$A$5:$X$5,0),0))=FALSE,SUMIF(Kalkulation!$A$6:$A$40,Kasse!I$5&amp;"*",Kalkulation!$C$6:$C$40)*VLOOKUP($A206,Bestellungen!$6:$1048576,MATCH(Kasse!I$5,Bestellungen!$A$5:$X$5,0),0),"")</f>
        <v/>
      </c>
      <c r="J206" s="26" t="str">
        <f>IF(ISERROR(VLOOKUP($A206,Bestellungen!$6:$1048576,MATCH(Kasse!J$5,Bestellungen!$A$5:$X$5,0),0))=FALSE,SUMIF(Kalkulation!$A$6:$A$40,Kasse!J$5&amp;"*",Kalkulation!$C$6:$C$40)*VLOOKUP($A206,Bestellungen!$6:$1048576,MATCH(Kasse!J$5,Bestellungen!$A$5:$X$5,0),0),"")</f>
        <v/>
      </c>
      <c r="K206" s="26" t="str">
        <f>IF(ISERROR(VLOOKUP($A206,Bestellungen!$6:$1048576,MATCH(Kasse!K$5,Bestellungen!$A$5:$X$5,0),0))=FALSE,SUMIF(Kalkulation!$A$6:$A$40,Kasse!K$5&amp;"*",Kalkulation!$C$6:$C$40)*VLOOKUP($A206,Bestellungen!$6:$1048576,MATCH(Kasse!K$5,Bestellungen!$A$5:$X$5,0),0),"")</f>
        <v/>
      </c>
      <c r="L206" s="26" t="str">
        <f>IF(ISERROR(VLOOKUP($A206,Bestellungen!$6:$1048576,MATCH(Kasse!L$5,Bestellungen!$A$5:$X$5,0),0))=FALSE,SUMIF(Kalkulation!$A$6:$A$40,Kasse!L$5&amp;"*",Kalkulation!$C$6:$C$40)*VLOOKUP($A206,Bestellungen!$6:$1048576,MATCH(Kasse!L$5,Bestellungen!$A$5:$X$5,0),0),"")</f>
        <v/>
      </c>
      <c r="M206" s="26" t="str">
        <f>IF(ISERROR(VLOOKUP($A206,Bestellungen!$6:$1048576,MATCH(Kasse!M$5,Bestellungen!$A$5:$X$5,0),0))=FALSE,SUMIF(Kalkulation!$A$6:$A$40,Kasse!M$5&amp;"*",Kalkulation!$C$6:$C$40)*VLOOKUP($A206,Bestellungen!$6:$1048576,MATCH(Kasse!M$5,Bestellungen!$A$5:$X$5,0),0),"")</f>
        <v/>
      </c>
      <c r="N206" s="26" t="str">
        <f>IF(ISERROR(VLOOKUP($A206,Bestellungen!$6:$1048576,MATCH(Kasse!N$5,Bestellungen!$A$5:$X$5,0),0))=FALSE,SUMIF(Kalkulation!$A$6:$A$40,Kasse!N$5&amp;"*",Kalkulation!$C$6:$C$40)*VLOOKUP($A206,Bestellungen!$6:$1048576,MATCH(Kasse!N$5,Bestellungen!$A$5:$X$5,0),0),"")</f>
        <v/>
      </c>
      <c r="O206" s="26" t="str">
        <f>IF(ISERROR(VLOOKUP($A206,Bestellungen!$6:$1048576,MATCH(Kasse!O$5,Bestellungen!$A$5:$X$5,0),0))=FALSE,SUMIF(Kalkulation!$A$6:$A$40,Kasse!O$5&amp;"*",Kalkulation!$C$6:$C$40)*VLOOKUP($A206,Bestellungen!$6:$1048576,MATCH(Kasse!O$5,Bestellungen!$A$5:$X$5,0),0),"")</f>
        <v/>
      </c>
      <c r="P206" s="26" t="str">
        <f>IF(ISERROR(VLOOKUP($A206,Bestellungen!$6:$1048576,MATCH(Kasse!P$5,Bestellungen!$A$5:$X$5,0),0))=FALSE,SUMIF(Kalkulation!$A$6:$A$40,Kasse!P$5&amp;"*",Kalkulation!$C$6:$C$40)*VLOOKUP($A206,Bestellungen!$6:$1048576,MATCH(Kasse!P$5,Bestellungen!$A$5:$X$5,0),0),"")</f>
        <v/>
      </c>
      <c r="Q206" s="26" t="str">
        <f>IF(ISERROR(VLOOKUP($A206,Bestellungen!$6:$1048576,MATCH(Kasse!Q$5,Bestellungen!$A$5:$X$5,0),0))=FALSE,SUMIF(Kalkulation!$A$6:$A$40,Kasse!Q$5&amp;"*",Kalkulation!$C$6:$C$40)*VLOOKUP($A206,Bestellungen!$6:$1048576,MATCH(Kasse!Q$5,Bestellungen!$A$5:$X$5,0),0),"")</f>
        <v/>
      </c>
      <c r="R206" s="26" t="str">
        <f>IF(ISERROR(VLOOKUP($A206,Bestellungen!$6:$1048576,MATCH(Kasse!R$5,Bestellungen!$A$5:$X$5,0),0))=FALSE,SUMIF(Kalkulation!$A$6:$A$40,Kasse!R$5&amp;"*",Kalkulation!$C$6:$C$40)*VLOOKUP($A206,Bestellungen!$6:$1048576,MATCH(Kasse!R$5,Bestellungen!$A$5:$X$5,0),0),"")</f>
        <v/>
      </c>
      <c r="S206" s="26" t="str">
        <f>IF(ISERROR(VLOOKUP($A206,Bestellungen!$6:$1048576,MATCH(Kasse!S$5,Bestellungen!$A$5:$X$5,0),0))=FALSE,SUMIF(Kalkulation!$A$6:$A$40,Kasse!S$5&amp;"*",Kalkulation!$C$6:$C$40)*VLOOKUP($A206,Bestellungen!$6:$1048576,MATCH(Kasse!S$5,Bestellungen!$A$5:$X$5,0),0),"")</f>
        <v/>
      </c>
      <c r="T206" s="26" t="str">
        <f>IF(ISERROR(VLOOKUP($A206,Bestellungen!$6:$1048576,MATCH(Kasse!T$5,Bestellungen!$A$5:$X$5,0),0))=FALSE,SUMIF(Kalkulation!$A$6:$A$40,Kasse!T$5&amp;"*",Kalkulation!$C$6:$C$40)*VLOOKUP($A206,Bestellungen!$6:$1048576,MATCH(Kasse!T$5,Bestellungen!$A$5:$X$5,0),0),"")</f>
        <v/>
      </c>
      <c r="U206" s="26" t="str">
        <f t="shared" si="6"/>
        <v/>
      </c>
      <c r="W206" s="26" t="str">
        <f t="shared" si="7"/>
        <v/>
      </c>
      <c r="X206" s="26"/>
      <c r="Y206" s="26"/>
      <c r="Z206" s="26"/>
      <c r="AA206" s="26"/>
    </row>
    <row r="207" spans="1:27" x14ac:dyDescent="0.25">
      <c r="A207" t="str">
        <f>IF(LEN(Bestellungen!$A207)&gt;0,Bestellungen!$A207,"")</f>
        <v/>
      </c>
      <c r="B207" s="26" t="str">
        <f>IF(ISERROR(VLOOKUP($A207,Bestellungen!$6:$1048576,MATCH(Kasse!B$5,Bestellungen!$A$5:$X$5,0),0))=FALSE,SUMIF(Kalkulation!$A$6:$A$40,Kasse!B$5&amp;"*",Kalkulation!$C$6:$C$40)*VLOOKUP($A207,Bestellungen!$6:$1048576,MATCH(Kasse!B$5,Bestellungen!$A$5:$X$5,0),0),"")</f>
        <v/>
      </c>
      <c r="C207" s="26" t="str">
        <f>IF(ISERROR(VLOOKUP($A207,Bestellungen!$6:$1048576,MATCH(Kasse!C$5,Bestellungen!$A$5:$X$5,0),0))=FALSE,SUMIF(Kalkulation!$A$6:$A$40,Kasse!C$5&amp;"*",Kalkulation!$C$6:$C$40)*VLOOKUP($A207,Bestellungen!$6:$1048576,MATCH(Kasse!C$5,Bestellungen!$A$5:$X$5,0),0),"")</f>
        <v/>
      </c>
      <c r="D207" s="26" t="str">
        <f>IF(ISERROR(VLOOKUP($A207,Bestellungen!$6:$1048576,MATCH(Kasse!D$5,Bestellungen!$A$5:$X$5,0),0))=FALSE,SUMIF(Kalkulation!$A$6:$A$40,Kasse!D$5&amp;"*",Kalkulation!$C$6:$C$40)*VLOOKUP($A207,Bestellungen!$6:$1048576,MATCH(Kasse!D$5,Bestellungen!$A$5:$X$5,0),0),"")</f>
        <v/>
      </c>
      <c r="E207" s="26" t="str">
        <f>IF(ISERROR(VLOOKUP($A207,Bestellungen!$6:$1048576,MATCH(Kasse!E$5,Bestellungen!$A$5:$X$5,0),0))=FALSE,SUMIF(Kalkulation!$A$6:$A$40,Kasse!E$5&amp;"*",Kalkulation!$C$6:$C$40)*VLOOKUP($A207,Bestellungen!$6:$1048576,MATCH(Kasse!E$5,Bestellungen!$A$5:$X$5,0),0),"")</f>
        <v/>
      </c>
      <c r="F207" s="26" t="str">
        <f>IF(ISERROR(VLOOKUP($A207,Bestellungen!$6:$1048576,MATCH(Kasse!F$5,Bestellungen!$A$5:$X$5,0),0))=FALSE,SUMIF(Kalkulation!$A$6:$A$40,Kasse!F$5&amp;"*",Kalkulation!$C$6:$C$40)*VLOOKUP($A207,Bestellungen!$6:$1048576,MATCH(Kasse!F$5,Bestellungen!$A$5:$X$5,0),0),"")</f>
        <v/>
      </c>
      <c r="G207" s="26" t="str">
        <f>IF(ISERROR(VLOOKUP($A207,Bestellungen!$6:$1048576,MATCH(Kasse!G$5,Bestellungen!$A$5:$X$5,0),0))=FALSE,SUMIF(Kalkulation!$A$6:$A$40,Kasse!G$5&amp;"*",Kalkulation!$C$6:$C$40)*VLOOKUP($A207,Bestellungen!$6:$1048576,MATCH(Kasse!G$5,Bestellungen!$A$5:$X$5,0),0),"")</f>
        <v/>
      </c>
      <c r="H207" s="26" t="str">
        <f>IF(ISERROR(VLOOKUP($A207,Bestellungen!$6:$1048576,MATCH(Kasse!H$5,Bestellungen!$A$5:$X$5,0),0))=FALSE,SUMIF(Kalkulation!$A$6:$A$40,Kasse!H$5&amp;"*",Kalkulation!$C$6:$C$40)*VLOOKUP($A207,Bestellungen!$6:$1048576,MATCH(Kasse!H$5,Bestellungen!$A$5:$X$5,0),0),"")</f>
        <v/>
      </c>
      <c r="I207" s="26" t="str">
        <f>IF(ISERROR(VLOOKUP($A207,Bestellungen!$6:$1048576,MATCH(Kasse!I$5,Bestellungen!$A$5:$X$5,0),0))=FALSE,SUMIF(Kalkulation!$A$6:$A$40,Kasse!I$5&amp;"*",Kalkulation!$C$6:$C$40)*VLOOKUP($A207,Bestellungen!$6:$1048576,MATCH(Kasse!I$5,Bestellungen!$A$5:$X$5,0),0),"")</f>
        <v/>
      </c>
      <c r="J207" s="26" t="str">
        <f>IF(ISERROR(VLOOKUP($A207,Bestellungen!$6:$1048576,MATCH(Kasse!J$5,Bestellungen!$A$5:$X$5,0),0))=FALSE,SUMIF(Kalkulation!$A$6:$A$40,Kasse!J$5&amp;"*",Kalkulation!$C$6:$C$40)*VLOOKUP($A207,Bestellungen!$6:$1048576,MATCH(Kasse!J$5,Bestellungen!$A$5:$X$5,0),0),"")</f>
        <v/>
      </c>
      <c r="K207" s="26" t="str">
        <f>IF(ISERROR(VLOOKUP($A207,Bestellungen!$6:$1048576,MATCH(Kasse!K$5,Bestellungen!$A$5:$X$5,0),0))=FALSE,SUMIF(Kalkulation!$A$6:$A$40,Kasse!K$5&amp;"*",Kalkulation!$C$6:$C$40)*VLOOKUP($A207,Bestellungen!$6:$1048576,MATCH(Kasse!K$5,Bestellungen!$A$5:$X$5,0),0),"")</f>
        <v/>
      </c>
      <c r="L207" s="26" t="str">
        <f>IF(ISERROR(VLOOKUP($A207,Bestellungen!$6:$1048576,MATCH(Kasse!L$5,Bestellungen!$A$5:$X$5,0),0))=FALSE,SUMIF(Kalkulation!$A$6:$A$40,Kasse!L$5&amp;"*",Kalkulation!$C$6:$C$40)*VLOOKUP($A207,Bestellungen!$6:$1048576,MATCH(Kasse!L$5,Bestellungen!$A$5:$X$5,0),0),"")</f>
        <v/>
      </c>
      <c r="M207" s="26" t="str">
        <f>IF(ISERROR(VLOOKUP($A207,Bestellungen!$6:$1048576,MATCH(Kasse!M$5,Bestellungen!$A$5:$X$5,0),0))=FALSE,SUMIF(Kalkulation!$A$6:$A$40,Kasse!M$5&amp;"*",Kalkulation!$C$6:$C$40)*VLOOKUP($A207,Bestellungen!$6:$1048576,MATCH(Kasse!M$5,Bestellungen!$A$5:$X$5,0),0),"")</f>
        <v/>
      </c>
      <c r="N207" s="26" t="str">
        <f>IF(ISERROR(VLOOKUP($A207,Bestellungen!$6:$1048576,MATCH(Kasse!N$5,Bestellungen!$A$5:$X$5,0),0))=FALSE,SUMIF(Kalkulation!$A$6:$A$40,Kasse!N$5&amp;"*",Kalkulation!$C$6:$C$40)*VLOOKUP($A207,Bestellungen!$6:$1048576,MATCH(Kasse!N$5,Bestellungen!$A$5:$X$5,0),0),"")</f>
        <v/>
      </c>
      <c r="O207" s="26" t="str">
        <f>IF(ISERROR(VLOOKUP($A207,Bestellungen!$6:$1048576,MATCH(Kasse!O$5,Bestellungen!$A$5:$X$5,0),0))=FALSE,SUMIF(Kalkulation!$A$6:$A$40,Kasse!O$5&amp;"*",Kalkulation!$C$6:$C$40)*VLOOKUP($A207,Bestellungen!$6:$1048576,MATCH(Kasse!O$5,Bestellungen!$A$5:$X$5,0),0),"")</f>
        <v/>
      </c>
      <c r="P207" s="26" t="str">
        <f>IF(ISERROR(VLOOKUP($A207,Bestellungen!$6:$1048576,MATCH(Kasse!P$5,Bestellungen!$A$5:$X$5,0),0))=FALSE,SUMIF(Kalkulation!$A$6:$A$40,Kasse!P$5&amp;"*",Kalkulation!$C$6:$C$40)*VLOOKUP($A207,Bestellungen!$6:$1048576,MATCH(Kasse!P$5,Bestellungen!$A$5:$X$5,0),0),"")</f>
        <v/>
      </c>
      <c r="Q207" s="26" t="str">
        <f>IF(ISERROR(VLOOKUP($A207,Bestellungen!$6:$1048576,MATCH(Kasse!Q$5,Bestellungen!$A$5:$X$5,0),0))=FALSE,SUMIF(Kalkulation!$A$6:$A$40,Kasse!Q$5&amp;"*",Kalkulation!$C$6:$C$40)*VLOOKUP($A207,Bestellungen!$6:$1048576,MATCH(Kasse!Q$5,Bestellungen!$A$5:$X$5,0),0),"")</f>
        <v/>
      </c>
      <c r="R207" s="26" t="str">
        <f>IF(ISERROR(VLOOKUP($A207,Bestellungen!$6:$1048576,MATCH(Kasse!R$5,Bestellungen!$A$5:$X$5,0),0))=FALSE,SUMIF(Kalkulation!$A$6:$A$40,Kasse!R$5&amp;"*",Kalkulation!$C$6:$C$40)*VLOOKUP($A207,Bestellungen!$6:$1048576,MATCH(Kasse!R$5,Bestellungen!$A$5:$X$5,0),0),"")</f>
        <v/>
      </c>
      <c r="S207" s="26" t="str">
        <f>IF(ISERROR(VLOOKUP($A207,Bestellungen!$6:$1048576,MATCH(Kasse!S$5,Bestellungen!$A$5:$X$5,0),0))=FALSE,SUMIF(Kalkulation!$A$6:$A$40,Kasse!S$5&amp;"*",Kalkulation!$C$6:$C$40)*VLOOKUP($A207,Bestellungen!$6:$1048576,MATCH(Kasse!S$5,Bestellungen!$A$5:$X$5,0),0),"")</f>
        <v/>
      </c>
      <c r="T207" s="26" t="str">
        <f>IF(ISERROR(VLOOKUP($A207,Bestellungen!$6:$1048576,MATCH(Kasse!T$5,Bestellungen!$A$5:$X$5,0),0))=FALSE,SUMIF(Kalkulation!$A$6:$A$40,Kasse!T$5&amp;"*",Kalkulation!$C$6:$C$40)*VLOOKUP($A207,Bestellungen!$6:$1048576,MATCH(Kasse!T$5,Bestellungen!$A$5:$X$5,0),0),"")</f>
        <v/>
      </c>
      <c r="U207" s="26" t="str">
        <f t="shared" si="6"/>
        <v/>
      </c>
      <c r="W207" s="26" t="str">
        <f t="shared" si="7"/>
        <v/>
      </c>
      <c r="X207" s="26"/>
      <c r="Y207" s="26"/>
      <c r="Z207" s="26"/>
      <c r="AA207" s="26"/>
    </row>
    <row r="208" spans="1:27" x14ac:dyDescent="0.25">
      <c r="A208" t="str">
        <f>IF(LEN(Bestellungen!$A208)&gt;0,Bestellungen!$A208,"")</f>
        <v/>
      </c>
      <c r="B208" s="26" t="str">
        <f>IF(ISERROR(VLOOKUP($A208,Bestellungen!$6:$1048576,MATCH(Kasse!B$5,Bestellungen!$A$5:$X$5,0),0))=FALSE,SUMIF(Kalkulation!$A$6:$A$40,Kasse!B$5&amp;"*",Kalkulation!$C$6:$C$40)*VLOOKUP($A208,Bestellungen!$6:$1048576,MATCH(Kasse!B$5,Bestellungen!$A$5:$X$5,0),0),"")</f>
        <v/>
      </c>
      <c r="C208" s="26" t="str">
        <f>IF(ISERROR(VLOOKUP($A208,Bestellungen!$6:$1048576,MATCH(Kasse!C$5,Bestellungen!$A$5:$X$5,0),0))=FALSE,SUMIF(Kalkulation!$A$6:$A$40,Kasse!C$5&amp;"*",Kalkulation!$C$6:$C$40)*VLOOKUP($A208,Bestellungen!$6:$1048576,MATCH(Kasse!C$5,Bestellungen!$A$5:$X$5,0),0),"")</f>
        <v/>
      </c>
      <c r="D208" s="26" t="str">
        <f>IF(ISERROR(VLOOKUP($A208,Bestellungen!$6:$1048576,MATCH(Kasse!D$5,Bestellungen!$A$5:$X$5,0),0))=FALSE,SUMIF(Kalkulation!$A$6:$A$40,Kasse!D$5&amp;"*",Kalkulation!$C$6:$C$40)*VLOOKUP($A208,Bestellungen!$6:$1048576,MATCH(Kasse!D$5,Bestellungen!$A$5:$X$5,0),0),"")</f>
        <v/>
      </c>
      <c r="E208" s="26" t="str">
        <f>IF(ISERROR(VLOOKUP($A208,Bestellungen!$6:$1048576,MATCH(Kasse!E$5,Bestellungen!$A$5:$X$5,0),0))=FALSE,SUMIF(Kalkulation!$A$6:$A$40,Kasse!E$5&amp;"*",Kalkulation!$C$6:$C$40)*VLOOKUP($A208,Bestellungen!$6:$1048576,MATCH(Kasse!E$5,Bestellungen!$A$5:$X$5,0),0),"")</f>
        <v/>
      </c>
      <c r="F208" s="26" t="str">
        <f>IF(ISERROR(VLOOKUP($A208,Bestellungen!$6:$1048576,MATCH(Kasse!F$5,Bestellungen!$A$5:$X$5,0),0))=FALSE,SUMIF(Kalkulation!$A$6:$A$40,Kasse!F$5&amp;"*",Kalkulation!$C$6:$C$40)*VLOOKUP($A208,Bestellungen!$6:$1048576,MATCH(Kasse!F$5,Bestellungen!$A$5:$X$5,0),0),"")</f>
        <v/>
      </c>
      <c r="G208" s="26" t="str">
        <f>IF(ISERROR(VLOOKUP($A208,Bestellungen!$6:$1048576,MATCH(Kasse!G$5,Bestellungen!$A$5:$X$5,0),0))=FALSE,SUMIF(Kalkulation!$A$6:$A$40,Kasse!G$5&amp;"*",Kalkulation!$C$6:$C$40)*VLOOKUP($A208,Bestellungen!$6:$1048576,MATCH(Kasse!G$5,Bestellungen!$A$5:$X$5,0),0),"")</f>
        <v/>
      </c>
      <c r="H208" s="26" t="str">
        <f>IF(ISERROR(VLOOKUP($A208,Bestellungen!$6:$1048576,MATCH(Kasse!H$5,Bestellungen!$A$5:$X$5,0),0))=FALSE,SUMIF(Kalkulation!$A$6:$A$40,Kasse!H$5&amp;"*",Kalkulation!$C$6:$C$40)*VLOOKUP($A208,Bestellungen!$6:$1048576,MATCH(Kasse!H$5,Bestellungen!$A$5:$X$5,0),0),"")</f>
        <v/>
      </c>
      <c r="I208" s="26" t="str">
        <f>IF(ISERROR(VLOOKUP($A208,Bestellungen!$6:$1048576,MATCH(Kasse!I$5,Bestellungen!$A$5:$X$5,0),0))=FALSE,SUMIF(Kalkulation!$A$6:$A$40,Kasse!I$5&amp;"*",Kalkulation!$C$6:$C$40)*VLOOKUP($A208,Bestellungen!$6:$1048576,MATCH(Kasse!I$5,Bestellungen!$A$5:$X$5,0),0),"")</f>
        <v/>
      </c>
      <c r="J208" s="26" t="str">
        <f>IF(ISERROR(VLOOKUP($A208,Bestellungen!$6:$1048576,MATCH(Kasse!J$5,Bestellungen!$A$5:$X$5,0),0))=FALSE,SUMIF(Kalkulation!$A$6:$A$40,Kasse!J$5&amp;"*",Kalkulation!$C$6:$C$40)*VLOOKUP($A208,Bestellungen!$6:$1048576,MATCH(Kasse!J$5,Bestellungen!$A$5:$X$5,0),0),"")</f>
        <v/>
      </c>
      <c r="K208" s="26" t="str">
        <f>IF(ISERROR(VLOOKUP($A208,Bestellungen!$6:$1048576,MATCH(Kasse!K$5,Bestellungen!$A$5:$X$5,0),0))=FALSE,SUMIF(Kalkulation!$A$6:$A$40,Kasse!K$5&amp;"*",Kalkulation!$C$6:$C$40)*VLOOKUP($A208,Bestellungen!$6:$1048576,MATCH(Kasse!K$5,Bestellungen!$A$5:$X$5,0),0),"")</f>
        <v/>
      </c>
      <c r="L208" s="26" t="str">
        <f>IF(ISERROR(VLOOKUP($A208,Bestellungen!$6:$1048576,MATCH(Kasse!L$5,Bestellungen!$A$5:$X$5,0),0))=FALSE,SUMIF(Kalkulation!$A$6:$A$40,Kasse!L$5&amp;"*",Kalkulation!$C$6:$C$40)*VLOOKUP($A208,Bestellungen!$6:$1048576,MATCH(Kasse!L$5,Bestellungen!$A$5:$X$5,0),0),"")</f>
        <v/>
      </c>
      <c r="M208" s="26" t="str">
        <f>IF(ISERROR(VLOOKUP($A208,Bestellungen!$6:$1048576,MATCH(Kasse!M$5,Bestellungen!$A$5:$X$5,0),0))=FALSE,SUMIF(Kalkulation!$A$6:$A$40,Kasse!M$5&amp;"*",Kalkulation!$C$6:$C$40)*VLOOKUP($A208,Bestellungen!$6:$1048576,MATCH(Kasse!M$5,Bestellungen!$A$5:$X$5,0),0),"")</f>
        <v/>
      </c>
      <c r="N208" s="26" t="str">
        <f>IF(ISERROR(VLOOKUP($A208,Bestellungen!$6:$1048576,MATCH(Kasse!N$5,Bestellungen!$A$5:$X$5,0),0))=FALSE,SUMIF(Kalkulation!$A$6:$A$40,Kasse!N$5&amp;"*",Kalkulation!$C$6:$C$40)*VLOOKUP($A208,Bestellungen!$6:$1048576,MATCH(Kasse!N$5,Bestellungen!$A$5:$X$5,0),0),"")</f>
        <v/>
      </c>
      <c r="O208" s="26" t="str">
        <f>IF(ISERROR(VLOOKUP($A208,Bestellungen!$6:$1048576,MATCH(Kasse!O$5,Bestellungen!$A$5:$X$5,0),0))=FALSE,SUMIF(Kalkulation!$A$6:$A$40,Kasse!O$5&amp;"*",Kalkulation!$C$6:$C$40)*VLOOKUP($A208,Bestellungen!$6:$1048576,MATCH(Kasse!O$5,Bestellungen!$A$5:$X$5,0),0),"")</f>
        <v/>
      </c>
      <c r="P208" s="26" t="str">
        <f>IF(ISERROR(VLOOKUP($A208,Bestellungen!$6:$1048576,MATCH(Kasse!P$5,Bestellungen!$A$5:$X$5,0),0))=FALSE,SUMIF(Kalkulation!$A$6:$A$40,Kasse!P$5&amp;"*",Kalkulation!$C$6:$C$40)*VLOOKUP($A208,Bestellungen!$6:$1048576,MATCH(Kasse!P$5,Bestellungen!$A$5:$X$5,0),0),"")</f>
        <v/>
      </c>
      <c r="Q208" s="26" t="str">
        <f>IF(ISERROR(VLOOKUP($A208,Bestellungen!$6:$1048576,MATCH(Kasse!Q$5,Bestellungen!$A$5:$X$5,0),0))=FALSE,SUMIF(Kalkulation!$A$6:$A$40,Kasse!Q$5&amp;"*",Kalkulation!$C$6:$C$40)*VLOOKUP($A208,Bestellungen!$6:$1048576,MATCH(Kasse!Q$5,Bestellungen!$A$5:$X$5,0),0),"")</f>
        <v/>
      </c>
      <c r="R208" s="26" t="str">
        <f>IF(ISERROR(VLOOKUP($A208,Bestellungen!$6:$1048576,MATCH(Kasse!R$5,Bestellungen!$A$5:$X$5,0),0))=FALSE,SUMIF(Kalkulation!$A$6:$A$40,Kasse!R$5&amp;"*",Kalkulation!$C$6:$C$40)*VLOOKUP($A208,Bestellungen!$6:$1048576,MATCH(Kasse!R$5,Bestellungen!$A$5:$X$5,0),0),"")</f>
        <v/>
      </c>
      <c r="S208" s="26" t="str">
        <f>IF(ISERROR(VLOOKUP($A208,Bestellungen!$6:$1048576,MATCH(Kasse!S$5,Bestellungen!$A$5:$X$5,0),0))=FALSE,SUMIF(Kalkulation!$A$6:$A$40,Kasse!S$5&amp;"*",Kalkulation!$C$6:$C$40)*VLOOKUP($A208,Bestellungen!$6:$1048576,MATCH(Kasse!S$5,Bestellungen!$A$5:$X$5,0),0),"")</f>
        <v/>
      </c>
      <c r="T208" s="26" t="str">
        <f>IF(ISERROR(VLOOKUP($A208,Bestellungen!$6:$1048576,MATCH(Kasse!T$5,Bestellungen!$A$5:$X$5,0),0))=FALSE,SUMIF(Kalkulation!$A$6:$A$40,Kasse!T$5&amp;"*",Kalkulation!$C$6:$C$40)*VLOOKUP($A208,Bestellungen!$6:$1048576,MATCH(Kasse!T$5,Bestellungen!$A$5:$X$5,0),0),"")</f>
        <v/>
      </c>
      <c r="U208" s="26" t="str">
        <f t="shared" si="6"/>
        <v/>
      </c>
      <c r="W208" s="26" t="str">
        <f t="shared" si="7"/>
        <v/>
      </c>
      <c r="X208" s="26"/>
      <c r="Y208" s="26"/>
      <c r="Z208" s="26"/>
      <c r="AA208" s="26"/>
    </row>
    <row r="209" spans="1:27" x14ac:dyDescent="0.25">
      <c r="A209" t="str">
        <f>IF(LEN(Bestellungen!$A209)&gt;0,Bestellungen!$A209,"")</f>
        <v/>
      </c>
      <c r="B209" s="26" t="str">
        <f>IF(ISERROR(VLOOKUP($A209,Bestellungen!$6:$1048576,MATCH(Kasse!B$5,Bestellungen!$A$5:$X$5,0),0))=FALSE,SUMIF(Kalkulation!$A$6:$A$40,Kasse!B$5&amp;"*",Kalkulation!$C$6:$C$40)*VLOOKUP($A209,Bestellungen!$6:$1048576,MATCH(Kasse!B$5,Bestellungen!$A$5:$X$5,0),0),"")</f>
        <v/>
      </c>
      <c r="C209" s="26" t="str">
        <f>IF(ISERROR(VLOOKUP($A209,Bestellungen!$6:$1048576,MATCH(Kasse!C$5,Bestellungen!$A$5:$X$5,0),0))=FALSE,SUMIF(Kalkulation!$A$6:$A$40,Kasse!C$5&amp;"*",Kalkulation!$C$6:$C$40)*VLOOKUP($A209,Bestellungen!$6:$1048576,MATCH(Kasse!C$5,Bestellungen!$A$5:$X$5,0),0),"")</f>
        <v/>
      </c>
      <c r="D209" s="26" t="str">
        <f>IF(ISERROR(VLOOKUP($A209,Bestellungen!$6:$1048576,MATCH(Kasse!D$5,Bestellungen!$A$5:$X$5,0),0))=FALSE,SUMIF(Kalkulation!$A$6:$A$40,Kasse!D$5&amp;"*",Kalkulation!$C$6:$C$40)*VLOOKUP($A209,Bestellungen!$6:$1048576,MATCH(Kasse!D$5,Bestellungen!$A$5:$X$5,0),0),"")</f>
        <v/>
      </c>
      <c r="E209" s="26" t="str">
        <f>IF(ISERROR(VLOOKUP($A209,Bestellungen!$6:$1048576,MATCH(Kasse!E$5,Bestellungen!$A$5:$X$5,0),0))=FALSE,SUMIF(Kalkulation!$A$6:$A$40,Kasse!E$5&amp;"*",Kalkulation!$C$6:$C$40)*VLOOKUP($A209,Bestellungen!$6:$1048576,MATCH(Kasse!E$5,Bestellungen!$A$5:$X$5,0),0),"")</f>
        <v/>
      </c>
      <c r="F209" s="26" t="str">
        <f>IF(ISERROR(VLOOKUP($A209,Bestellungen!$6:$1048576,MATCH(Kasse!F$5,Bestellungen!$A$5:$X$5,0),0))=FALSE,SUMIF(Kalkulation!$A$6:$A$40,Kasse!F$5&amp;"*",Kalkulation!$C$6:$C$40)*VLOOKUP($A209,Bestellungen!$6:$1048576,MATCH(Kasse!F$5,Bestellungen!$A$5:$X$5,0),0),"")</f>
        <v/>
      </c>
      <c r="G209" s="26" t="str">
        <f>IF(ISERROR(VLOOKUP($A209,Bestellungen!$6:$1048576,MATCH(Kasse!G$5,Bestellungen!$A$5:$X$5,0),0))=FALSE,SUMIF(Kalkulation!$A$6:$A$40,Kasse!G$5&amp;"*",Kalkulation!$C$6:$C$40)*VLOOKUP($A209,Bestellungen!$6:$1048576,MATCH(Kasse!G$5,Bestellungen!$A$5:$X$5,0),0),"")</f>
        <v/>
      </c>
      <c r="H209" s="26" t="str">
        <f>IF(ISERROR(VLOOKUP($A209,Bestellungen!$6:$1048576,MATCH(Kasse!H$5,Bestellungen!$A$5:$X$5,0),0))=FALSE,SUMIF(Kalkulation!$A$6:$A$40,Kasse!H$5&amp;"*",Kalkulation!$C$6:$C$40)*VLOOKUP($A209,Bestellungen!$6:$1048576,MATCH(Kasse!H$5,Bestellungen!$A$5:$X$5,0),0),"")</f>
        <v/>
      </c>
      <c r="I209" s="26" t="str">
        <f>IF(ISERROR(VLOOKUP($A209,Bestellungen!$6:$1048576,MATCH(Kasse!I$5,Bestellungen!$A$5:$X$5,0),0))=FALSE,SUMIF(Kalkulation!$A$6:$A$40,Kasse!I$5&amp;"*",Kalkulation!$C$6:$C$40)*VLOOKUP($A209,Bestellungen!$6:$1048576,MATCH(Kasse!I$5,Bestellungen!$A$5:$X$5,0),0),"")</f>
        <v/>
      </c>
      <c r="J209" s="26" t="str">
        <f>IF(ISERROR(VLOOKUP($A209,Bestellungen!$6:$1048576,MATCH(Kasse!J$5,Bestellungen!$A$5:$X$5,0),0))=FALSE,SUMIF(Kalkulation!$A$6:$A$40,Kasse!J$5&amp;"*",Kalkulation!$C$6:$C$40)*VLOOKUP($A209,Bestellungen!$6:$1048576,MATCH(Kasse!J$5,Bestellungen!$A$5:$X$5,0),0),"")</f>
        <v/>
      </c>
      <c r="K209" s="26" t="str">
        <f>IF(ISERROR(VLOOKUP($A209,Bestellungen!$6:$1048576,MATCH(Kasse!K$5,Bestellungen!$A$5:$X$5,0),0))=FALSE,SUMIF(Kalkulation!$A$6:$A$40,Kasse!K$5&amp;"*",Kalkulation!$C$6:$C$40)*VLOOKUP($A209,Bestellungen!$6:$1048576,MATCH(Kasse!K$5,Bestellungen!$A$5:$X$5,0),0),"")</f>
        <v/>
      </c>
      <c r="L209" s="26" t="str">
        <f>IF(ISERROR(VLOOKUP($A209,Bestellungen!$6:$1048576,MATCH(Kasse!L$5,Bestellungen!$A$5:$X$5,0),0))=FALSE,SUMIF(Kalkulation!$A$6:$A$40,Kasse!L$5&amp;"*",Kalkulation!$C$6:$C$40)*VLOOKUP($A209,Bestellungen!$6:$1048576,MATCH(Kasse!L$5,Bestellungen!$A$5:$X$5,0),0),"")</f>
        <v/>
      </c>
      <c r="M209" s="26" t="str">
        <f>IF(ISERROR(VLOOKUP($A209,Bestellungen!$6:$1048576,MATCH(Kasse!M$5,Bestellungen!$A$5:$X$5,0),0))=FALSE,SUMIF(Kalkulation!$A$6:$A$40,Kasse!M$5&amp;"*",Kalkulation!$C$6:$C$40)*VLOOKUP($A209,Bestellungen!$6:$1048576,MATCH(Kasse!M$5,Bestellungen!$A$5:$X$5,0),0),"")</f>
        <v/>
      </c>
      <c r="N209" s="26" t="str">
        <f>IF(ISERROR(VLOOKUP($A209,Bestellungen!$6:$1048576,MATCH(Kasse!N$5,Bestellungen!$A$5:$X$5,0),0))=FALSE,SUMIF(Kalkulation!$A$6:$A$40,Kasse!N$5&amp;"*",Kalkulation!$C$6:$C$40)*VLOOKUP($A209,Bestellungen!$6:$1048576,MATCH(Kasse!N$5,Bestellungen!$A$5:$X$5,0),0),"")</f>
        <v/>
      </c>
      <c r="O209" s="26" t="str">
        <f>IF(ISERROR(VLOOKUP($A209,Bestellungen!$6:$1048576,MATCH(Kasse!O$5,Bestellungen!$A$5:$X$5,0),0))=FALSE,SUMIF(Kalkulation!$A$6:$A$40,Kasse!O$5&amp;"*",Kalkulation!$C$6:$C$40)*VLOOKUP($A209,Bestellungen!$6:$1048576,MATCH(Kasse!O$5,Bestellungen!$A$5:$X$5,0),0),"")</f>
        <v/>
      </c>
      <c r="P209" s="26" t="str">
        <f>IF(ISERROR(VLOOKUP($A209,Bestellungen!$6:$1048576,MATCH(Kasse!P$5,Bestellungen!$A$5:$X$5,0),0))=FALSE,SUMIF(Kalkulation!$A$6:$A$40,Kasse!P$5&amp;"*",Kalkulation!$C$6:$C$40)*VLOOKUP($A209,Bestellungen!$6:$1048576,MATCH(Kasse!P$5,Bestellungen!$A$5:$X$5,0),0),"")</f>
        <v/>
      </c>
      <c r="Q209" s="26" t="str">
        <f>IF(ISERROR(VLOOKUP($A209,Bestellungen!$6:$1048576,MATCH(Kasse!Q$5,Bestellungen!$A$5:$X$5,0),0))=FALSE,SUMIF(Kalkulation!$A$6:$A$40,Kasse!Q$5&amp;"*",Kalkulation!$C$6:$C$40)*VLOOKUP($A209,Bestellungen!$6:$1048576,MATCH(Kasse!Q$5,Bestellungen!$A$5:$X$5,0),0),"")</f>
        <v/>
      </c>
      <c r="R209" s="26" t="str">
        <f>IF(ISERROR(VLOOKUP($A209,Bestellungen!$6:$1048576,MATCH(Kasse!R$5,Bestellungen!$A$5:$X$5,0),0))=FALSE,SUMIF(Kalkulation!$A$6:$A$40,Kasse!R$5&amp;"*",Kalkulation!$C$6:$C$40)*VLOOKUP($A209,Bestellungen!$6:$1048576,MATCH(Kasse!R$5,Bestellungen!$A$5:$X$5,0),0),"")</f>
        <v/>
      </c>
      <c r="S209" s="26" t="str">
        <f>IF(ISERROR(VLOOKUP($A209,Bestellungen!$6:$1048576,MATCH(Kasse!S$5,Bestellungen!$A$5:$X$5,0),0))=FALSE,SUMIF(Kalkulation!$A$6:$A$40,Kasse!S$5&amp;"*",Kalkulation!$C$6:$C$40)*VLOOKUP($A209,Bestellungen!$6:$1048576,MATCH(Kasse!S$5,Bestellungen!$A$5:$X$5,0),0),"")</f>
        <v/>
      </c>
      <c r="T209" s="26" t="str">
        <f>IF(ISERROR(VLOOKUP($A209,Bestellungen!$6:$1048576,MATCH(Kasse!T$5,Bestellungen!$A$5:$X$5,0),0))=FALSE,SUMIF(Kalkulation!$A$6:$A$40,Kasse!T$5&amp;"*",Kalkulation!$C$6:$C$40)*VLOOKUP($A209,Bestellungen!$6:$1048576,MATCH(Kasse!T$5,Bestellungen!$A$5:$X$5,0),0),"")</f>
        <v/>
      </c>
      <c r="U209" s="26" t="str">
        <f t="shared" si="6"/>
        <v/>
      </c>
      <c r="W209" s="26" t="str">
        <f t="shared" si="7"/>
        <v/>
      </c>
      <c r="X209" s="26"/>
      <c r="Y209" s="26"/>
      <c r="Z209" s="26"/>
      <c r="AA209" s="26"/>
    </row>
    <row r="210" spans="1:27" x14ac:dyDescent="0.25">
      <c r="A210" t="str">
        <f>IF(LEN(Bestellungen!$A210)&gt;0,Bestellungen!$A210,"")</f>
        <v/>
      </c>
      <c r="B210" s="26" t="str">
        <f>IF(ISERROR(VLOOKUP($A210,Bestellungen!$6:$1048576,MATCH(Kasse!B$5,Bestellungen!$A$5:$X$5,0),0))=FALSE,SUMIF(Kalkulation!$A$6:$A$40,Kasse!B$5&amp;"*",Kalkulation!$C$6:$C$40)*VLOOKUP($A210,Bestellungen!$6:$1048576,MATCH(Kasse!B$5,Bestellungen!$A$5:$X$5,0),0),"")</f>
        <v/>
      </c>
      <c r="C210" s="26" t="str">
        <f>IF(ISERROR(VLOOKUP($A210,Bestellungen!$6:$1048576,MATCH(Kasse!C$5,Bestellungen!$A$5:$X$5,0),0))=FALSE,SUMIF(Kalkulation!$A$6:$A$40,Kasse!C$5&amp;"*",Kalkulation!$C$6:$C$40)*VLOOKUP($A210,Bestellungen!$6:$1048576,MATCH(Kasse!C$5,Bestellungen!$A$5:$X$5,0),0),"")</f>
        <v/>
      </c>
      <c r="D210" s="26" t="str">
        <f>IF(ISERROR(VLOOKUP($A210,Bestellungen!$6:$1048576,MATCH(Kasse!D$5,Bestellungen!$A$5:$X$5,0),0))=FALSE,SUMIF(Kalkulation!$A$6:$A$40,Kasse!D$5&amp;"*",Kalkulation!$C$6:$C$40)*VLOOKUP($A210,Bestellungen!$6:$1048576,MATCH(Kasse!D$5,Bestellungen!$A$5:$X$5,0),0),"")</f>
        <v/>
      </c>
      <c r="E210" s="26" t="str">
        <f>IF(ISERROR(VLOOKUP($A210,Bestellungen!$6:$1048576,MATCH(Kasse!E$5,Bestellungen!$A$5:$X$5,0),0))=FALSE,SUMIF(Kalkulation!$A$6:$A$40,Kasse!E$5&amp;"*",Kalkulation!$C$6:$C$40)*VLOOKUP($A210,Bestellungen!$6:$1048576,MATCH(Kasse!E$5,Bestellungen!$A$5:$X$5,0),0),"")</f>
        <v/>
      </c>
      <c r="F210" s="26" t="str">
        <f>IF(ISERROR(VLOOKUP($A210,Bestellungen!$6:$1048576,MATCH(Kasse!F$5,Bestellungen!$A$5:$X$5,0),0))=FALSE,SUMIF(Kalkulation!$A$6:$A$40,Kasse!F$5&amp;"*",Kalkulation!$C$6:$C$40)*VLOOKUP($A210,Bestellungen!$6:$1048576,MATCH(Kasse!F$5,Bestellungen!$A$5:$X$5,0),0),"")</f>
        <v/>
      </c>
      <c r="G210" s="26" t="str">
        <f>IF(ISERROR(VLOOKUP($A210,Bestellungen!$6:$1048576,MATCH(Kasse!G$5,Bestellungen!$A$5:$X$5,0),0))=FALSE,SUMIF(Kalkulation!$A$6:$A$40,Kasse!G$5&amp;"*",Kalkulation!$C$6:$C$40)*VLOOKUP($A210,Bestellungen!$6:$1048576,MATCH(Kasse!G$5,Bestellungen!$A$5:$X$5,0),0),"")</f>
        <v/>
      </c>
      <c r="H210" s="26" t="str">
        <f>IF(ISERROR(VLOOKUP($A210,Bestellungen!$6:$1048576,MATCH(Kasse!H$5,Bestellungen!$A$5:$X$5,0),0))=FALSE,SUMIF(Kalkulation!$A$6:$A$40,Kasse!H$5&amp;"*",Kalkulation!$C$6:$C$40)*VLOOKUP($A210,Bestellungen!$6:$1048576,MATCH(Kasse!H$5,Bestellungen!$A$5:$X$5,0),0),"")</f>
        <v/>
      </c>
      <c r="I210" s="26" t="str">
        <f>IF(ISERROR(VLOOKUP($A210,Bestellungen!$6:$1048576,MATCH(Kasse!I$5,Bestellungen!$A$5:$X$5,0),0))=FALSE,SUMIF(Kalkulation!$A$6:$A$40,Kasse!I$5&amp;"*",Kalkulation!$C$6:$C$40)*VLOOKUP($A210,Bestellungen!$6:$1048576,MATCH(Kasse!I$5,Bestellungen!$A$5:$X$5,0),0),"")</f>
        <v/>
      </c>
      <c r="J210" s="26" t="str">
        <f>IF(ISERROR(VLOOKUP($A210,Bestellungen!$6:$1048576,MATCH(Kasse!J$5,Bestellungen!$A$5:$X$5,0),0))=FALSE,SUMIF(Kalkulation!$A$6:$A$40,Kasse!J$5&amp;"*",Kalkulation!$C$6:$C$40)*VLOOKUP($A210,Bestellungen!$6:$1048576,MATCH(Kasse!J$5,Bestellungen!$A$5:$X$5,0),0),"")</f>
        <v/>
      </c>
      <c r="K210" s="26" t="str">
        <f>IF(ISERROR(VLOOKUP($A210,Bestellungen!$6:$1048576,MATCH(Kasse!K$5,Bestellungen!$A$5:$X$5,0),0))=FALSE,SUMIF(Kalkulation!$A$6:$A$40,Kasse!K$5&amp;"*",Kalkulation!$C$6:$C$40)*VLOOKUP($A210,Bestellungen!$6:$1048576,MATCH(Kasse!K$5,Bestellungen!$A$5:$X$5,0),0),"")</f>
        <v/>
      </c>
      <c r="L210" s="26" t="str">
        <f>IF(ISERROR(VLOOKUP($A210,Bestellungen!$6:$1048576,MATCH(Kasse!L$5,Bestellungen!$A$5:$X$5,0),0))=FALSE,SUMIF(Kalkulation!$A$6:$A$40,Kasse!L$5&amp;"*",Kalkulation!$C$6:$C$40)*VLOOKUP($A210,Bestellungen!$6:$1048576,MATCH(Kasse!L$5,Bestellungen!$A$5:$X$5,0),0),"")</f>
        <v/>
      </c>
      <c r="M210" s="26" t="str">
        <f>IF(ISERROR(VLOOKUP($A210,Bestellungen!$6:$1048576,MATCH(Kasse!M$5,Bestellungen!$A$5:$X$5,0),0))=FALSE,SUMIF(Kalkulation!$A$6:$A$40,Kasse!M$5&amp;"*",Kalkulation!$C$6:$C$40)*VLOOKUP($A210,Bestellungen!$6:$1048576,MATCH(Kasse!M$5,Bestellungen!$A$5:$X$5,0),0),"")</f>
        <v/>
      </c>
      <c r="N210" s="26" t="str">
        <f>IF(ISERROR(VLOOKUP($A210,Bestellungen!$6:$1048576,MATCH(Kasse!N$5,Bestellungen!$A$5:$X$5,0),0))=FALSE,SUMIF(Kalkulation!$A$6:$A$40,Kasse!N$5&amp;"*",Kalkulation!$C$6:$C$40)*VLOOKUP($A210,Bestellungen!$6:$1048576,MATCH(Kasse!N$5,Bestellungen!$A$5:$X$5,0),0),"")</f>
        <v/>
      </c>
      <c r="O210" s="26" t="str">
        <f>IF(ISERROR(VLOOKUP($A210,Bestellungen!$6:$1048576,MATCH(Kasse!O$5,Bestellungen!$A$5:$X$5,0),0))=FALSE,SUMIF(Kalkulation!$A$6:$A$40,Kasse!O$5&amp;"*",Kalkulation!$C$6:$C$40)*VLOOKUP($A210,Bestellungen!$6:$1048576,MATCH(Kasse!O$5,Bestellungen!$A$5:$X$5,0),0),"")</f>
        <v/>
      </c>
      <c r="P210" s="26" t="str">
        <f>IF(ISERROR(VLOOKUP($A210,Bestellungen!$6:$1048576,MATCH(Kasse!P$5,Bestellungen!$A$5:$X$5,0),0))=FALSE,SUMIF(Kalkulation!$A$6:$A$40,Kasse!P$5&amp;"*",Kalkulation!$C$6:$C$40)*VLOOKUP($A210,Bestellungen!$6:$1048576,MATCH(Kasse!P$5,Bestellungen!$A$5:$X$5,0),0),"")</f>
        <v/>
      </c>
      <c r="Q210" s="26" t="str">
        <f>IF(ISERROR(VLOOKUP($A210,Bestellungen!$6:$1048576,MATCH(Kasse!Q$5,Bestellungen!$A$5:$X$5,0),0))=FALSE,SUMIF(Kalkulation!$A$6:$A$40,Kasse!Q$5&amp;"*",Kalkulation!$C$6:$C$40)*VLOOKUP($A210,Bestellungen!$6:$1048576,MATCH(Kasse!Q$5,Bestellungen!$A$5:$X$5,0),0),"")</f>
        <v/>
      </c>
      <c r="R210" s="26" t="str">
        <f>IF(ISERROR(VLOOKUP($A210,Bestellungen!$6:$1048576,MATCH(Kasse!R$5,Bestellungen!$A$5:$X$5,0),0))=FALSE,SUMIF(Kalkulation!$A$6:$A$40,Kasse!R$5&amp;"*",Kalkulation!$C$6:$C$40)*VLOOKUP($A210,Bestellungen!$6:$1048576,MATCH(Kasse!R$5,Bestellungen!$A$5:$X$5,0),0),"")</f>
        <v/>
      </c>
      <c r="S210" s="26" t="str">
        <f>IF(ISERROR(VLOOKUP($A210,Bestellungen!$6:$1048576,MATCH(Kasse!S$5,Bestellungen!$A$5:$X$5,0),0))=FALSE,SUMIF(Kalkulation!$A$6:$A$40,Kasse!S$5&amp;"*",Kalkulation!$C$6:$C$40)*VLOOKUP($A210,Bestellungen!$6:$1048576,MATCH(Kasse!S$5,Bestellungen!$A$5:$X$5,0),0),"")</f>
        <v/>
      </c>
      <c r="T210" s="26" t="str">
        <f>IF(ISERROR(VLOOKUP($A210,Bestellungen!$6:$1048576,MATCH(Kasse!T$5,Bestellungen!$A$5:$X$5,0),0))=FALSE,SUMIF(Kalkulation!$A$6:$A$40,Kasse!T$5&amp;"*",Kalkulation!$C$6:$C$40)*VLOOKUP($A210,Bestellungen!$6:$1048576,MATCH(Kasse!T$5,Bestellungen!$A$5:$X$5,0),0),"")</f>
        <v/>
      </c>
      <c r="U210" s="26" t="str">
        <f t="shared" si="6"/>
        <v/>
      </c>
      <c r="W210" s="26" t="str">
        <f t="shared" si="7"/>
        <v/>
      </c>
      <c r="X210" s="26"/>
      <c r="Y210" s="26"/>
      <c r="Z210" s="26"/>
      <c r="AA210" s="26"/>
    </row>
    <row r="211" spans="1:27" x14ac:dyDescent="0.25">
      <c r="A211" t="str">
        <f>IF(LEN(Bestellungen!$A211)&gt;0,Bestellungen!$A211,"")</f>
        <v/>
      </c>
      <c r="B211" s="26" t="str">
        <f>IF(ISERROR(VLOOKUP($A211,Bestellungen!$6:$1048576,MATCH(Kasse!B$5,Bestellungen!$A$5:$X$5,0),0))=FALSE,SUMIF(Kalkulation!$A$6:$A$40,Kasse!B$5&amp;"*",Kalkulation!$C$6:$C$40)*VLOOKUP($A211,Bestellungen!$6:$1048576,MATCH(Kasse!B$5,Bestellungen!$A$5:$X$5,0),0),"")</f>
        <v/>
      </c>
      <c r="C211" s="26" t="str">
        <f>IF(ISERROR(VLOOKUP($A211,Bestellungen!$6:$1048576,MATCH(Kasse!C$5,Bestellungen!$A$5:$X$5,0),0))=FALSE,SUMIF(Kalkulation!$A$6:$A$40,Kasse!C$5&amp;"*",Kalkulation!$C$6:$C$40)*VLOOKUP($A211,Bestellungen!$6:$1048576,MATCH(Kasse!C$5,Bestellungen!$A$5:$X$5,0),0),"")</f>
        <v/>
      </c>
      <c r="D211" s="26" t="str">
        <f>IF(ISERROR(VLOOKUP($A211,Bestellungen!$6:$1048576,MATCH(Kasse!D$5,Bestellungen!$A$5:$X$5,0),0))=FALSE,SUMIF(Kalkulation!$A$6:$A$40,Kasse!D$5&amp;"*",Kalkulation!$C$6:$C$40)*VLOOKUP($A211,Bestellungen!$6:$1048576,MATCH(Kasse!D$5,Bestellungen!$A$5:$X$5,0),0),"")</f>
        <v/>
      </c>
      <c r="E211" s="26" t="str">
        <f>IF(ISERROR(VLOOKUP($A211,Bestellungen!$6:$1048576,MATCH(Kasse!E$5,Bestellungen!$A$5:$X$5,0),0))=FALSE,SUMIF(Kalkulation!$A$6:$A$40,Kasse!E$5&amp;"*",Kalkulation!$C$6:$C$40)*VLOOKUP($A211,Bestellungen!$6:$1048576,MATCH(Kasse!E$5,Bestellungen!$A$5:$X$5,0),0),"")</f>
        <v/>
      </c>
      <c r="F211" s="26" t="str">
        <f>IF(ISERROR(VLOOKUP($A211,Bestellungen!$6:$1048576,MATCH(Kasse!F$5,Bestellungen!$A$5:$X$5,0),0))=FALSE,SUMIF(Kalkulation!$A$6:$A$40,Kasse!F$5&amp;"*",Kalkulation!$C$6:$C$40)*VLOOKUP($A211,Bestellungen!$6:$1048576,MATCH(Kasse!F$5,Bestellungen!$A$5:$X$5,0),0),"")</f>
        <v/>
      </c>
      <c r="G211" s="26" t="str">
        <f>IF(ISERROR(VLOOKUP($A211,Bestellungen!$6:$1048576,MATCH(Kasse!G$5,Bestellungen!$A$5:$X$5,0),0))=FALSE,SUMIF(Kalkulation!$A$6:$A$40,Kasse!G$5&amp;"*",Kalkulation!$C$6:$C$40)*VLOOKUP($A211,Bestellungen!$6:$1048576,MATCH(Kasse!G$5,Bestellungen!$A$5:$X$5,0),0),"")</f>
        <v/>
      </c>
      <c r="H211" s="26" t="str">
        <f>IF(ISERROR(VLOOKUP($A211,Bestellungen!$6:$1048576,MATCH(Kasse!H$5,Bestellungen!$A$5:$X$5,0),0))=FALSE,SUMIF(Kalkulation!$A$6:$A$40,Kasse!H$5&amp;"*",Kalkulation!$C$6:$C$40)*VLOOKUP($A211,Bestellungen!$6:$1048576,MATCH(Kasse!H$5,Bestellungen!$A$5:$X$5,0),0),"")</f>
        <v/>
      </c>
      <c r="I211" s="26" t="str">
        <f>IF(ISERROR(VLOOKUP($A211,Bestellungen!$6:$1048576,MATCH(Kasse!I$5,Bestellungen!$A$5:$X$5,0),0))=FALSE,SUMIF(Kalkulation!$A$6:$A$40,Kasse!I$5&amp;"*",Kalkulation!$C$6:$C$40)*VLOOKUP($A211,Bestellungen!$6:$1048576,MATCH(Kasse!I$5,Bestellungen!$A$5:$X$5,0),0),"")</f>
        <v/>
      </c>
      <c r="J211" s="26" t="str">
        <f>IF(ISERROR(VLOOKUP($A211,Bestellungen!$6:$1048576,MATCH(Kasse!J$5,Bestellungen!$A$5:$X$5,0),0))=FALSE,SUMIF(Kalkulation!$A$6:$A$40,Kasse!J$5&amp;"*",Kalkulation!$C$6:$C$40)*VLOOKUP($A211,Bestellungen!$6:$1048576,MATCH(Kasse!J$5,Bestellungen!$A$5:$X$5,0),0),"")</f>
        <v/>
      </c>
      <c r="K211" s="26" t="str">
        <f>IF(ISERROR(VLOOKUP($A211,Bestellungen!$6:$1048576,MATCH(Kasse!K$5,Bestellungen!$A$5:$X$5,0),0))=FALSE,SUMIF(Kalkulation!$A$6:$A$40,Kasse!K$5&amp;"*",Kalkulation!$C$6:$C$40)*VLOOKUP($A211,Bestellungen!$6:$1048576,MATCH(Kasse!K$5,Bestellungen!$A$5:$X$5,0),0),"")</f>
        <v/>
      </c>
      <c r="L211" s="26" t="str">
        <f>IF(ISERROR(VLOOKUP($A211,Bestellungen!$6:$1048576,MATCH(Kasse!L$5,Bestellungen!$A$5:$X$5,0),0))=FALSE,SUMIF(Kalkulation!$A$6:$A$40,Kasse!L$5&amp;"*",Kalkulation!$C$6:$C$40)*VLOOKUP($A211,Bestellungen!$6:$1048576,MATCH(Kasse!L$5,Bestellungen!$A$5:$X$5,0),0),"")</f>
        <v/>
      </c>
      <c r="M211" s="26" t="str">
        <f>IF(ISERROR(VLOOKUP($A211,Bestellungen!$6:$1048576,MATCH(Kasse!M$5,Bestellungen!$A$5:$X$5,0),0))=FALSE,SUMIF(Kalkulation!$A$6:$A$40,Kasse!M$5&amp;"*",Kalkulation!$C$6:$C$40)*VLOOKUP($A211,Bestellungen!$6:$1048576,MATCH(Kasse!M$5,Bestellungen!$A$5:$X$5,0),0),"")</f>
        <v/>
      </c>
      <c r="N211" s="26" t="str">
        <f>IF(ISERROR(VLOOKUP($A211,Bestellungen!$6:$1048576,MATCH(Kasse!N$5,Bestellungen!$A$5:$X$5,0),0))=FALSE,SUMIF(Kalkulation!$A$6:$A$40,Kasse!N$5&amp;"*",Kalkulation!$C$6:$C$40)*VLOOKUP($A211,Bestellungen!$6:$1048576,MATCH(Kasse!N$5,Bestellungen!$A$5:$X$5,0),0),"")</f>
        <v/>
      </c>
      <c r="O211" s="26" t="str">
        <f>IF(ISERROR(VLOOKUP($A211,Bestellungen!$6:$1048576,MATCH(Kasse!O$5,Bestellungen!$A$5:$X$5,0),0))=FALSE,SUMIF(Kalkulation!$A$6:$A$40,Kasse!O$5&amp;"*",Kalkulation!$C$6:$C$40)*VLOOKUP($A211,Bestellungen!$6:$1048576,MATCH(Kasse!O$5,Bestellungen!$A$5:$X$5,0),0),"")</f>
        <v/>
      </c>
      <c r="P211" s="26" t="str">
        <f>IF(ISERROR(VLOOKUP($A211,Bestellungen!$6:$1048576,MATCH(Kasse!P$5,Bestellungen!$A$5:$X$5,0),0))=FALSE,SUMIF(Kalkulation!$A$6:$A$40,Kasse!P$5&amp;"*",Kalkulation!$C$6:$C$40)*VLOOKUP($A211,Bestellungen!$6:$1048576,MATCH(Kasse!P$5,Bestellungen!$A$5:$X$5,0),0),"")</f>
        <v/>
      </c>
      <c r="Q211" s="26" t="str">
        <f>IF(ISERROR(VLOOKUP($A211,Bestellungen!$6:$1048576,MATCH(Kasse!Q$5,Bestellungen!$A$5:$X$5,0),0))=FALSE,SUMIF(Kalkulation!$A$6:$A$40,Kasse!Q$5&amp;"*",Kalkulation!$C$6:$C$40)*VLOOKUP($A211,Bestellungen!$6:$1048576,MATCH(Kasse!Q$5,Bestellungen!$A$5:$X$5,0),0),"")</f>
        <v/>
      </c>
      <c r="R211" s="26" t="str">
        <f>IF(ISERROR(VLOOKUP($A211,Bestellungen!$6:$1048576,MATCH(Kasse!R$5,Bestellungen!$A$5:$X$5,0),0))=FALSE,SUMIF(Kalkulation!$A$6:$A$40,Kasse!R$5&amp;"*",Kalkulation!$C$6:$C$40)*VLOOKUP($A211,Bestellungen!$6:$1048576,MATCH(Kasse!R$5,Bestellungen!$A$5:$X$5,0),0),"")</f>
        <v/>
      </c>
      <c r="S211" s="26" t="str">
        <f>IF(ISERROR(VLOOKUP($A211,Bestellungen!$6:$1048576,MATCH(Kasse!S$5,Bestellungen!$A$5:$X$5,0),0))=FALSE,SUMIF(Kalkulation!$A$6:$A$40,Kasse!S$5&amp;"*",Kalkulation!$C$6:$C$40)*VLOOKUP($A211,Bestellungen!$6:$1048576,MATCH(Kasse!S$5,Bestellungen!$A$5:$X$5,0),0),"")</f>
        <v/>
      </c>
      <c r="T211" s="26" t="str">
        <f>IF(ISERROR(VLOOKUP($A211,Bestellungen!$6:$1048576,MATCH(Kasse!T$5,Bestellungen!$A$5:$X$5,0),0))=FALSE,SUMIF(Kalkulation!$A$6:$A$40,Kasse!T$5&amp;"*",Kalkulation!$C$6:$C$40)*VLOOKUP($A211,Bestellungen!$6:$1048576,MATCH(Kasse!T$5,Bestellungen!$A$5:$X$5,0),0),"")</f>
        <v/>
      </c>
      <c r="U211" s="26" t="str">
        <f t="shared" si="6"/>
        <v/>
      </c>
      <c r="W211" s="26" t="str">
        <f t="shared" si="7"/>
        <v/>
      </c>
      <c r="X211" s="26"/>
      <c r="Y211" s="26"/>
      <c r="Z211" s="26"/>
      <c r="AA211" s="26"/>
    </row>
    <row r="212" spans="1:27" x14ac:dyDescent="0.25">
      <c r="A212" t="str">
        <f>IF(LEN(Bestellungen!$A212)&gt;0,Bestellungen!$A212,"")</f>
        <v/>
      </c>
      <c r="B212" s="26" t="str">
        <f>IF(ISERROR(VLOOKUP($A212,Bestellungen!$6:$1048576,MATCH(Kasse!B$5,Bestellungen!$A$5:$X$5,0),0))=FALSE,SUMIF(Kalkulation!$A$6:$A$40,Kasse!B$5&amp;"*",Kalkulation!$C$6:$C$40)*VLOOKUP($A212,Bestellungen!$6:$1048576,MATCH(Kasse!B$5,Bestellungen!$A$5:$X$5,0),0),"")</f>
        <v/>
      </c>
      <c r="C212" s="26" t="str">
        <f>IF(ISERROR(VLOOKUP($A212,Bestellungen!$6:$1048576,MATCH(Kasse!C$5,Bestellungen!$A$5:$X$5,0),0))=FALSE,SUMIF(Kalkulation!$A$6:$A$40,Kasse!C$5&amp;"*",Kalkulation!$C$6:$C$40)*VLOOKUP($A212,Bestellungen!$6:$1048576,MATCH(Kasse!C$5,Bestellungen!$A$5:$X$5,0),0),"")</f>
        <v/>
      </c>
      <c r="D212" s="26" t="str">
        <f>IF(ISERROR(VLOOKUP($A212,Bestellungen!$6:$1048576,MATCH(Kasse!D$5,Bestellungen!$A$5:$X$5,0),0))=FALSE,SUMIF(Kalkulation!$A$6:$A$40,Kasse!D$5&amp;"*",Kalkulation!$C$6:$C$40)*VLOOKUP($A212,Bestellungen!$6:$1048576,MATCH(Kasse!D$5,Bestellungen!$A$5:$X$5,0),0),"")</f>
        <v/>
      </c>
      <c r="E212" s="26" t="str">
        <f>IF(ISERROR(VLOOKUP($A212,Bestellungen!$6:$1048576,MATCH(Kasse!E$5,Bestellungen!$A$5:$X$5,0),0))=FALSE,SUMIF(Kalkulation!$A$6:$A$40,Kasse!E$5&amp;"*",Kalkulation!$C$6:$C$40)*VLOOKUP($A212,Bestellungen!$6:$1048576,MATCH(Kasse!E$5,Bestellungen!$A$5:$X$5,0),0),"")</f>
        <v/>
      </c>
      <c r="F212" s="26" t="str">
        <f>IF(ISERROR(VLOOKUP($A212,Bestellungen!$6:$1048576,MATCH(Kasse!F$5,Bestellungen!$A$5:$X$5,0),0))=FALSE,SUMIF(Kalkulation!$A$6:$A$40,Kasse!F$5&amp;"*",Kalkulation!$C$6:$C$40)*VLOOKUP($A212,Bestellungen!$6:$1048576,MATCH(Kasse!F$5,Bestellungen!$A$5:$X$5,0),0),"")</f>
        <v/>
      </c>
      <c r="G212" s="26" t="str">
        <f>IF(ISERROR(VLOOKUP($A212,Bestellungen!$6:$1048576,MATCH(Kasse!G$5,Bestellungen!$A$5:$X$5,0),0))=FALSE,SUMIF(Kalkulation!$A$6:$A$40,Kasse!G$5&amp;"*",Kalkulation!$C$6:$C$40)*VLOOKUP($A212,Bestellungen!$6:$1048576,MATCH(Kasse!G$5,Bestellungen!$A$5:$X$5,0),0),"")</f>
        <v/>
      </c>
      <c r="H212" s="26" t="str">
        <f>IF(ISERROR(VLOOKUP($A212,Bestellungen!$6:$1048576,MATCH(Kasse!H$5,Bestellungen!$A$5:$X$5,0),0))=FALSE,SUMIF(Kalkulation!$A$6:$A$40,Kasse!H$5&amp;"*",Kalkulation!$C$6:$C$40)*VLOOKUP($A212,Bestellungen!$6:$1048576,MATCH(Kasse!H$5,Bestellungen!$A$5:$X$5,0),0),"")</f>
        <v/>
      </c>
      <c r="I212" s="26" t="str">
        <f>IF(ISERROR(VLOOKUP($A212,Bestellungen!$6:$1048576,MATCH(Kasse!I$5,Bestellungen!$A$5:$X$5,0),0))=FALSE,SUMIF(Kalkulation!$A$6:$A$40,Kasse!I$5&amp;"*",Kalkulation!$C$6:$C$40)*VLOOKUP($A212,Bestellungen!$6:$1048576,MATCH(Kasse!I$5,Bestellungen!$A$5:$X$5,0),0),"")</f>
        <v/>
      </c>
      <c r="J212" s="26" t="str">
        <f>IF(ISERROR(VLOOKUP($A212,Bestellungen!$6:$1048576,MATCH(Kasse!J$5,Bestellungen!$A$5:$X$5,0),0))=FALSE,SUMIF(Kalkulation!$A$6:$A$40,Kasse!J$5&amp;"*",Kalkulation!$C$6:$C$40)*VLOOKUP($A212,Bestellungen!$6:$1048576,MATCH(Kasse!J$5,Bestellungen!$A$5:$X$5,0),0),"")</f>
        <v/>
      </c>
      <c r="K212" s="26" t="str">
        <f>IF(ISERROR(VLOOKUP($A212,Bestellungen!$6:$1048576,MATCH(Kasse!K$5,Bestellungen!$A$5:$X$5,0),0))=FALSE,SUMIF(Kalkulation!$A$6:$A$40,Kasse!K$5&amp;"*",Kalkulation!$C$6:$C$40)*VLOOKUP($A212,Bestellungen!$6:$1048576,MATCH(Kasse!K$5,Bestellungen!$A$5:$X$5,0),0),"")</f>
        <v/>
      </c>
      <c r="L212" s="26" t="str">
        <f>IF(ISERROR(VLOOKUP($A212,Bestellungen!$6:$1048576,MATCH(Kasse!L$5,Bestellungen!$A$5:$X$5,0),0))=FALSE,SUMIF(Kalkulation!$A$6:$A$40,Kasse!L$5&amp;"*",Kalkulation!$C$6:$C$40)*VLOOKUP($A212,Bestellungen!$6:$1048576,MATCH(Kasse!L$5,Bestellungen!$A$5:$X$5,0),0),"")</f>
        <v/>
      </c>
      <c r="M212" s="26" t="str">
        <f>IF(ISERROR(VLOOKUP($A212,Bestellungen!$6:$1048576,MATCH(Kasse!M$5,Bestellungen!$A$5:$X$5,0),0))=FALSE,SUMIF(Kalkulation!$A$6:$A$40,Kasse!M$5&amp;"*",Kalkulation!$C$6:$C$40)*VLOOKUP($A212,Bestellungen!$6:$1048576,MATCH(Kasse!M$5,Bestellungen!$A$5:$X$5,0),0),"")</f>
        <v/>
      </c>
      <c r="N212" s="26" t="str">
        <f>IF(ISERROR(VLOOKUP($A212,Bestellungen!$6:$1048576,MATCH(Kasse!N$5,Bestellungen!$A$5:$X$5,0),0))=FALSE,SUMIF(Kalkulation!$A$6:$A$40,Kasse!N$5&amp;"*",Kalkulation!$C$6:$C$40)*VLOOKUP($A212,Bestellungen!$6:$1048576,MATCH(Kasse!N$5,Bestellungen!$A$5:$X$5,0),0),"")</f>
        <v/>
      </c>
      <c r="O212" s="26" t="str">
        <f>IF(ISERROR(VLOOKUP($A212,Bestellungen!$6:$1048576,MATCH(Kasse!O$5,Bestellungen!$A$5:$X$5,0),0))=FALSE,SUMIF(Kalkulation!$A$6:$A$40,Kasse!O$5&amp;"*",Kalkulation!$C$6:$C$40)*VLOOKUP($A212,Bestellungen!$6:$1048576,MATCH(Kasse!O$5,Bestellungen!$A$5:$X$5,0),0),"")</f>
        <v/>
      </c>
      <c r="P212" s="26" t="str">
        <f>IF(ISERROR(VLOOKUP($A212,Bestellungen!$6:$1048576,MATCH(Kasse!P$5,Bestellungen!$A$5:$X$5,0),0))=FALSE,SUMIF(Kalkulation!$A$6:$A$40,Kasse!P$5&amp;"*",Kalkulation!$C$6:$C$40)*VLOOKUP($A212,Bestellungen!$6:$1048576,MATCH(Kasse!P$5,Bestellungen!$A$5:$X$5,0),0),"")</f>
        <v/>
      </c>
      <c r="Q212" s="26" t="str">
        <f>IF(ISERROR(VLOOKUP($A212,Bestellungen!$6:$1048576,MATCH(Kasse!Q$5,Bestellungen!$A$5:$X$5,0),0))=FALSE,SUMIF(Kalkulation!$A$6:$A$40,Kasse!Q$5&amp;"*",Kalkulation!$C$6:$C$40)*VLOOKUP($A212,Bestellungen!$6:$1048576,MATCH(Kasse!Q$5,Bestellungen!$A$5:$X$5,0),0),"")</f>
        <v/>
      </c>
      <c r="R212" s="26" t="str">
        <f>IF(ISERROR(VLOOKUP($A212,Bestellungen!$6:$1048576,MATCH(Kasse!R$5,Bestellungen!$A$5:$X$5,0),0))=FALSE,SUMIF(Kalkulation!$A$6:$A$40,Kasse!R$5&amp;"*",Kalkulation!$C$6:$C$40)*VLOOKUP($A212,Bestellungen!$6:$1048576,MATCH(Kasse!R$5,Bestellungen!$A$5:$X$5,0),0),"")</f>
        <v/>
      </c>
      <c r="S212" s="26" t="str">
        <f>IF(ISERROR(VLOOKUP($A212,Bestellungen!$6:$1048576,MATCH(Kasse!S$5,Bestellungen!$A$5:$X$5,0),0))=FALSE,SUMIF(Kalkulation!$A$6:$A$40,Kasse!S$5&amp;"*",Kalkulation!$C$6:$C$40)*VLOOKUP($A212,Bestellungen!$6:$1048576,MATCH(Kasse!S$5,Bestellungen!$A$5:$X$5,0),0),"")</f>
        <v/>
      </c>
      <c r="T212" s="26" t="str">
        <f>IF(ISERROR(VLOOKUP($A212,Bestellungen!$6:$1048576,MATCH(Kasse!T$5,Bestellungen!$A$5:$X$5,0),0))=FALSE,SUMIF(Kalkulation!$A$6:$A$40,Kasse!T$5&amp;"*",Kalkulation!$C$6:$C$40)*VLOOKUP($A212,Bestellungen!$6:$1048576,MATCH(Kasse!T$5,Bestellungen!$A$5:$X$5,0),0),"")</f>
        <v/>
      </c>
      <c r="U212" s="26" t="str">
        <f t="shared" si="6"/>
        <v/>
      </c>
      <c r="W212" s="26" t="str">
        <f t="shared" si="7"/>
        <v/>
      </c>
      <c r="X212" s="26"/>
      <c r="Y212" s="26"/>
      <c r="Z212" s="26"/>
      <c r="AA212" s="26"/>
    </row>
    <row r="213" spans="1:27" x14ac:dyDescent="0.25">
      <c r="A213" t="str">
        <f>IF(LEN(Bestellungen!$A213)&gt;0,Bestellungen!$A213,"")</f>
        <v/>
      </c>
      <c r="B213" s="26" t="str">
        <f>IF(ISERROR(VLOOKUP($A213,Bestellungen!$6:$1048576,MATCH(Kasse!B$5,Bestellungen!$A$5:$X$5,0),0))=FALSE,SUMIF(Kalkulation!$A$6:$A$40,Kasse!B$5&amp;"*",Kalkulation!$C$6:$C$40)*VLOOKUP($A213,Bestellungen!$6:$1048576,MATCH(Kasse!B$5,Bestellungen!$A$5:$X$5,0),0),"")</f>
        <v/>
      </c>
      <c r="C213" s="26" t="str">
        <f>IF(ISERROR(VLOOKUP($A213,Bestellungen!$6:$1048576,MATCH(Kasse!C$5,Bestellungen!$A$5:$X$5,0),0))=FALSE,SUMIF(Kalkulation!$A$6:$A$40,Kasse!C$5&amp;"*",Kalkulation!$C$6:$C$40)*VLOOKUP($A213,Bestellungen!$6:$1048576,MATCH(Kasse!C$5,Bestellungen!$A$5:$X$5,0),0),"")</f>
        <v/>
      </c>
      <c r="D213" s="26" t="str">
        <f>IF(ISERROR(VLOOKUP($A213,Bestellungen!$6:$1048576,MATCH(Kasse!D$5,Bestellungen!$A$5:$X$5,0),0))=FALSE,SUMIF(Kalkulation!$A$6:$A$40,Kasse!D$5&amp;"*",Kalkulation!$C$6:$C$40)*VLOOKUP($A213,Bestellungen!$6:$1048576,MATCH(Kasse!D$5,Bestellungen!$A$5:$X$5,0),0),"")</f>
        <v/>
      </c>
      <c r="E213" s="26" t="str">
        <f>IF(ISERROR(VLOOKUP($A213,Bestellungen!$6:$1048576,MATCH(Kasse!E$5,Bestellungen!$A$5:$X$5,0),0))=FALSE,SUMIF(Kalkulation!$A$6:$A$40,Kasse!E$5&amp;"*",Kalkulation!$C$6:$C$40)*VLOOKUP($A213,Bestellungen!$6:$1048576,MATCH(Kasse!E$5,Bestellungen!$A$5:$X$5,0),0),"")</f>
        <v/>
      </c>
      <c r="F213" s="26" t="str">
        <f>IF(ISERROR(VLOOKUP($A213,Bestellungen!$6:$1048576,MATCH(Kasse!F$5,Bestellungen!$A$5:$X$5,0),0))=FALSE,SUMIF(Kalkulation!$A$6:$A$40,Kasse!F$5&amp;"*",Kalkulation!$C$6:$C$40)*VLOOKUP($A213,Bestellungen!$6:$1048576,MATCH(Kasse!F$5,Bestellungen!$A$5:$X$5,0),0),"")</f>
        <v/>
      </c>
      <c r="G213" s="26" t="str">
        <f>IF(ISERROR(VLOOKUP($A213,Bestellungen!$6:$1048576,MATCH(Kasse!G$5,Bestellungen!$A$5:$X$5,0),0))=FALSE,SUMIF(Kalkulation!$A$6:$A$40,Kasse!G$5&amp;"*",Kalkulation!$C$6:$C$40)*VLOOKUP($A213,Bestellungen!$6:$1048576,MATCH(Kasse!G$5,Bestellungen!$A$5:$X$5,0),0),"")</f>
        <v/>
      </c>
      <c r="H213" s="26" t="str">
        <f>IF(ISERROR(VLOOKUP($A213,Bestellungen!$6:$1048576,MATCH(Kasse!H$5,Bestellungen!$A$5:$X$5,0),0))=FALSE,SUMIF(Kalkulation!$A$6:$A$40,Kasse!H$5&amp;"*",Kalkulation!$C$6:$C$40)*VLOOKUP($A213,Bestellungen!$6:$1048576,MATCH(Kasse!H$5,Bestellungen!$A$5:$X$5,0),0),"")</f>
        <v/>
      </c>
      <c r="I213" s="26" t="str">
        <f>IF(ISERROR(VLOOKUP($A213,Bestellungen!$6:$1048576,MATCH(Kasse!I$5,Bestellungen!$A$5:$X$5,0),0))=FALSE,SUMIF(Kalkulation!$A$6:$A$40,Kasse!I$5&amp;"*",Kalkulation!$C$6:$C$40)*VLOOKUP($A213,Bestellungen!$6:$1048576,MATCH(Kasse!I$5,Bestellungen!$A$5:$X$5,0),0),"")</f>
        <v/>
      </c>
      <c r="J213" s="26" t="str">
        <f>IF(ISERROR(VLOOKUP($A213,Bestellungen!$6:$1048576,MATCH(Kasse!J$5,Bestellungen!$A$5:$X$5,0),0))=FALSE,SUMIF(Kalkulation!$A$6:$A$40,Kasse!J$5&amp;"*",Kalkulation!$C$6:$C$40)*VLOOKUP($A213,Bestellungen!$6:$1048576,MATCH(Kasse!J$5,Bestellungen!$A$5:$X$5,0),0),"")</f>
        <v/>
      </c>
      <c r="K213" s="26" t="str">
        <f>IF(ISERROR(VLOOKUP($A213,Bestellungen!$6:$1048576,MATCH(Kasse!K$5,Bestellungen!$A$5:$X$5,0),0))=FALSE,SUMIF(Kalkulation!$A$6:$A$40,Kasse!K$5&amp;"*",Kalkulation!$C$6:$C$40)*VLOOKUP($A213,Bestellungen!$6:$1048576,MATCH(Kasse!K$5,Bestellungen!$A$5:$X$5,0),0),"")</f>
        <v/>
      </c>
      <c r="L213" s="26" t="str">
        <f>IF(ISERROR(VLOOKUP($A213,Bestellungen!$6:$1048576,MATCH(Kasse!L$5,Bestellungen!$A$5:$X$5,0),0))=FALSE,SUMIF(Kalkulation!$A$6:$A$40,Kasse!L$5&amp;"*",Kalkulation!$C$6:$C$40)*VLOOKUP($A213,Bestellungen!$6:$1048576,MATCH(Kasse!L$5,Bestellungen!$A$5:$X$5,0),0),"")</f>
        <v/>
      </c>
      <c r="M213" s="26" t="str">
        <f>IF(ISERROR(VLOOKUP($A213,Bestellungen!$6:$1048576,MATCH(Kasse!M$5,Bestellungen!$A$5:$X$5,0),0))=FALSE,SUMIF(Kalkulation!$A$6:$A$40,Kasse!M$5&amp;"*",Kalkulation!$C$6:$C$40)*VLOOKUP($A213,Bestellungen!$6:$1048576,MATCH(Kasse!M$5,Bestellungen!$A$5:$X$5,0),0),"")</f>
        <v/>
      </c>
      <c r="N213" s="26" t="str">
        <f>IF(ISERROR(VLOOKUP($A213,Bestellungen!$6:$1048576,MATCH(Kasse!N$5,Bestellungen!$A$5:$X$5,0),0))=FALSE,SUMIF(Kalkulation!$A$6:$A$40,Kasse!N$5&amp;"*",Kalkulation!$C$6:$C$40)*VLOOKUP($A213,Bestellungen!$6:$1048576,MATCH(Kasse!N$5,Bestellungen!$A$5:$X$5,0),0),"")</f>
        <v/>
      </c>
      <c r="O213" s="26" t="str">
        <f>IF(ISERROR(VLOOKUP($A213,Bestellungen!$6:$1048576,MATCH(Kasse!O$5,Bestellungen!$A$5:$X$5,0),0))=FALSE,SUMIF(Kalkulation!$A$6:$A$40,Kasse!O$5&amp;"*",Kalkulation!$C$6:$C$40)*VLOOKUP($A213,Bestellungen!$6:$1048576,MATCH(Kasse!O$5,Bestellungen!$A$5:$X$5,0),0),"")</f>
        <v/>
      </c>
      <c r="P213" s="26" t="str">
        <f>IF(ISERROR(VLOOKUP($A213,Bestellungen!$6:$1048576,MATCH(Kasse!P$5,Bestellungen!$A$5:$X$5,0),0))=FALSE,SUMIF(Kalkulation!$A$6:$A$40,Kasse!P$5&amp;"*",Kalkulation!$C$6:$C$40)*VLOOKUP($A213,Bestellungen!$6:$1048576,MATCH(Kasse!P$5,Bestellungen!$A$5:$X$5,0),0),"")</f>
        <v/>
      </c>
      <c r="Q213" s="26" t="str">
        <f>IF(ISERROR(VLOOKUP($A213,Bestellungen!$6:$1048576,MATCH(Kasse!Q$5,Bestellungen!$A$5:$X$5,0),0))=FALSE,SUMIF(Kalkulation!$A$6:$A$40,Kasse!Q$5&amp;"*",Kalkulation!$C$6:$C$40)*VLOOKUP($A213,Bestellungen!$6:$1048576,MATCH(Kasse!Q$5,Bestellungen!$A$5:$X$5,0),0),"")</f>
        <v/>
      </c>
      <c r="R213" s="26" t="str">
        <f>IF(ISERROR(VLOOKUP($A213,Bestellungen!$6:$1048576,MATCH(Kasse!R$5,Bestellungen!$A$5:$X$5,0),0))=FALSE,SUMIF(Kalkulation!$A$6:$A$40,Kasse!R$5&amp;"*",Kalkulation!$C$6:$C$40)*VLOOKUP($A213,Bestellungen!$6:$1048576,MATCH(Kasse!R$5,Bestellungen!$A$5:$X$5,0),0),"")</f>
        <v/>
      </c>
      <c r="S213" s="26" t="str">
        <f>IF(ISERROR(VLOOKUP($A213,Bestellungen!$6:$1048576,MATCH(Kasse!S$5,Bestellungen!$A$5:$X$5,0),0))=FALSE,SUMIF(Kalkulation!$A$6:$A$40,Kasse!S$5&amp;"*",Kalkulation!$C$6:$C$40)*VLOOKUP($A213,Bestellungen!$6:$1048576,MATCH(Kasse!S$5,Bestellungen!$A$5:$X$5,0),0),"")</f>
        <v/>
      </c>
      <c r="T213" s="26" t="str">
        <f>IF(ISERROR(VLOOKUP($A213,Bestellungen!$6:$1048576,MATCH(Kasse!T$5,Bestellungen!$A$5:$X$5,0),0))=FALSE,SUMIF(Kalkulation!$A$6:$A$40,Kasse!T$5&amp;"*",Kalkulation!$C$6:$C$40)*VLOOKUP($A213,Bestellungen!$6:$1048576,MATCH(Kasse!T$5,Bestellungen!$A$5:$X$5,0),0),"")</f>
        <v/>
      </c>
      <c r="U213" s="26" t="str">
        <f t="shared" si="6"/>
        <v/>
      </c>
      <c r="W213" s="26" t="str">
        <f t="shared" si="7"/>
        <v/>
      </c>
      <c r="X213" s="26"/>
      <c r="Y213" s="26"/>
      <c r="Z213" s="26"/>
      <c r="AA213" s="26"/>
    </row>
    <row r="214" spans="1:27" x14ac:dyDescent="0.25">
      <c r="A214" t="str">
        <f>IF(LEN(Bestellungen!$A214)&gt;0,Bestellungen!$A214,"")</f>
        <v/>
      </c>
      <c r="B214" s="26" t="str">
        <f>IF(ISERROR(VLOOKUP($A214,Bestellungen!$6:$1048576,MATCH(Kasse!B$5,Bestellungen!$A$5:$X$5,0),0))=FALSE,SUMIF(Kalkulation!$A$6:$A$40,Kasse!B$5&amp;"*",Kalkulation!$C$6:$C$40)*VLOOKUP($A214,Bestellungen!$6:$1048576,MATCH(Kasse!B$5,Bestellungen!$A$5:$X$5,0),0),"")</f>
        <v/>
      </c>
      <c r="C214" s="26" t="str">
        <f>IF(ISERROR(VLOOKUP($A214,Bestellungen!$6:$1048576,MATCH(Kasse!C$5,Bestellungen!$A$5:$X$5,0),0))=FALSE,SUMIF(Kalkulation!$A$6:$A$40,Kasse!C$5&amp;"*",Kalkulation!$C$6:$C$40)*VLOOKUP($A214,Bestellungen!$6:$1048576,MATCH(Kasse!C$5,Bestellungen!$A$5:$X$5,0),0),"")</f>
        <v/>
      </c>
      <c r="D214" s="26" t="str">
        <f>IF(ISERROR(VLOOKUP($A214,Bestellungen!$6:$1048576,MATCH(Kasse!D$5,Bestellungen!$A$5:$X$5,0),0))=FALSE,SUMIF(Kalkulation!$A$6:$A$40,Kasse!D$5&amp;"*",Kalkulation!$C$6:$C$40)*VLOOKUP($A214,Bestellungen!$6:$1048576,MATCH(Kasse!D$5,Bestellungen!$A$5:$X$5,0),0),"")</f>
        <v/>
      </c>
      <c r="E214" s="26" t="str">
        <f>IF(ISERROR(VLOOKUP($A214,Bestellungen!$6:$1048576,MATCH(Kasse!E$5,Bestellungen!$A$5:$X$5,0),0))=FALSE,SUMIF(Kalkulation!$A$6:$A$40,Kasse!E$5&amp;"*",Kalkulation!$C$6:$C$40)*VLOOKUP($A214,Bestellungen!$6:$1048576,MATCH(Kasse!E$5,Bestellungen!$A$5:$X$5,0),0),"")</f>
        <v/>
      </c>
      <c r="F214" s="26" t="str">
        <f>IF(ISERROR(VLOOKUP($A214,Bestellungen!$6:$1048576,MATCH(Kasse!F$5,Bestellungen!$A$5:$X$5,0),0))=FALSE,SUMIF(Kalkulation!$A$6:$A$40,Kasse!F$5&amp;"*",Kalkulation!$C$6:$C$40)*VLOOKUP($A214,Bestellungen!$6:$1048576,MATCH(Kasse!F$5,Bestellungen!$A$5:$X$5,0),0),"")</f>
        <v/>
      </c>
      <c r="G214" s="26" t="str">
        <f>IF(ISERROR(VLOOKUP($A214,Bestellungen!$6:$1048576,MATCH(Kasse!G$5,Bestellungen!$A$5:$X$5,0),0))=FALSE,SUMIF(Kalkulation!$A$6:$A$40,Kasse!G$5&amp;"*",Kalkulation!$C$6:$C$40)*VLOOKUP($A214,Bestellungen!$6:$1048576,MATCH(Kasse!G$5,Bestellungen!$A$5:$X$5,0),0),"")</f>
        <v/>
      </c>
      <c r="H214" s="26" t="str">
        <f>IF(ISERROR(VLOOKUP($A214,Bestellungen!$6:$1048576,MATCH(Kasse!H$5,Bestellungen!$A$5:$X$5,0),0))=FALSE,SUMIF(Kalkulation!$A$6:$A$40,Kasse!H$5&amp;"*",Kalkulation!$C$6:$C$40)*VLOOKUP($A214,Bestellungen!$6:$1048576,MATCH(Kasse!H$5,Bestellungen!$A$5:$X$5,0),0),"")</f>
        <v/>
      </c>
      <c r="I214" s="26" t="str">
        <f>IF(ISERROR(VLOOKUP($A214,Bestellungen!$6:$1048576,MATCH(Kasse!I$5,Bestellungen!$A$5:$X$5,0),0))=FALSE,SUMIF(Kalkulation!$A$6:$A$40,Kasse!I$5&amp;"*",Kalkulation!$C$6:$C$40)*VLOOKUP($A214,Bestellungen!$6:$1048576,MATCH(Kasse!I$5,Bestellungen!$A$5:$X$5,0),0),"")</f>
        <v/>
      </c>
      <c r="J214" s="26" t="str">
        <f>IF(ISERROR(VLOOKUP($A214,Bestellungen!$6:$1048576,MATCH(Kasse!J$5,Bestellungen!$A$5:$X$5,0),0))=FALSE,SUMIF(Kalkulation!$A$6:$A$40,Kasse!J$5&amp;"*",Kalkulation!$C$6:$C$40)*VLOOKUP($A214,Bestellungen!$6:$1048576,MATCH(Kasse!J$5,Bestellungen!$A$5:$X$5,0),0),"")</f>
        <v/>
      </c>
      <c r="K214" s="26" t="str">
        <f>IF(ISERROR(VLOOKUP($A214,Bestellungen!$6:$1048576,MATCH(Kasse!K$5,Bestellungen!$A$5:$X$5,0),0))=FALSE,SUMIF(Kalkulation!$A$6:$A$40,Kasse!K$5&amp;"*",Kalkulation!$C$6:$C$40)*VLOOKUP($A214,Bestellungen!$6:$1048576,MATCH(Kasse!K$5,Bestellungen!$A$5:$X$5,0),0),"")</f>
        <v/>
      </c>
      <c r="L214" s="26" t="str">
        <f>IF(ISERROR(VLOOKUP($A214,Bestellungen!$6:$1048576,MATCH(Kasse!L$5,Bestellungen!$A$5:$X$5,0),0))=FALSE,SUMIF(Kalkulation!$A$6:$A$40,Kasse!L$5&amp;"*",Kalkulation!$C$6:$C$40)*VLOOKUP($A214,Bestellungen!$6:$1048576,MATCH(Kasse!L$5,Bestellungen!$A$5:$X$5,0),0),"")</f>
        <v/>
      </c>
      <c r="M214" s="26" t="str">
        <f>IF(ISERROR(VLOOKUP($A214,Bestellungen!$6:$1048576,MATCH(Kasse!M$5,Bestellungen!$A$5:$X$5,0),0))=FALSE,SUMIF(Kalkulation!$A$6:$A$40,Kasse!M$5&amp;"*",Kalkulation!$C$6:$C$40)*VLOOKUP($A214,Bestellungen!$6:$1048576,MATCH(Kasse!M$5,Bestellungen!$A$5:$X$5,0),0),"")</f>
        <v/>
      </c>
      <c r="N214" s="26" t="str">
        <f>IF(ISERROR(VLOOKUP($A214,Bestellungen!$6:$1048576,MATCH(Kasse!N$5,Bestellungen!$A$5:$X$5,0),0))=FALSE,SUMIF(Kalkulation!$A$6:$A$40,Kasse!N$5&amp;"*",Kalkulation!$C$6:$C$40)*VLOOKUP($A214,Bestellungen!$6:$1048576,MATCH(Kasse!N$5,Bestellungen!$A$5:$X$5,0),0),"")</f>
        <v/>
      </c>
      <c r="O214" s="26" t="str">
        <f>IF(ISERROR(VLOOKUP($A214,Bestellungen!$6:$1048576,MATCH(Kasse!O$5,Bestellungen!$A$5:$X$5,0),0))=FALSE,SUMIF(Kalkulation!$A$6:$A$40,Kasse!O$5&amp;"*",Kalkulation!$C$6:$C$40)*VLOOKUP($A214,Bestellungen!$6:$1048576,MATCH(Kasse!O$5,Bestellungen!$A$5:$X$5,0),0),"")</f>
        <v/>
      </c>
      <c r="P214" s="26" t="str">
        <f>IF(ISERROR(VLOOKUP($A214,Bestellungen!$6:$1048576,MATCH(Kasse!P$5,Bestellungen!$A$5:$X$5,0),0))=FALSE,SUMIF(Kalkulation!$A$6:$A$40,Kasse!P$5&amp;"*",Kalkulation!$C$6:$C$40)*VLOOKUP($A214,Bestellungen!$6:$1048576,MATCH(Kasse!P$5,Bestellungen!$A$5:$X$5,0),0),"")</f>
        <v/>
      </c>
      <c r="Q214" s="26" t="str">
        <f>IF(ISERROR(VLOOKUP($A214,Bestellungen!$6:$1048576,MATCH(Kasse!Q$5,Bestellungen!$A$5:$X$5,0),0))=FALSE,SUMIF(Kalkulation!$A$6:$A$40,Kasse!Q$5&amp;"*",Kalkulation!$C$6:$C$40)*VLOOKUP($A214,Bestellungen!$6:$1048576,MATCH(Kasse!Q$5,Bestellungen!$A$5:$X$5,0),0),"")</f>
        <v/>
      </c>
      <c r="R214" s="26" t="str">
        <f>IF(ISERROR(VLOOKUP($A214,Bestellungen!$6:$1048576,MATCH(Kasse!R$5,Bestellungen!$A$5:$X$5,0),0))=FALSE,SUMIF(Kalkulation!$A$6:$A$40,Kasse!R$5&amp;"*",Kalkulation!$C$6:$C$40)*VLOOKUP($A214,Bestellungen!$6:$1048576,MATCH(Kasse!R$5,Bestellungen!$A$5:$X$5,0),0),"")</f>
        <v/>
      </c>
      <c r="S214" s="26" t="str">
        <f>IF(ISERROR(VLOOKUP($A214,Bestellungen!$6:$1048576,MATCH(Kasse!S$5,Bestellungen!$A$5:$X$5,0),0))=FALSE,SUMIF(Kalkulation!$A$6:$A$40,Kasse!S$5&amp;"*",Kalkulation!$C$6:$C$40)*VLOOKUP($A214,Bestellungen!$6:$1048576,MATCH(Kasse!S$5,Bestellungen!$A$5:$X$5,0),0),"")</f>
        <v/>
      </c>
      <c r="T214" s="26" t="str">
        <f>IF(ISERROR(VLOOKUP($A214,Bestellungen!$6:$1048576,MATCH(Kasse!T$5,Bestellungen!$A$5:$X$5,0),0))=FALSE,SUMIF(Kalkulation!$A$6:$A$40,Kasse!T$5&amp;"*",Kalkulation!$C$6:$C$40)*VLOOKUP($A214,Bestellungen!$6:$1048576,MATCH(Kasse!T$5,Bestellungen!$A$5:$X$5,0),0),"")</f>
        <v/>
      </c>
      <c r="U214" s="26" t="str">
        <f t="shared" si="6"/>
        <v/>
      </c>
      <c r="W214" s="26" t="str">
        <f t="shared" si="7"/>
        <v/>
      </c>
      <c r="X214" s="26"/>
      <c r="Y214" s="26"/>
      <c r="Z214" s="26"/>
      <c r="AA214" s="26"/>
    </row>
    <row r="215" spans="1:27" x14ac:dyDescent="0.25">
      <c r="A215" t="str">
        <f>IF(LEN(Bestellungen!$A215)&gt;0,Bestellungen!$A215,"")</f>
        <v/>
      </c>
      <c r="B215" s="26" t="str">
        <f>IF(ISERROR(VLOOKUP($A215,Bestellungen!$6:$1048576,MATCH(Kasse!B$5,Bestellungen!$A$5:$X$5,0),0))=FALSE,SUMIF(Kalkulation!$A$6:$A$40,Kasse!B$5&amp;"*",Kalkulation!$C$6:$C$40)*VLOOKUP($A215,Bestellungen!$6:$1048576,MATCH(Kasse!B$5,Bestellungen!$A$5:$X$5,0),0),"")</f>
        <v/>
      </c>
      <c r="C215" s="26" t="str">
        <f>IF(ISERROR(VLOOKUP($A215,Bestellungen!$6:$1048576,MATCH(Kasse!C$5,Bestellungen!$A$5:$X$5,0),0))=FALSE,SUMIF(Kalkulation!$A$6:$A$40,Kasse!C$5&amp;"*",Kalkulation!$C$6:$C$40)*VLOOKUP($A215,Bestellungen!$6:$1048576,MATCH(Kasse!C$5,Bestellungen!$A$5:$X$5,0),0),"")</f>
        <v/>
      </c>
      <c r="D215" s="26" t="str">
        <f>IF(ISERROR(VLOOKUP($A215,Bestellungen!$6:$1048576,MATCH(Kasse!D$5,Bestellungen!$A$5:$X$5,0),0))=FALSE,SUMIF(Kalkulation!$A$6:$A$40,Kasse!D$5&amp;"*",Kalkulation!$C$6:$C$40)*VLOOKUP($A215,Bestellungen!$6:$1048576,MATCH(Kasse!D$5,Bestellungen!$A$5:$X$5,0),0),"")</f>
        <v/>
      </c>
      <c r="E215" s="26" t="str">
        <f>IF(ISERROR(VLOOKUP($A215,Bestellungen!$6:$1048576,MATCH(Kasse!E$5,Bestellungen!$A$5:$X$5,0),0))=FALSE,SUMIF(Kalkulation!$A$6:$A$40,Kasse!E$5&amp;"*",Kalkulation!$C$6:$C$40)*VLOOKUP($A215,Bestellungen!$6:$1048576,MATCH(Kasse!E$5,Bestellungen!$A$5:$X$5,0),0),"")</f>
        <v/>
      </c>
      <c r="F215" s="26" t="str">
        <f>IF(ISERROR(VLOOKUP($A215,Bestellungen!$6:$1048576,MATCH(Kasse!F$5,Bestellungen!$A$5:$X$5,0),0))=FALSE,SUMIF(Kalkulation!$A$6:$A$40,Kasse!F$5&amp;"*",Kalkulation!$C$6:$C$40)*VLOOKUP($A215,Bestellungen!$6:$1048576,MATCH(Kasse!F$5,Bestellungen!$A$5:$X$5,0),0),"")</f>
        <v/>
      </c>
      <c r="G215" s="26" t="str">
        <f>IF(ISERROR(VLOOKUP($A215,Bestellungen!$6:$1048576,MATCH(Kasse!G$5,Bestellungen!$A$5:$X$5,0),0))=FALSE,SUMIF(Kalkulation!$A$6:$A$40,Kasse!G$5&amp;"*",Kalkulation!$C$6:$C$40)*VLOOKUP($A215,Bestellungen!$6:$1048576,MATCH(Kasse!G$5,Bestellungen!$A$5:$X$5,0),0),"")</f>
        <v/>
      </c>
      <c r="H215" s="26" t="str">
        <f>IF(ISERROR(VLOOKUP($A215,Bestellungen!$6:$1048576,MATCH(Kasse!H$5,Bestellungen!$A$5:$X$5,0),0))=FALSE,SUMIF(Kalkulation!$A$6:$A$40,Kasse!H$5&amp;"*",Kalkulation!$C$6:$C$40)*VLOOKUP($A215,Bestellungen!$6:$1048576,MATCH(Kasse!H$5,Bestellungen!$A$5:$X$5,0),0),"")</f>
        <v/>
      </c>
      <c r="I215" s="26" t="str">
        <f>IF(ISERROR(VLOOKUP($A215,Bestellungen!$6:$1048576,MATCH(Kasse!I$5,Bestellungen!$A$5:$X$5,0),0))=FALSE,SUMIF(Kalkulation!$A$6:$A$40,Kasse!I$5&amp;"*",Kalkulation!$C$6:$C$40)*VLOOKUP($A215,Bestellungen!$6:$1048576,MATCH(Kasse!I$5,Bestellungen!$A$5:$X$5,0),0),"")</f>
        <v/>
      </c>
      <c r="J215" s="26" t="str">
        <f>IF(ISERROR(VLOOKUP($A215,Bestellungen!$6:$1048576,MATCH(Kasse!J$5,Bestellungen!$A$5:$X$5,0),0))=FALSE,SUMIF(Kalkulation!$A$6:$A$40,Kasse!J$5&amp;"*",Kalkulation!$C$6:$C$40)*VLOOKUP($A215,Bestellungen!$6:$1048576,MATCH(Kasse!J$5,Bestellungen!$A$5:$X$5,0),0),"")</f>
        <v/>
      </c>
      <c r="K215" s="26" t="str">
        <f>IF(ISERROR(VLOOKUP($A215,Bestellungen!$6:$1048576,MATCH(Kasse!K$5,Bestellungen!$A$5:$X$5,0),0))=FALSE,SUMIF(Kalkulation!$A$6:$A$40,Kasse!K$5&amp;"*",Kalkulation!$C$6:$C$40)*VLOOKUP($A215,Bestellungen!$6:$1048576,MATCH(Kasse!K$5,Bestellungen!$A$5:$X$5,0),0),"")</f>
        <v/>
      </c>
      <c r="L215" s="26" t="str">
        <f>IF(ISERROR(VLOOKUP($A215,Bestellungen!$6:$1048576,MATCH(Kasse!L$5,Bestellungen!$A$5:$X$5,0),0))=FALSE,SUMIF(Kalkulation!$A$6:$A$40,Kasse!L$5&amp;"*",Kalkulation!$C$6:$C$40)*VLOOKUP($A215,Bestellungen!$6:$1048576,MATCH(Kasse!L$5,Bestellungen!$A$5:$X$5,0),0),"")</f>
        <v/>
      </c>
      <c r="M215" s="26" t="str">
        <f>IF(ISERROR(VLOOKUP($A215,Bestellungen!$6:$1048576,MATCH(Kasse!M$5,Bestellungen!$A$5:$X$5,0),0))=FALSE,SUMIF(Kalkulation!$A$6:$A$40,Kasse!M$5&amp;"*",Kalkulation!$C$6:$C$40)*VLOOKUP($A215,Bestellungen!$6:$1048576,MATCH(Kasse!M$5,Bestellungen!$A$5:$X$5,0),0),"")</f>
        <v/>
      </c>
      <c r="N215" s="26" t="str">
        <f>IF(ISERROR(VLOOKUP($A215,Bestellungen!$6:$1048576,MATCH(Kasse!N$5,Bestellungen!$A$5:$X$5,0),0))=FALSE,SUMIF(Kalkulation!$A$6:$A$40,Kasse!N$5&amp;"*",Kalkulation!$C$6:$C$40)*VLOOKUP($A215,Bestellungen!$6:$1048576,MATCH(Kasse!N$5,Bestellungen!$A$5:$X$5,0),0),"")</f>
        <v/>
      </c>
      <c r="O215" s="26" t="str">
        <f>IF(ISERROR(VLOOKUP($A215,Bestellungen!$6:$1048576,MATCH(Kasse!O$5,Bestellungen!$A$5:$X$5,0),0))=FALSE,SUMIF(Kalkulation!$A$6:$A$40,Kasse!O$5&amp;"*",Kalkulation!$C$6:$C$40)*VLOOKUP($A215,Bestellungen!$6:$1048576,MATCH(Kasse!O$5,Bestellungen!$A$5:$X$5,0),0),"")</f>
        <v/>
      </c>
      <c r="P215" s="26" t="str">
        <f>IF(ISERROR(VLOOKUP($A215,Bestellungen!$6:$1048576,MATCH(Kasse!P$5,Bestellungen!$A$5:$X$5,0),0))=FALSE,SUMIF(Kalkulation!$A$6:$A$40,Kasse!P$5&amp;"*",Kalkulation!$C$6:$C$40)*VLOOKUP($A215,Bestellungen!$6:$1048576,MATCH(Kasse!P$5,Bestellungen!$A$5:$X$5,0),0),"")</f>
        <v/>
      </c>
      <c r="Q215" s="26" t="str">
        <f>IF(ISERROR(VLOOKUP($A215,Bestellungen!$6:$1048576,MATCH(Kasse!Q$5,Bestellungen!$A$5:$X$5,0),0))=FALSE,SUMIF(Kalkulation!$A$6:$A$40,Kasse!Q$5&amp;"*",Kalkulation!$C$6:$C$40)*VLOOKUP($A215,Bestellungen!$6:$1048576,MATCH(Kasse!Q$5,Bestellungen!$A$5:$X$5,0),0),"")</f>
        <v/>
      </c>
      <c r="R215" s="26" t="str">
        <f>IF(ISERROR(VLOOKUP($A215,Bestellungen!$6:$1048576,MATCH(Kasse!R$5,Bestellungen!$A$5:$X$5,0),0))=FALSE,SUMIF(Kalkulation!$A$6:$A$40,Kasse!R$5&amp;"*",Kalkulation!$C$6:$C$40)*VLOOKUP($A215,Bestellungen!$6:$1048576,MATCH(Kasse!R$5,Bestellungen!$A$5:$X$5,0),0),"")</f>
        <v/>
      </c>
      <c r="S215" s="26" t="str">
        <f>IF(ISERROR(VLOOKUP($A215,Bestellungen!$6:$1048576,MATCH(Kasse!S$5,Bestellungen!$A$5:$X$5,0),0))=FALSE,SUMIF(Kalkulation!$A$6:$A$40,Kasse!S$5&amp;"*",Kalkulation!$C$6:$C$40)*VLOOKUP($A215,Bestellungen!$6:$1048576,MATCH(Kasse!S$5,Bestellungen!$A$5:$X$5,0),0),"")</f>
        <v/>
      </c>
      <c r="T215" s="26" t="str">
        <f>IF(ISERROR(VLOOKUP($A215,Bestellungen!$6:$1048576,MATCH(Kasse!T$5,Bestellungen!$A$5:$X$5,0),0))=FALSE,SUMIF(Kalkulation!$A$6:$A$40,Kasse!T$5&amp;"*",Kalkulation!$C$6:$C$40)*VLOOKUP($A215,Bestellungen!$6:$1048576,MATCH(Kasse!T$5,Bestellungen!$A$5:$X$5,0),0),"")</f>
        <v/>
      </c>
      <c r="U215" s="26" t="str">
        <f t="shared" si="6"/>
        <v/>
      </c>
      <c r="W215" s="26" t="str">
        <f t="shared" si="7"/>
        <v/>
      </c>
      <c r="X215" s="26"/>
      <c r="Y215" s="26"/>
      <c r="Z215" s="26"/>
      <c r="AA215" s="26"/>
    </row>
    <row r="216" spans="1:27" x14ac:dyDescent="0.25">
      <c r="A216" t="str">
        <f>IF(LEN(Bestellungen!$A216)&gt;0,Bestellungen!$A216,"")</f>
        <v/>
      </c>
      <c r="B216" s="26" t="str">
        <f>IF(ISERROR(VLOOKUP($A216,Bestellungen!$6:$1048576,MATCH(Kasse!B$5,Bestellungen!$A$5:$X$5,0),0))=FALSE,SUMIF(Kalkulation!$A$6:$A$40,Kasse!B$5&amp;"*",Kalkulation!$C$6:$C$40)*VLOOKUP($A216,Bestellungen!$6:$1048576,MATCH(Kasse!B$5,Bestellungen!$A$5:$X$5,0),0),"")</f>
        <v/>
      </c>
      <c r="C216" s="26" t="str">
        <f>IF(ISERROR(VLOOKUP($A216,Bestellungen!$6:$1048576,MATCH(Kasse!C$5,Bestellungen!$A$5:$X$5,0),0))=FALSE,SUMIF(Kalkulation!$A$6:$A$40,Kasse!C$5&amp;"*",Kalkulation!$C$6:$C$40)*VLOOKUP($A216,Bestellungen!$6:$1048576,MATCH(Kasse!C$5,Bestellungen!$A$5:$X$5,0),0),"")</f>
        <v/>
      </c>
      <c r="D216" s="26" t="str">
        <f>IF(ISERROR(VLOOKUP($A216,Bestellungen!$6:$1048576,MATCH(Kasse!D$5,Bestellungen!$A$5:$X$5,0),0))=FALSE,SUMIF(Kalkulation!$A$6:$A$40,Kasse!D$5&amp;"*",Kalkulation!$C$6:$C$40)*VLOOKUP($A216,Bestellungen!$6:$1048576,MATCH(Kasse!D$5,Bestellungen!$A$5:$X$5,0),0),"")</f>
        <v/>
      </c>
      <c r="E216" s="26" t="str">
        <f>IF(ISERROR(VLOOKUP($A216,Bestellungen!$6:$1048576,MATCH(Kasse!E$5,Bestellungen!$A$5:$X$5,0),0))=FALSE,SUMIF(Kalkulation!$A$6:$A$40,Kasse!E$5&amp;"*",Kalkulation!$C$6:$C$40)*VLOOKUP($A216,Bestellungen!$6:$1048576,MATCH(Kasse!E$5,Bestellungen!$A$5:$X$5,0),0),"")</f>
        <v/>
      </c>
      <c r="F216" s="26" t="str">
        <f>IF(ISERROR(VLOOKUP($A216,Bestellungen!$6:$1048576,MATCH(Kasse!F$5,Bestellungen!$A$5:$X$5,0),0))=FALSE,SUMIF(Kalkulation!$A$6:$A$40,Kasse!F$5&amp;"*",Kalkulation!$C$6:$C$40)*VLOOKUP($A216,Bestellungen!$6:$1048576,MATCH(Kasse!F$5,Bestellungen!$A$5:$X$5,0),0),"")</f>
        <v/>
      </c>
      <c r="G216" s="26" t="str">
        <f>IF(ISERROR(VLOOKUP($A216,Bestellungen!$6:$1048576,MATCH(Kasse!G$5,Bestellungen!$A$5:$X$5,0),0))=FALSE,SUMIF(Kalkulation!$A$6:$A$40,Kasse!G$5&amp;"*",Kalkulation!$C$6:$C$40)*VLOOKUP($A216,Bestellungen!$6:$1048576,MATCH(Kasse!G$5,Bestellungen!$A$5:$X$5,0),0),"")</f>
        <v/>
      </c>
      <c r="H216" s="26" t="str">
        <f>IF(ISERROR(VLOOKUP($A216,Bestellungen!$6:$1048576,MATCH(Kasse!H$5,Bestellungen!$A$5:$X$5,0),0))=FALSE,SUMIF(Kalkulation!$A$6:$A$40,Kasse!H$5&amp;"*",Kalkulation!$C$6:$C$40)*VLOOKUP($A216,Bestellungen!$6:$1048576,MATCH(Kasse!H$5,Bestellungen!$A$5:$X$5,0),0),"")</f>
        <v/>
      </c>
      <c r="I216" s="26" t="str">
        <f>IF(ISERROR(VLOOKUP($A216,Bestellungen!$6:$1048576,MATCH(Kasse!I$5,Bestellungen!$A$5:$X$5,0),0))=FALSE,SUMIF(Kalkulation!$A$6:$A$40,Kasse!I$5&amp;"*",Kalkulation!$C$6:$C$40)*VLOOKUP($A216,Bestellungen!$6:$1048576,MATCH(Kasse!I$5,Bestellungen!$A$5:$X$5,0),0),"")</f>
        <v/>
      </c>
      <c r="J216" s="26" t="str">
        <f>IF(ISERROR(VLOOKUP($A216,Bestellungen!$6:$1048576,MATCH(Kasse!J$5,Bestellungen!$A$5:$X$5,0),0))=FALSE,SUMIF(Kalkulation!$A$6:$A$40,Kasse!J$5&amp;"*",Kalkulation!$C$6:$C$40)*VLOOKUP($A216,Bestellungen!$6:$1048576,MATCH(Kasse!J$5,Bestellungen!$A$5:$X$5,0),0),"")</f>
        <v/>
      </c>
      <c r="K216" s="26" t="str">
        <f>IF(ISERROR(VLOOKUP($A216,Bestellungen!$6:$1048576,MATCH(Kasse!K$5,Bestellungen!$A$5:$X$5,0),0))=FALSE,SUMIF(Kalkulation!$A$6:$A$40,Kasse!K$5&amp;"*",Kalkulation!$C$6:$C$40)*VLOOKUP($A216,Bestellungen!$6:$1048576,MATCH(Kasse!K$5,Bestellungen!$A$5:$X$5,0),0),"")</f>
        <v/>
      </c>
      <c r="L216" s="26" t="str">
        <f>IF(ISERROR(VLOOKUP($A216,Bestellungen!$6:$1048576,MATCH(Kasse!L$5,Bestellungen!$A$5:$X$5,0),0))=FALSE,SUMIF(Kalkulation!$A$6:$A$40,Kasse!L$5&amp;"*",Kalkulation!$C$6:$C$40)*VLOOKUP($A216,Bestellungen!$6:$1048576,MATCH(Kasse!L$5,Bestellungen!$A$5:$X$5,0),0),"")</f>
        <v/>
      </c>
      <c r="M216" s="26" t="str">
        <f>IF(ISERROR(VLOOKUP($A216,Bestellungen!$6:$1048576,MATCH(Kasse!M$5,Bestellungen!$A$5:$X$5,0),0))=FALSE,SUMIF(Kalkulation!$A$6:$A$40,Kasse!M$5&amp;"*",Kalkulation!$C$6:$C$40)*VLOOKUP($A216,Bestellungen!$6:$1048576,MATCH(Kasse!M$5,Bestellungen!$A$5:$X$5,0),0),"")</f>
        <v/>
      </c>
      <c r="N216" s="26" t="str">
        <f>IF(ISERROR(VLOOKUP($A216,Bestellungen!$6:$1048576,MATCH(Kasse!N$5,Bestellungen!$A$5:$X$5,0),0))=FALSE,SUMIF(Kalkulation!$A$6:$A$40,Kasse!N$5&amp;"*",Kalkulation!$C$6:$C$40)*VLOOKUP($A216,Bestellungen!$6:$1048576,MATCH(Kasse!N$5,Bestellungen!$A$5:$X$5,0),0),"")</f>
        <v/>
      </c>
      <c r="O216" s="26" t="str">
        <f>IF(ISERROR(VLOOKUP($A216,Bestellungen!$6:$1048576,MATCH(Kasse!O$5,Bestellungen!$A$5:$X$5,0),0))=FALSE,SUMIF(Kalkulation!$A$6:$A$40,Kasse!O$5&amp;"*",Kalkulation!$C$6:$C$40)*VLOOKUP($A216,Bestellungen!$6:$1048576,MATCH(Kasse!O$5,Bestellungen!$A$5:$X$5,0),0),"")</f>
        <v/>
      </c>
      <c r="P216" s="26" t="str">
        <f>IF(ISERROR(VLOOKUP($A216,Bestellungen!$6:$1048576,MATCH(Kasse!P$5,Bestellungen!$A$5:$X$5,0),0))=FALSE,SUMIF(Kalkulation!$A$6:$A$40,Kasse!P$5&amp;"*",Kalkulation!$C$6:$C$40)*VLOOKUP($A216,Bestellungen!$6:$1048576,MATCH(Kasse!P$5,Bestellungen!$A$5:$X$5,0),0),"")</f>
        <v/>
      </c>
      <c r="Q216" s="26" t="str">
        <f>IF(ISERROR(VLOOKUP($A216,Bestellungen!$6:$1048576,MATCH(Kasse!Q$5,Bestellungen!$A$5:$X$5,0),0))=FALSE,SUMIF(Kalkulation!$A$6:$A$40,Kasse!Q$5&amp;"*",Kalkulation!$C$6:$C$40)*VLOOKUP($A216,Bestellungen!$6:$1048576,MATCH(Kasse!Q$5,Bestellungen!$A$5:$X$5,0),0),"")</f>
        <v/>
      </c>
      <c r="R216" s="26" t="str">
        <f>IF(ISERROR(VLOOKUP($A216,Bestellungen!$6:$1048576,MATCH(Kasse!R$5,Bestellungen!$A$5:$X$5,0),0))=FALSE,SUMIF(Kalkulation!$A$6:$A$40,Kasse!R$5&amp;"*",Kalkulation!$C$6:$C$40)*VLOOKUP($A216,Bestellungen!$6:$1048576,MATCH(Kasse!R$5,Bestellungen!$A$5:$X$5,0),0),"")</f>
        <v/>
      </c>
      <c r="S216" s="26" t="str">
        <f>IF(ISERROR(VLOOKUP($A216,Bestellungen!$6:$1048576,MATCH(Kasse!S$5,Bestellungen!$A$5:$X$5,0),0))=FALSE,SUMIF(Kalkulation!$A$6:$A$40,Kasse!S$5&amp;"*",Kalkulation!$C$6:$C$40)*VLOOKUP($A216,Bestellungen!$6:$1048576,MATCH(Kasse!S$5,Bestellungen!$A$5:$X$5,0),0),"")</f>
        <v/>
      </c>
      <c r="T216" s="26" t="str">
        <f>IF(ISERROR(VLOOKUP($A216,Bestellungen!$6:$1048576,MATCH(Kasse!T$5,Bestellungen!$A$5:$X$5,0),0))=FALSE,SUMIF(Kalkulation!$A$6:$A$40,Kasse!T$5&amp;"*",Kalkulation!$C$6:$C$40)*VLOOKUP($A216,Bestellungen!$6:$1048576,MATCH(Kasse!T$5,Bestellungen!$A$5:$X$5,0),0),"")</f>
        <v/>
      </c>
      <c r="U216" s="26" t="str">
        <f t="shared" si="6"/>
        <v/>
      </c>
      <c r="W216" s="26" t="str">
        <f t="shared" si="7"/>
        <v/>
      </c>
      <c r="X216" s="26"/>
      <c r="Y216" s="26"/>
      <c r="Z216" s="26"/>
      <c r="AA216" s="26"/>
    </row>
    <row r="217" spans="1:27" x14ac:dyDescent="0.25">
      <c r="A217" t="str">
        <f>IF(LEN(Bestellungen!$A217)&gt;0,Bestellungen!$A217,"")</f>
        <v/>
      </c>
      <c r="B217" s="26" t="str">
        <f>IF(ISERROR(VLOOKUP($A217,Bestellungen!$6:$1048576,MATCH(Kasse!B$5,Bestellungen!$A$5:$X$5,0),0))=FALSE,SUMIF(Kalkulation!$A$6:$A$40,Kasse!B$5&amp;"*",Kalkulation!$C$6:$C$40)*VLOOKUP($A217,Bestellungen!$6:$1048576,MATCH(Kasse!B$5,Bestellungen!$A$5:$X$5,0),0),"")</f>
        <v/>
      </c>
      <c r="C217" s="26" t="str">
        <f>IF(ISERROR(VLOOKUP($A217,Bestellungen!$6:$1048576,MATCH(Kasse!C$5,Bestellungen!$A$5:$X$5,0),0))=FALSE,SUMIF(Kalkulation!$A$6:$A$40,Kasse!C$5&amp;"*",Kalkulation!$C$6:$C$40)*VLOOKUP($A217,Bestellungen!$6:$1048576,MATCH(Kasse!C$5,Bestellungen!$A$5:$X$5,0),0),"")</f>
        <v/>
      </c>
      <c r="D217" s="26" t="str">
        <f>IF(ISERROR(VLOOKUP($A217,Bestellungen!$6:$1048576,MATCH(Kasse!D$5,Bestellungen!$A$5:$X$5,0),0))=FALSE,SUMIF(Kalkulation!$A$6:$A$40,Kasse!D$5&amp;"*",Kalkulation!$C$6:$C$40)*VLOOKUP($A217,Bestellungen!$6:$1048576,MATCH(Kasse!D$5,Bestellungen!$A$5:$X$5,0),0),"")</f>
        <v/>
      </c>
      <c r="E217" s="26" t="str">
        <f>IF(ISERROR(VLOOKUP($A217,Bestellungen!$6:$1048576,MATCH(Kasse!E$5,Bestellungen!$A$5:$X$5,0),0))=FALSE,SUMIF(Kalkulation!$A$6:$A$40,Kasse!E$5&amp;"*",Kalkulation!$C$6:$C$40)*VLOOKUP($A217,Bestellungen!$6:$1048576,MATCH(Kasse!E$5,Bestellungen!$A$5:$X$5,0),0),"")</f>
        <v/>
      </c>
      <c r="F217" s="26" t="str">
        <f>IF(ISERROR(VLOOKUP($A217,Bestellungen!$6:$1048576,MATCH(Kasse!F$5,Bestellungen!$A$5:$X$5,0),0))=FALSE,SUMIF(Kalkulation!$A$6:$A$40,Kasse!F$5&amp;"*",Kalkulation!$C$6:$C$40)*VLOOKUP($A217,Bestellungen!$6:$1048576,MATCH(Kasse!F$5,Bestellungen!$A$5:$X$5,0),0),"")</f>
        <v/>
      </c>
      <c r="G217" s="26" t="str">
        <f>IF(ISERROR(VLOOKUP($A217,Bestellungen!$6:$1048576,MATCH(Kasse!G$5,Bestellungen!$A$5:$X$5,0),0))=FALSE,SUMIF(Kalkulation!$A$6:$A$40,Kasse!G$5&amp;"*",Kalkulation!$C$6:$C$40)*VLOOKUP($A217,Bestellungen!$6:$1048576,MATCH(Kasse!G$5,Bestellungen!$A$5:$X$5,0),0),"")</f>
        <v/>
      </c>
      <c r="H217" s="26" t="str">
        <f>IF(ISERROR(VLOOKUP($A217,Bestellungen!$6:$1048576,MATCH(Kasse!H$5,Bestellungen!$A$5:$X$5,0),0))=FALSE,SUMIF(Kalkulation!$A$6:$A$40,Kasse!H$5&amp;"*",Kalkulation!$C$6:$C$40)*VLOOKUP($A217,Bestellungen!$6:$1048576,MATCH(Kasse!H$5,Bestellungen!$A$5:$X$5,0),0),"")</f>
        <v/>
      </c>
      <c r="I217" s="26" t="str">
        <f>IF(ISERROR(VLOOKUP($A217,Bestellungen!$6:$1048576,MATCH(Kasse!I$5,Bestellungen!$A$5:$X$5,0),0))=FALSE,SUMIF(Kalkulation!$A$6:$A$40,Kasse!I$5&amp;"*",Kalkulation!$C$6:$C$40)*VLOOKUP($A217,Bestellungen!$6:$1048576,MATCH(Kasse!I$5,Bestellungen!$A$5:$X$5,0),0),"")</f>
        <v/>
      </c>
      <c r="J217" s="26" t="str">
        <f>IF(ISERROR(VLOOKUP($A217,Bestellungen!$6:$1048576,MATCH(Kasse!J$5,Bestellungen!$A$5:$X$5,0),0))=FALSE,SUMIF(Kalkulation!$A$6:$A$40,Kasse!J$5&amp;"*",Kalkulation!$C$6:$C$40)*VLOOKUP($A217,Bestellungen!$6:$1048576,MATCH(Kasse!J$5,Bestellungen!$A$5:$X$5,0),0),"")</f>
        <v/>
      </c>
      <c r="K217" s="26" t="str">
        <f>IF(ISERROR(VLOOKUP($A217,Bestellungen!$6:$1048576,MATCH(Kasse!K$5,Bestellungen!$A$5:$X$5,0),0))=FALSE,SUMIF(Kalkulation!$A$6:$A$40,Kasse!K$5&amp;"*",Kalkulation!$C$6:$C$40)*VLOOKUP($A217,Bestellungen!$6:$1048576,MATCH(Kasse!K$5,Bestellungen!$A$5:$X$5,0),0),"")</f>
        <v/>
      </c>
      <c r="L217" s="26" t="str">
        <f>IF(ISERROR(VLOOKUP($A217,Bestellungen!$6:$1048576,MATCH(Kasse!L$5,Bestellungen!$A$5:$X$5,0),0))=FALSE,SUMIF(Kalkulation!$A$6:$A$40,Kasse!L$5&amp;"*",Kalkulation!$C$6:$C$40)*VLOOKUP($A217,Bestellungen!$6:$1048576,MATCH(Kasse!L$5,Bestellungen!$A$5:$X$5,0),0),"")</f>
        <v/>
      </c>
      <c r="M217" s="26" t="str">
        <f>IF(ISERROR(VLOOKUP($A217,Bestellungen!$6:$1048576,MATCH(Kasse!M$5,Bestellungen!$A$5:$X$5,0),0))=FALSE,SUMIF(Kalkulation!$A$6:$A$40,Kasse!M$5&amp;"*",Kalkulation!$C$6:$C$40)*VLOOKUP($A217,Bestellungen!$6:$1048576,MATCH(Kasse!M$5,Bestellungen!$A$5:$X$5,0),0),"")</f>
        <v/>
      </c>
      <c r="N217" s="26" t="str">
        <f>IF(ISERROR(VLOOKUP($A217,Bestellungen!$6:$1048576,MATCH(Kasse!N$5,Bestellungen!$A$5:$X$5,0),0))=FALSE,SUMIF(Kalkulation!$A$6:$A$40,Kasse!N$5&amp;"*",Kalkulation!$C$6:$C$40)*VLOOKUP($A217,Bestellungen!$6:$1048576,MATCH(Kasse!N$5,Bestellungen!$A$5:$X$5,0),0),"")</f>
        <v/>
      </c>
      <c r="O217" s="26" t="str">
        <f>IF(ISERROR(VLOOKUP($A217,Bestellungen!$6:$1048576,MATCH(Kasse!O$5,Bestellungen!$A$5:$X$5,0),0))=FALSE,SUMIF(Kalkulation!$A$6:$A$40,Kasse!O$5&amp;"*",Kalkulation!$C$6:$C$40)*VLOOKUP($A217,Bestellungen!$6:$1048576,MATCH(Kasse!O$5,Bestellungen!$A$5:$X$5,0),0),"")</f>
        <v/>
      </c>
      <c r="P217" s="26" t="str">
        <f>IF(ISERROR(VLOOKUP($A217,Bestellungen!$6:$1048576,MATCH(Kasse!P$5,Bestellungen!$A$5:$X$5,0),0))=FALSE,SUMIF(Kalkulation!$A$6:$A$40,Kasse!P$5&amp;"*",Kalkulation!$C$6:$C$40)*VLOOKUP($A217,Bestellungen!$6:$1048576,MATCH(Kasse!P$5,Bestellungen!$A$5:$X$5,0),0),"")</f>
        <v/>
      </c>
      <c r="Q217" s="26" t="str">
        <f>IF(ISERROR(VLOOKUP($A217,Bestellungen!$6:$1048576,MATCH(Kasse!Q$5,Bestellungen!$A$5:$X$5,0),0))=FALSE,SUMIF(Kalkulation!$A$6:$A$40,Kasse!Q$5&amp;"*",Kalkulation!$C$6:$C$40)*VLOOKUP($A217,Bestellungen!$6:$1048576,MATCH(Kasse!Q$5,Bestellungen!$A$5:$X$5,0),0),"")</f>
        <v/>
      </c>
      <c r="R217" s="26" t="str">
        <f>IF(ISERROR(VLOOKUP($A217,Bestellungen!$6:$1048576,MATCH(Kasse!R$5,Bestellungen!$A$5:$X$5,0),0))=FALSE,SUMIF(Kalkulation!$A$6:$A$40,Kasse!R$5&amp;"*",Kalkulation!$C$6:$C$40)*VLOOKUP($A217,Bestellungen!$6:$1048576,MATCH(Kasse!R$5,Bestellungen!$A$5:$X$5,0),0),"")</f>
        <v/>
      </c>
      <c r="S217" s="26" t="str">
        <f>IF(ISERROR(VLOOKUP($A217,Bestellungen!$6:$1048576,MATCH(Kasse!S$5,Bestellungen!$A$5:$X$5,0),0))=FALSE,SUMIF(Kalkulation!$A$6:$A$40,Kasse!S$5&amp;"*",Kalkulation!$C$6:$C$40)*VLOOKUP($A217,Bestellungen!$6:$1048576,MATCH(Kasse!S$5,Bestellungen!$A$5:$X$5,0),0),"")</f>
        <v/>
      </c>
      <c r="T217" s="26" t="str">
        <f>IF(ISERROR(VLOOKUP($A217,Bestellungen!$6:$1048576,MATCH(Kasse!T$5,Bestellungen!$A$5:$X$5,0),0))=FALSE,SUMIF(Kalkulation!$A$6:$A$40,Kasse!T$5&amp;"*",Kalkulation!$C$6:$C$40)*VLOOKUP($A217,Bestellungen!$6:$1048576,MATCH(Kasse!T$5,Bestellungen!$A$5:$X$5,0),0),"")</f>
        <v/>
      </c>
      <c r="U217" s="26" t="str">
        <f t="shared" si="6"/>
        <v/>
      </c>
      <c r="W217" s="26" t="str">
        <f t="shared" si="7"/>
        <v/>
      </c>
      <c r="X217" s="26"/>
      <c r="Y217" s="26"/>
      <c r="Z217" s="26"/>
      <c r="AA217" s="26"/>
    </row>
    <row r="218" spans="1:27" x14ac:dyDescent="0.25">
      <c r="A218" t="str">
        <f>IF(LEN(Bestellungen!$A218)&gt;0,Bestellungen!$A218,"")</f>
        <v/>
      </c>
      <c r="B218" s="26" t="str">
        <f>IF(ISERROR(VLOOKUP($A218,Bestellungen!$6:$1048576,MATCH(Kasse!B$5,Bestellungen!$A$5:$X$5,0),0))=FALSE,SUMIF(Kalkulation!$A$6:$A$40,Kasse!B$5&amp;"*",Kalkulation!$C$6:$C$40)*VLOOKUP($A218,Bestellungen!$6:$1048576,MATCH(Kasse!B$5,Bestellungen!$A$5:$X$5,0),0),"")</f>
        <v/>
      </c>
      <c r="C218" s="26" t="str">
        <f>IF(ISERROR(VLOOKUP($A218,Bestellungen!$6:$1048576,MATCH(Kasse!C$5,Bestellungen!$A$5:$X$5,0),0))=FALSE,SUMIF(Kalkulation!$A$6:$A$40,Kasse!C$5&amp;"*",Kalkulation!$C$6:$C$40)*VLOOKUP($A218,Bestellungen!$6:$1048576,MATCH(Kasse!C$5,Bestellungen!$A$5:$X$5,0),0),"")</f>
        <v/>
      </c>
      <c r="D218" s="26" t="str">
        <f>IF(ISERROR(VLOOKUP($A218,Bestellungen!$6:$1048576,MATCH(Kasse!D$5,Bestellungen!$A$5:$X$5,0),0))=FALSE,SUMIF(Kalkulation!$A$6:$A$40,Kasse!D$5&amp;"*",Kalkulation!$C$6:$C$40)*VLOOKUP($A218,Bestellungen!$6:$1048576,MATCH(Kasse!D$5,Bestellungen!$A$5:$X$5,0),0),"")</f>
        <v/>
      </c>
      <c r="E218" s="26" t="str">
        <f>IF(ISERROR(VLOOKUP($A218,Bestellungen!$6:$1048576,MATCH(Kasse!E$5,Bestellungen!$A$5:$X$5,0),0))=FALSE,SUMIF(Kalkulation!$A$6:$A$40,Kasse!E$5&amp;"*",Kalkulation!$C$6:$C$40)*VLOOKUP($A218,Bestellungen!$6:$1048576,MATCH(Kasse!E$5,Bestellungen!$A$5:$X$5,0),0),"")</f>
        <v/>
      </c>
      <c r="F218" s="26" t="str">
        <f>IF(ISERROR(VLOOKUP($A218,Bestellungen!$6:$1048576,MATCH(Kasse!F$5,Bestellungen!$A$5:$X$5,0),0))=FALSE,SUMIF(Kalkulation!$A$6:$A$40,Kasse!F$5&amp;"*",Kalkulation!$C$6:$C$40)*VLOOKUP($A218,Bestellungen!$6:$1048576,MATCH(Kasse!F$5,Bestellungen!$A$5:$X$5,0),0),"")</f>
        <v/>
      </c>
      <c r="G218" s="26" t="str">
        <f>IF(ISERROR(VLOOKUP($A218,Bestellungen!$6:$1048576,MATCH(Kasse!G$5,Bestellungen!$A$5:$X$5,0),0))=FALSE,SUMIF(Kalkulation!$A$6:$A$40,Kasse!G$5&amp;"*",Kalkulation!$C$6:$C$40)*VLOOKUP($A218,Bestellungen!$6:$1048576,MATCH(Kasse!G$5,Bestellungen!$A$5:$X$5,0),0),"")</f>
        <v/>
      </c>
      <c r="H218" s="26" t="str">
        <f>IF(ISERROR(VLOOKUP($A218,Bestellungen!$6:$1048576,MATCH(Kasse!H$5,Bestellungen!$A$5:$X$5,0),0))=FALSE,SUMIF(Kalkulation!$A$6:$A$40,Kasse!H$5&amp;"*",Kalkulation!$C$6:$C$40)*VLOOKUP($A218,Bestellungen!$6:$1048576,MATCH(Kasse!H$5,Bestellungen!$A$5:$X$5,0),0),"")</f>
        <v/>
      </c>
      <c r="I218" s="26" t="str">
        <f>IF(ISERROR(VLOOKUP($A218,Bestellungen!$6:$1048576,MATCH(Kasse!I$5,Bestellungen!$A$5:$X$5,0),0))=FALSE,SUMIF(Kalkulation!$A$6:$A$40,Kasse!I$5&amp;"*",Kalkulation!$C$6:$C$40)*VLOOKUP($A218,Bestellungen!$6:$1048576,MATCH(Kasse!I$5,Bestellungen!$A$5:$X$5,0),0),"")</f>
        <v/>
      </c>
      <c r="J218" s="26" t="str">
        <f>IF(ISERROR(VLOOKUP($A218,Bestellungen!$6:$1048576,MATCH(Kasse!J$5,Bestellungen!$A$5:$X$5,0),0))=FALSE,SUMIF(Kalkulation!$A$6:$A$40,Kasse!J$5&amp;"*",Kalkulation!$C$6:$C$40)*VLOOKUP($A218,Bestellungen!$6:$1048576,MATCH(Kasse!J$5,Bestellungen!$A$5:$X$5,0),0),"")</f>
        <v/>
      </c>
      <c r="K218" s="26" t="str">
        <f>IF(ISERROR(VLOOKUP($A218,Bestellungen!$6:$1048576,MATCH(Kasse!K$5,Bestellungen!$A$5:$X$5,0),0))=FALSE,SUMIF(Kalkulation!$A$6:$A$40,Kasse!K$5&amp;"*",Kalkulation!$C$6:$C$40)*VLOOKUP($A218,Bestellungen!$6:$1048576,MATCH(Kasse!K$5,Bestellungen!$A$5:$X$5,0),0),"")</f>
        <v/>
      </c>
      <c r="L218" s="26" t="str">
        <f>IF(ISERROR(VLOOKUP($A218,Bestellungen!$6:$1048576,MATCH(Kasse!L$5,Bestellungen!$A$5:$X$5,0),0))=FALSE,SUMIF(Kalkulation!$A$6:$A$40,Kasse!L$5&amp;"*",Kalkulation!$C$6:$C$40)*VLOOKUP($A218,Bestellungen!$6:$1048576,MATCH(Kasse!L$5,Bestellungen!$A$5:$X$5,0),0),"")</f>
        <v/>
      </c>
      <c r="M218" s="26" t="str">
        <f>IF(ISERROR(VLOOKUP($A218,Bestellungen!$6:$1048576,MATCH(Kasse!M$5,Bestellungen!$A$5:$X$5,0),0))=FALSE,SUMIF(Kalkulation!$A$6:$A$40,Kasse!M$5&amp;"*",Kalkulation!$C$6:$C$40)*VLOOKUP($A218,Bestellungen!$6:$1048576,MATCH(Kasse!M$5,Bestellungen!$A$5:$X$5,0),0),"")</f>
        <v/>
      </c>
      <c r="N218" s="26" t="str">
        <f>IF(ISERROR(VLOOKUP($A218,Bestellungen!$6:$1048576,MATCH(Kasse!N$5,Bestellungen!$A$5:$X$5,0),0))=FALSE,SUMIF(Kalkulation!$A$6:$A$40,Kasse!N$5&amp;"*",Kalkulation!$C$6:$C$40)*VLOOKUP($A218,Bestellungen!$6:$1048576,MATCH(Kasse!N$5,Bestellungen!$A$5:$X$5,0),0),"")</f>
        <v/>
      </c>
      <c r="O218" s="26" t="str">
        <f>IF(ISERROR(VLOOKUP($A218,Bestellungen!$6:$1048576,MATCH(Kasse!O$5,Bestellungen!$A$5:$X$5,0),0))=FALSE,SUMIF(Kalkulation!$A$6:$A$40,Kasse!O$5&amp;"*",Kalkulation!$C$6:$C$40)*VLOOKUP($A218,Bestellungen!$6:$1048576,MATCH(Kasse!O$5,Bestellungen!$A$5:$X$5,0),0),"")</f>
        <v/>
      </c>
      <c r="P218" s="26" t="str">
        <f>IF(ISERROR(VLOOKUP($A218,Bestellungen!$6:$1048576,MATCH(Kasse!P$5,Bestellungen!$A$5:$X$5,0),0))=FALSE,SUMIF(Kalkulation!$A$6:$A$40,Kasse!P$5&amp;"*",Kalkulation!$C$6:$C$40)*VLOOKUP($A218,Bestellungen!$6:$1048576,MATCH(Kasse!P$5,Bestellungen!$A$5:$X$5,0),0),"")</f>
        <v/>
      </c>
      <c r="Q218" s="26" t="str">
        <f>IF(ISERROR(VLOOKUP($A218,Bestellungen!$6:$1048576,MATCH(Kasse!Q$5,Bestellungen!$A$5:$X$5,0),0))=FALSE,SUMIF(Kalkulation!$A$6:$A$40,Kasse!Q$5&amp;"*",Kalkulation!$C$6:$C$40)*VLOOKUP($A218,Bestellungen!$6:$1048576,MATCH(Kasse!Q$5,Bestellungen!$A$5:$X$5,0),0),"")</f>
        <v/>
      </c>
      <c r="R218" s="26" t="str">
        <f>IF(ISERROR(VLOOKUP($A218,Bestellungen!$6:$1048576,MATCH(Kasse!R$5,Bestellungen!$A$5:$X$5,0),0))=FALSE,SUMIF(Kalkulation!$A$6:$A$40,Kasse!R$5&amp;"*",Kalkulation!$C$6:$C$40)*VLOOKUP($A218,Bestellungen!$6:$1048576,MATCH(Kasse!R$5,Bestellungen!$A$5:$X$5,0),0),"")</f>
        <v/>
      </c>
      <c r="S218" s="26" t="str">
        <f>IF(ISERROR(VLOOKUP($A218,Bestellungen!$6:$1048576,MATCH(Kasse!S$5,Bestellungen!$A$5:$X$5,0),0))=FALSE,SUMIF(Kalkulation!$A$6:$A$40,Kasse!S$5&amp;"*",Kalkulation!$C$6:$C$40)*VLOOKUP($A218,Bestellungen!$6:$1048576,MATCH(Kasse!S$5,Bestellungen!$A$5:$X$5,0),0),"")</f>
        <v/>
      </c>
      <c r="T218" s="26" t="str">
        <f>IF(ISERROR(VLOOKUP($A218,Bestellungen!$6:$1048576,MATCH(Kasse!T$5,Bestellungen!$A$5:$X$5,0),0))=FALSE,SUMIF(Kalkulation!$A$6:$A$40,Kasse!T$5&amp;"*",Kalkulation!$C$6:$C$40)*VLOOKUP($A218,Bestellungen!$6:$1048576,MATCH(Kasse!T$5,Bestellungen!$A$5:$X$5,0),0),"")</f>
        <v/>
      </c>
      <c r="U218" s="26" t="str">
        <f t="shared" si="6"/>
        <v/>
      </c>
      <c r="W218" s="26" t="str">
        <f t="shared" si="7"/>
        <v/>
      </c>
      <c r="X218" s="26"/>
      <c r="Y218" s="26"/>
      <c r="Z218" s="26"/>
      <c r="AA218" s="26"/>
    </row>
    <row r="219" spans="1:27" x14ac:dyDescent="0.25">
      <c r="A219" t="str">
        <f>IF(LEN(Bestellungen!$A219)&gt;0,Bestellungen!$A219,"")</f>
        <v/>
      </c>
      <c r="B219" s="26" t="str">
        <f>IF(ISERROR(VLOOKUP($A219,Bestellungen!$6:$1048576,MATCH(Kasse!B$5,Bestellungen!$A$5:$X$5,0),0))=FALSE,SUMIF(Kalkulation!$A$6:$A$40,Kasse!B$5&amp;"*",Kalkulation!$C$6:$C$40)*VLOOKUP($A219,Bestellungen!$6:$1048576,MATCH(Kasse!B$5,Bestellungen!$A$5:$X$5,0),0),"")</f>
        <v/>
      </c>
      <c r="C219" s="26" t="str">
        <f>IF(ISERROR(VLOOKUP($A219,Bestellungen!$6:$1048576,MATCH(Kasse!C$5,Bestellungen!$A$5:$X$5,0),0))=FALSE,SUMIF(Kalkulation!$A$6:$A$40,Kasse!C$5&amp;"*",Kalkulation!$C$6:$C$40)*VLOOKUP($A219,Bestellungen!$6:$1048576,MATCH(Kasse!C$5,Bestellungen!$A$5:$X$5,0),0),"")</f>
        <v/>
      </c>
      <c r="D219" s="26" t="str">
        <f>IF(ISERROR(VLOOKUP($A219,Bestellungen!$6:$1048576,MATCH(Kasse!D$5,Bestellungen!$A$5:$X$5,0),0))=FALSE,SUMIF(Kalkulation!$A$6:$A$40,Kasse!D$5&amp;"*",Kalkulation!$C$6:$C$40)*VLOOKUP($A219,Bestellungen!$6:$1048576,MATCH(Kasse!D$5,Bestellungen!$A$5:$X$5,0),0),"")</f>
        <v/>
      </c>
      <c r="E219" s="26" t="str">
        <f>IF(ISERROR(VLOOKUP($A219,Bestellungen!$6:$1048576,MATCH(Kasse!E$5,Bestellungen!$A$5:$X$5,0),0))=FALSE,SUMIF(Kalkulation!$A$6:$A$40,Kasse!E$5&amp;"*",Kalkulation!$C$6:$C$40)*VLOOKUP($A219,Bestellungen!$6:$1048576,MATCH(Kasse!E$5,Bestellungen!$A$5:$X$5,0),0),"")</f>
        <v/>
      </c>
      <c r="F219" s="26" t="str">
        <f>IF(ISERROR(VLOOKUP($A219,Bestellungen!$6:$1048576,MATCH(Kasse!F$5,Bestellungen!$A$5:$X$5,0),0))=FALSE,SUMIF(Kalkulation!$A$6:$A$40,Kasse!F$5&amp;"*",Kalkulation!$C$6:$C$40)*VLOOKUP($A219,Bestellungen!$6:$1048576,MATCH(Kasse!F$5,Bestellungen!$A$5:$X$5,0),0),"")</f>
        <v/>
      </c>
      <c r="G219" s="26" t="str">
        <f>IF(ISERROR(VLOOKUP($A219,Bestellungen!$6:$1048576,MATCH(Kasse!G$5,Bestellungen!$A$5:$X$5,0),0))=FALSE,SUMIF(Kalkulation!$A$6:$A$40,Kasse!G$5&amp;"*",Kalkulation!$C$6:$C$40)*VLOOKUP($A219,Bestellungen!$6:$1048576,MATCH(Kasse!G$5,Bestellungen!$A$5:$X$5,0),0),"")</f>
        <v/>
      </c>
      <c r="H219" s="26" t="str">
        <f>IF(ISERROR(VLOOKUP($A219,Bestellungen!$6:$1048576,MATCH(Kasse!H$5,Bestellungen!$A$5:$X$5,0),0))=FALSE,SUMIF(Kalkulation!$A$6:$A$40,Kasse!H$5&amp;"*",Kalkulation!$C$6:$C$40)*VLOOKUP($A219,Bestellungen!$6:$1048576,MATCH(Kasse!H$5,Bestellungen!$A$5:$X$5,0),0),"")</f>
        <v/>
      </c>
      <c r="I219" s="26" t="str">
        <f>IF(ISERROR(VLOOKUP($A219,Bestellungen!$6:$1048576,MATCH(Kasse!I$5,Bestellungen!$A$5:$X$5,0),0))=FALSE,SUMIF(Kalkulation!$A$6:$A$40,Kasse!I$5&amp;"*",Kalkulation!$C$6:$C$40)*VLOOKUP($A219,Bestellungen!$6:$1048576,MATCH(Kasse!I$5,Bestellungen!$A$5:$X$5,0),0),"")</f>
        <v/>
      </c>
      <c r="J219" s="26" t="str">
        <f>IF(ISERROR(VLOOKUP($A219,Bestellungen!$6:$1048576,MATCH(Kasse!J$5,Bestellungen!$A$5:$X$5,0),0))=FALSE,SUMIF(Kalkulation!$A$6:$A$40,Kasse!J$5&amp;"*",Kalkulation!$C$6:$C$40)*VLOOKUP($A219,Bestellungen!$6:$1048576,MATCH(Kasse!J$5,Bestellungen!$A$5:$X$5,0),0),"")</f>
        <v/>
      </c>
      <c r="K219" s="26" t="str">
        <f>IF(ISERROR(VLOOKUP($A219,Bestellungen!$6:$1048576,MATCH(Kasse!K$5,Bestellungen!$A$5:$X$5,0),0))=FALSE,SUMIF(Kalkulation!$A$6:$A$40,Kasse!K$5&amp;"*",Kalkulation!$C$6:$C$40)*VLOOKUP($A219,Bestellungen!$6:$1048576,MATCH(Kasse!K$5,Bestellungen!$A$5:$X$5,0),0),"")</f>
        <v/>
      </c>
      <c r="L219" s="26" t="str">
        <f>IF(ISERROR(VLOOKUP($A219,Bestellungen!$6:$1048576,MATCH(Kasse!L$5,Bestellungen!$A$5:$X$5,0),0))=FALSE,SUMIF(Kalkulation!$A$6:$A$40,Kasse!L$5&amp;"*",Kalkulation!$C$6:$C$40)*VLOOKUP($A219,Bestellungen!$6:$1048576,MATCH(Kasse!L$5,Bestellungen!$A$5:$X$5,0),0),"")</f>
        <v/>
      </c>
      <c r="M219" s="26" t="str">
        <f>IF(ISERROR(VLOOKUP($A219,Bestellungen!$6:$1048576,MATCH(Kasse!M$5,Bestellungen!$A$5:$X$5,0),0))=FALSE,SUMIF(Kalkulation!$A$6:$A$40,Kasse!M$5&amp;"*",Kalkulation!$C$6:$C$40)*VLOOKUP($A219,Bestellungen!$6:$1048576,MATCH(Kasse!M$5,Bestellungen!$A$5:$X$5,0),0),"")</f>
        <v/>
      </c>
      <c r="N219" s="26" t="str">
        <f>IF(ISERROR(VLOOKUP($A219,Bestellungen!$6:$1048576,MATCH(Kasse!N$5,Bestellungen!$A$5:$X$5,0),0))=FALSE,SUMIF(Kalkulation!$A$6:$A$40,Kasse!N$5&amp;"*",Kalkulation!$C$6:$C$40)*VLOOKUP($A219,Bestellungen!$6:$1048576,MATCH(Kasse!N$5,Bestellungen!$A$5:$X$5,0),0),"")</f>
        <v/>
      </c>
      <c r="O219" s="26" t="str">
        <f>IF(ISERROR(VLOOKUP($A219,Bestellungen!$6:$1048576,MATCH(Kasse!O$5,Bestellungen!$A$5:$X$5,0),0))=FALSE,SUMIF(Kalkulation!$A$6:$A$40,Kasse!O$5&amp;"*",Kalkulation!$C$6:$C$40)*VLOOKUP($A219,Bestellungen!$6:$1048576,MATCH(Kasse!O$5,Bestellungen!$A$5:$X$5,0),0),"")</f>
        <v/>
      </c>
      <c r="P219" s="26" t="str">
        <f>IF(ISERROR(VLOOKUP($A219,Bestellungen!$6:$1048576,MATCH(Kasse!P$5,Bestellungen!$A$5:$X$5,0),0))=FALSE,SUMIF(Kalkulation!$A$6:$A$40,Kasse!P$5&amp;"*",Kalkulation!$C$6:$C$40)*VLOOKUP($A219,Bestellungen!$6:$1048576,MATCH(Kasse!P$5,Bestellungen!$A$5:$X$5,0),0),"")</f>
        <v/>
      </c>
      <c r="Q219" s="26" t="str">
        <f>IF(ISERROR(VLOOKUP($A219,Bestellungen!$6:$1048576,MATCH(Kasse!Q$5,Bestellungen!$A$5:$X$5,0),0))=FALSE,SUMIF(Kalkulation!$A$6:$A$40,Kasse!Q$5&amp;"*",Kalkulation!$C$6:$C$40)*VLOOKUP($A219,Bestellungen!$6:$1048576,MATCH(Kasse!Q$5,Bestellungen!$A$5:$X$5,0),0),"")</f>
        <v/>
      </c>
      <c r="R219" s="26" t="str">
        <f>IF(ISERROR(VLOOKUP($A219,Bestellungen!$6:$1048576,MATCH(Kasse!R$5,Bestellungen!$A$5:$X$5,0),0))=FALSE,SUMIF(Kalkulation!$A$6:$A$40,Kasse!R$5&amp;"*",Kalkulation!$C$6:$C$40)*VLOOKUP($A219,Bestellungen!$6:$1048576,MATCH(Kasse!R$5,Bestellungen!$A$5:$X$5,0),0),"")</f>
        <v/>
      </c>
      <c r="S219" s="26" t="str">
        <f>IF(ISERROR(VLOOKUP($A219,Bestellungen!$6:$1048576,MATCH(Kasse!S$5,Bestellungen!$A$5:$X$5,0),0))=FALSE,SUMIF(Kalkulation!$A$6:$A$40,Kasse!S$5&amp;"*",Kalkulation!$C$6:$C$40)*VLOOKUP($A219,Bestellungen!$6:$1048576,MATCH(Kasse!S$5,Bestellungen!$A$5:$X$5,0),0),"")</f>
        <v/>
      </c>
      <c r="T219" s="26" t="str">
        <f>IF(ISERROR(VLOOKUP($A219,Bestellungen!$6:$1048576,MATCH(Kasse!T$5,Bestellungen!$A$5:$X$5,0),0))=FALSE,SUMIF(Kalkulation!$A$6:$A$40,Kasse!T$5&amp;"*",Kalkulation!$C$6:$C$40)*VLOOKUP($A219,Bestellungen!$6:$1048576,MATCH(Kasse!T$5,Bestellungen!$A$5:$X$5,0),0),"")</f>
        <v/>
      </c>
      <c r="U219" s="26" t="str">
        <f t="shared" si="6"/>
        <v/>
      </c>
      <c r="W219" s="26" t="str">
        <f t="shared" si="7"/>
        <v/>
      </c>
      <c r="X219" s="26"/>
      <c r="Y219" s="26"/>
      <c r="Z219" s="26"/>
      <c r="AA219" s="26"/>
    </row>
    <row r="220" spans="1:27" x14ac:dyDescent="0.25">
      <c r="A220" t="str">
        <f>IF(LEN(Bestellungen!$A220)&gt;0,Bestellungen!$A220,"")</f>
        <v/>
      </c>
      <c r="B220" s="26" t="str">
        <f>IF(ISERROR(VLOOKUP($A220,Bestellungen!$6:$1048576,MATCH(Kasse!B$5,Bestellungen!$A$5:$X$5,0),0))=FALSE,SUMIF(Kalkulation!$A$6:$A$40,Kasse!B$5&amp;"*",Kalkulation!$C$6:$C$40)*VLOOKUP($A220,Bestellungen!$6:$1048576,MATCH(Kasse!B$5,Bestellungen!$A$5:$X$5,0),0),"")</f>
        <v/>
      </c>
      <c r="C220" s="26" t="str">
        <f>IF(ISERROR(VLOOKUP($A220,Bestellungen!$6:$1048576,MATCH(Kasse!C$5,Bestellungen!$A$5:$X$5,0),0))=FALSE,SUMIF(Kalkulation!$A$6:$A$40,Kasse!C$5&amp;"*",Kalkulation!$C$6:$C$40)*VLOOKUP($A220,Bestellungen!$6:$1048576,MATCH(Kasse!C$5,Bestellungen!$A$5:$X$5,0),0),"")</f>
        <v/>
      </c>
      <c r="D220" s="26" t="str">
        <f>IF(ISERROR(VLOOKUP($A220,Bestellungen!$6:$1048576,MATCH(Kasse!D$5,Bestellungen!$A$5:$X$5,0),0))=FALSE,SUMIF(Kalkulation!$A$6:$A$40,Kasse!D$5&amp;"*",Kalkulation!$C$6:$C$40)*VLOOKUP($A220,Bestellungen!$6:$1048576,MATCH(Kasse!D$5,Bestellungen!$A$5:$X$5,0),0),"")</f>
        <v/>
      </c>
      <c r="E220" s="26" t="str">
        <f>IF(ISERROR(VLOOKUP($A220,Bestellungen!$6:$1048576,MATCH(Kasse!E$5,Bestellungen!$A$5:$X$5,0),0))=FALSE,SUMIF(Kalkulation!$A$6:$A$40,Kasse!E$5&amp;"*",Kalkulation!$C$6:$C$40)*VLOOKUP($A220,Bestellungen!$6:$1048576,MATCH(Kasse!E$5,Bestellungen!$A$5:$X$5,0),0),"")</f>
        <v/>
      </c>
      <c r="F220" s="26" t="str">
        <f>IF(ISERROR(VLOOKUP($A220,Bestellungen!$6:$1048576,MATCH(Kasse!F$5,Bestellungen!$A$5:$X$5,0),0))=FALSE,SUMIF(Kalkulation!$A$6:$A$40,Kasse!F$5&amp;"*",Kalkulation!$C$6:$C$40)*VLOOKUP($A220,Bestellungen!$6:$1048576,MATCH(Kasse!F$5,Bestellungen!$A$5:$X$5,0),0),"")</f>
        <v/>
      </c>
      <c r="G220" s="26" t="str">
        <f>IF(ISERROR(VLOOKUP($A220,Bestellungen!$6:$1048576,MATCH(Kasse!G$5,Bestellungen!$A$5:$X$5,0),0))=FALSE,SUMIF(Kalkulation!$A$6:$A$40,Kasse!G$5&amp;"*",Kalkulation!$C$6:$C$40)*VLOOKUP($A220,Bestellungen!$6:$1048576,MATCH(Kasse!G$5,Bestellungen!$A$5:$X$5,0),0),"")</f>
        <v/>
      </c>
      <c r="H220" s="26" t="str">
        <f>IF(ISERROR(VLOOKUP($A220,Bestellungen!$6:$1048576,MATCH(Kasse!H$5,Bestellungen!$A$5:$X$5,0),0))=FALSE,SUMIF(Kalkulation!$A$6:$A$40,Kasse!H$5&amp;"*",Kalkulation!$C$6:$C$40)*VLOOKUP($A220,Bestellungen!$6:$1048576,MATCH(Kasse!H$5,Bestellungen!$A$5:$X$5,0),0),"")</f>
        <v/>
      </c>
      <c r="I220" s="26" t="str">
        <f>IF(ISERROR(VLOOKUP($A220,Bestellungen!$6:$1048576,MATCH(Kasse!I$5,Bestellungen!$A$5:$X$5,0),0))=FALSE,SUMIF(Kalkulation!$A$6:$A$40,Kasse!I$5&amp;"*",Kalkulation!$C$6:$C$40)*VLOOKUP($A220,Bestellungen!$6:$1048576,MATCH(Kasse!I$5,Bestellungen!$A$5:$X$5,0),0),"")</f>
        <v/>
      </c>
      <c r="J220" s="26" t="str">
        <f>IF(ISERROR(VLOOKUP($A220,Bestellungen!$6:$1048576,MATCH(Kasse!J$5,Bestellungen!$A$5:$X$5,0),0))=FALSE,SUMIF(Kalkulation!$A$6:$A$40,Kasse!J$5&amp;"*",Kalkulation!$C$6:$C$40)*VLOOKUP($A220,Bestellungen!$6:$1048576,MATCH(Kasse!J$5,Bestellungen!$A$5:$X$5,0),0),"")</f>
        <v/>
      </c>
      <c r="K220" s="26" t="str">
        <f>IF(ISERROR(VLOOKUP($A220,Bestellungen!$6:$1048576,MATCH(Kasse!K$5,Bestellungen!$A$5:$X$5,0),0))=FALSE,SUMIF(Kalkulation!$A$6:$A$40,Kasse!K$5&amp;"*",Kalkulation!$C$6:$C$40)*VLOOKUP($A220,Bestellungen!$6:$1048576,MATCH(Kasse!K$5,Bestellungen!$A$5:$X$5,0),0),"")</f>
        <v/>
      </c>
      <c r="L220" s="26" t="str">
        <f>IF(ISERROR(VLOOKUP($A220,Bestellungen!$6:$1048576,MATCH(Kasse!L$5,Bestellungen!$A$5:$X$5,0),0))=FALSE,SUMIF(Kalkulation!$A$6:$A$40,Kasse!L$5&amp;"*",Kalkulation!$C$6:$C$40)*VLOOKUP($A220,Bestellungen!$6:$1048576,MATCH(Kasse!L$5,Bestellungen!$A$5:$X$5,0),0),"")</f>
        <v/>
      </c>
      <c r="M220" s="26" t="str">
        <f>IF(ISERROR(VLOOKUP($A220,Bestellungen!$6:$1048576,MATCH(Kasse!M$5,Bestellungen!$A$5:$X$5,0),0))=FALSE,SUMIF(Kalkulation!$A$6:$A$40,Kasse!M$5&amp;"*",Kalkulation!$C$6:$C$40)*VLOOKUP($A220,Bestellungen!$6:$1048576,MATCH(Kasse!M$5,Bestellungen!$A$5:$X$5,0),0),"")</f>
        <v/>
      </c>
      <c r="N220" s="26" t="str">
        <f>IF(ISERROR(VLOOKUP($A220,Bestellungen!$6:$1048576,MATCH(Kasse!N$5,Bestellungen!$A$5:$X$5,0),0))=FALSE,SUMIF(Kalkulation!$A$6:$A$40,Kasse!N$5&amp;"*",Kalkulation!$C$6:$C$40)*VLOOKUP($A220,Bestellungen!$6:$1048576,MATCH(Kasse!N$5,Bestellungen!$A$5:$X$5,0),0),"")</f>
        <v/>
      </c>
      <c r="O220" s="26" t="str">
        <f>IF(ISERROR(VLOOKUP($A220,Bestellungen!$6:$1048576,MATCH(Kasse!O$5,Bestellungen!$A$5:$X$5,0),0))=FALSE,SUMIF(Kalkulation!$A$6:$A$40,Kasse!O$5&amp;"*",Kalkulation!$C$6:$C$40)*VLOOKUP($A220,Bestellungen!$6:$1048576,MATCH(Kasse!O$5,Bestellungen!$A$5:$X$5,0),0),"")</f>
        <v/>
      </c>
      <c r="P220" s="26" t="str">
        <f>IF(ISERROR(VLOOKUP($A220,Bestellungen!$6:$1048576,MATCH(Kasse!P$5,Bestellungen!$A$5:$X$5,0),0))=FALSE,SUMIF(Kalkulation!$A$6:$A$40,Kasse!P$5&amp;"*",Kalkulation!$C$6:$C$40)*VLOOKUP($A220,Bestellungen!$6:$1048576,MATCH(Kasse!P$5,Bestellungen!$A$5:$X$5,0),0),"")</f>
        <v/>
      </c>
      <c r="Q220" s="26" t="str">
        <f>IF(ISERROR(VLOOKUP($A220,Bestellungen!$6:$1048576,MATCH(Kasse!Q$5,Bestellungen!$A$5:$X$5,0),0))=FALSE,SUMIF(Kalkulation!$A$6:$A$40,Kasse!Q$5&amp;"*",Kalkulation!$C$6:$C$40)*VLOOKUP($A220,Bestellungen!$6:$1048576,MATCH(Kasse!Q$5,Bestellungen!$A$5:$X$5,0),0),"")</f>
        <v/>
      </c>
      <c r="R220" s="26" t="str">
        <f>IF(ISERROR(VLOOKUP($A220,Bestellungen!$6:$1048576,MATCH(Kasse!R$5,Bestellungen!$A$5:$X$5,0),0))=FALSE,SUMIF(Kalkulation!$A$6:$A$40,Kasse!R$5&amp;"*",Kalkulation!$C$6:$C$40)*VLOOKUP($A220,Bestellungen!$6:$1048576,MATCH(Kasse!R$5,Bestellungen!$A$5:$X$5,0),0),"")</f>
        <v/>
      </c>
      <c r="S220" s="26" t="str">
        <f>IF(ISERROR(VLOOKUP($A220,Bestellungen!$6:$1048576,MATCH(Kasse!S$5,Bestellungen!$A$5:$X$5,0),0))=FALSE,SUMIF(Kalkulation!$A$6:$A$40,Kasse!S$5&amp;"*",Kalkulation!$C$6:$C$40)*VLOOKUP($A220,Bestellungen!$6:$1048576,MATCH(Kasse!S$5,Bestellungen!$A$5:$X$5,0),0),"")</f>
        <v/>
      </c>
      <c r="T220" s="26" t="str">
        <f>IF(ISERROR(VLOOKUP($A220,Bestellungen!$6:$1048576,MATCH(Kasse!T$5,Bestellungen!$A$5:$X$5,0),0))=FALSE,SUMIF(Kalkulation!$A$6:$A$40,Kasse!T$5&amp;"*",Kalkulation!$C$6:$C$40)*VLOOKUP($A220,Bestellungen!$6:$1048576,MATCH(Kasse!T$5,Bestellungen!$A$5:$X$5,0),0),"")</f>
        <v/>
      </c>
      <c r="U220" s="26" t="str">
        <f t="shared" si="6"/>
        <v/>
      </c>
      <c r="W220" s="26" t="str">
        <f t="shared" si="7"/>
        <v/>
      </c>
      <c r="X220" s="26"/>
      <c r="Y220" s="26"/>
      <c r="Z220" s="26"/>
      <c r="AA220" s="26"/>
    </row>
    <row r="221" spans="1:27" x14ac:dyDescent="0.25">
      <c r="A221" t="str">
        <f>IF(LEN(Bestellungen!$A221)&gt;0,Bestellungen!$A221,"")</f>
        <v/>
      </c>
      <c r="U221" s="26" t="str">
        <f t="shared" si="6"/>
        <v/>
      </c>
      <c r="W221" s="26" t="str">
        <f t="shared" si="7"/>
        <v/>
      </c>
    </row>
    <row r="222" spans="1:27" x14ac:dyDescent="0.25">
      <c r="A222" t="str">
        <f>IF(LEN(Bestellungen!$A222)&gt;0,Bestellungen!$A222,"")</f>
        <v/>
      </c>
      <c r="U222" s="26" t="str">
        <f t="shared" si="6"/>
        <v/>
      </c>
      <c r="W222" s="26" t="str">
        <f t="shared" si="7"/>
        <v/>
      </c>
    </row>
    <row r="223" spans="1:27" x14ac:dyDescent="0.25">
      <c r="A223" t="str">
        <f>IF(LEN(Bestellungen!$A223)&gt;0,Bestellungen!$A223,"")</f>
        <v/>
      </c>
      <c r="U223" s="26" t="str">
        <f t="shared" si="6"/>
        <v/>
      </c>
      <c r="W223" s="26" t="str">
        <f t="shared" si="7"/>
        <v/>
      </c>
    </row>
    <row r="224" spans="1:27" x14ac:dyDescent="0.25">
      <c r="A224" t="str">
        <f>IF(LEN(Bestellungen!$A224)&gt;0,Bestellungen!$A224,"")</f>
        <v/>
      </c>
      <c r="U224" s="26" t="str">
        <f t="shared" si="6"/>
        <v/>
      </c>
      <c r="W224" s="26" t="str">
        <f t="shared" si="7"/>
        <v/>
      </c>
    </row>
    <row r="225" spans="1:23" x14ac:dyDescent="0.25">
      <c r="A225" t="str">
        <f>IF(LEN(Bestellungen!$A225)&gt;0,Bestellungen!$A225,"")</f>
        <v/>
      </c>
      <c r="U225" s="26" t="str">
        <f t="shared" si="6"/>
        <v/>
      </c>
      <c r="W225" s="26" t="str">
        <f t="shared" si="7"/>
        <v/>
      </c>
    </row>
    <row r="226" spans="1:23" x14ac:dyDescent="0.25">
      <c r="A226" t="str">
        <f>IF(LEN(Bestellungen!$A226)&gt;0,Bestellungen!$A226,"")</f>
        <v/>
      </c>
      <c r="U226" s="26" t="str">
        <f t="shared" si="6"/>
        <v/>
      </c>
      <c r="W226" s="26" t="str">
        <f t="shared" si="7"/>
        <v/>
      </c>
    </row>
    <row r="227" spans="1:23" x14ac:dyDescent="0.25">
      <c r="A227" t="str">
        <f>IF(LEN(Bestellungen!$A227)&gt;0,Bestellungen!$A227,"")</f>
        <v/>
      </c>
      <c r="U227" s="26" t="str">
        <f t="shared" si="6"/>
        <v/>
      </c>
      <c r="W227" s="26" t="str">
        <f t="shared" si="7"/>
        <v/>
      </c>
    </row>
    <row r="228" spans="1:23" x14ac:dyDescent="0.25">
      <c r="A228" t="str">
        <f>IF(LEN(Bestellungen!$A228)&gt;0,Bestellungen!$A228,"")</f>
        <v/>
      </c>
      <c r="U228" s="26" t="str">
        <f t="shared" si="6"/>
        <v/>
      </c>
      <c r="W228" s="26" t="str">
        <f t="shared" si="7"/>
        <v/>
      </c>
    </row>
    <row r="229" spans="1:23" x14ac:dyDescent="0.25">
      <c r="A229" t="str">
        <f>IF(LEN(Bestellungen!$A229)&gt;0,Bestellungen!$A229,"")</f>
        <v/>
      </c>
      <c r="U229" s="26" t="str">
        <f t="shared" si="6"/>
        <v/>
      </c>
      <c r="W229" s="26" t="str">
        <f t="shared" si="7"/>
        <v/>
      </c>
    </row>
    <row r="230" spans="1:23" x14ac:dyDescent="0.25">
      <c r="A230" t="str">
        <f>IF(LEN(Bestellungen!$A230)&gt;0,Bestellungen!$A230,"")</f>
        <v/>
      </c>
      <c r="U230" s="26" t="str">
        <f t="shared" si="6"/>
        <v/>
      </c>
      <c r="W230" s="26" t="str">
        <f t="shared" si="7"/>
        <v/>
      </c>
    </row>
    <row r="231" spans="1:23" x14ac:dyDescent="0.25">
      <c r="A231" t="str">
        <f>IF(LEN(Bestellungen!$A231)&gt;0,Bestellungen!$A231,"")</f>
        <v/>
      </c>
      <c r="U231" s="26" t="str">
        <f t="shared" si="6"/>
        <v/>
      </c>
      <c r="W231" s="26" t="str">
        <f t="shared" si="7"/>
        <v/>
      </c>
    </row>
    <row r="232" spans="1:23" x14ac:dyDescent="0.25">
      <c r="A232" t="str">
        <f>IF(LEN(Bestellungen!$A232)&gt;0,Bestellungen!$A232,"")</f>
        <v/>
      </c>
      <c r="U232" s="26" t="str">
        <f t="shared" si="6"/>
        <v/>
      </c>
      <c r="W232" s="26" t="str">
        <f t="shared" si="7"/>
        <v/>
      </c>
    </row>
    <row r="233" spans="1:23" x14ac:dyDescent="0.25">
      <c r="A233" t="str">
        <f>IF(LEN(Bestellungen!$A233)&gt;0,Bestellungen!$A233,"")</f>
        <v/>
      </c>
      <c r="U233" s="26" t="str">
        <f t="shared" si="6"/>
        <v/>
      </c>
      <c r="W233" s="26" t="str">
        <f t="shared" si="7"/>
        <v/>
      </c>
    </row>
    <row r="234" spans="1:23" x14ac:dyDescent="0.25">
      <c r="A234" t="str">
        <f>IF(LEN(Bestellungen!$A234)&gt;0,Bestellungen!$A234,"")</f>
        <v/>
      </c>
      <c r="U234" s="26" t="str">
        <f t="shared" si="6"/>
        <v/>
      </c>
      <c r="W234" s="26" t="str">
        <f t="shared" si="7"/>
        <v/>
      </c>
    </row>
    <row r="235" spans="1:23" x14ac:dyDescent="0.25">
      <c r="A235" t="str">
        <f>IF(LEN(Bestellungen!$A235)&gt;0,Bestellungen!$A235,"")</f>
        <v/>
      </c>
      <c r="U235" s="26" t="str">
        <f t="shared" si="6"/>
        <v/>
      </c>
      <c r="W235" s="26" t="str">
        <f t="shared" si="7"/>
        <v/>
      </c>
    </row>
    <row r="236" spans="1:23" x14ac:dyDescent="0.25">
      <c r="A236" t="str">
        <f>IF(LEN(Bestellungen!$A236)&gt;0,Bestellungen!$A236,"")</f>
        <v/>
      </c>
      <c r="U236" s="26" t="str">
        <f t="shared" si="6"/>
        <v/>
      </c>
      <c r="W236" s="26" t="str">
        <f t="shared" si="7"/>
        <v/>
      </c>
    </row>
    <row r="237" spans="1:23" x14ac:dyDescent="0.25">
      <c r="A237" t="str">
        <f>IF(LEN(Bestellungen!$A237)&gt;0,Bestellungen!$A237,"")</f>
        <v/>
      </c>
      <c r="U237" s="26" t="str">
        <f t="shared" si="6"/>
        <v/>
      </c>
      <c r="W237" s="26" t="str">
        <f t="shared" si="7"/>
        <v/>
      </c>
    </row>
    <row r="238" spans="1:23" x14ac:dyDescent="0.25">
      <c r="A238" t="str">
        <f>IF(LEN(Bestellungen!$A238)&gt;0,Bestellungen!$A238,"")</f>
        <v/>
      </c>
      <c r="U238" s="26" t="str">
        <f t="shared" si="6"/>
        <v/>
      </c>
      <c r="W238" s="26" t="str">
        <f t="shared" si="7"/>
        <v/>
      </c>
    </row>
    <row r="239" spans="1:23" x14ac:dyDescent="0.25">
      <c r="A239" t="str">
        <f>IF(LEN(Bestellungen!$A239)&gt;0,Bestellungen!$A239,"")</f>
        <v/>
      </c>
      <c r="U239" s="26" t="str">
        <f t="shared" si="6"/>
        <v/>
      </c>
      <c r="W239" s="26" t="str">
        <f t="shared" si="7"/>
        <v/>
      </c>
    </row>
    <row r="240" spans="1:23" x14ac:dyDescent="0.25">
      <c r="A240" t="str">
        <f>IF(LEN(Bestellungen!$A240)&gt;0,Bestellungen!$A240,"")</f>
        <v/>
      </c>
      <c r="U240" s="26" t="str">
        <f t="shared" si="6"/>
        <v/>
      </c>
      <c r="W240" s="26" t="str">
        <f t="shared" si="7"/>
        <v/>
      </c>
    </row>
    <row r="241" spans="1:23" x14ac:dyDescent="0.25">
      <c r="A241" t="str">
        <f>IF(LEN(Bestellungen!$A241)&gt;0,Bestellungen!$A241,"")</f>
        <v/>
      </c>
      <c r="U241" s="26" t="str">
        <f t="shared" si="6"/>
        <v/>
      </c>
      <c r="W241" s="26" t="str">
        <f t="shared" si="7"/>
        <v/>
      </c>
    </row>
    <row r="242" spans="1:23" x14ac:dyDescent="0.25">
      <c r="A242" t="str">
        <f>IF(LEN(Bestellungen!$A242)&gt;0,Bestellungen!$A242,"")</f>
        <v/>
      </c>
      <c r="U242" s="26" t="str">
        <f t="shared" si="6"/>
        <v/>
      </c>
      <c r="W242" s="26" t="str">
        <f t="shared" si="7"/>
        <v/>
      </c>
    </row>
    <row r="243" spans="1:23" x14ac:dyDescent="0.25">
      <c r="A243" t="str">
        <f>IF(LEN(Bestellungen!$A243)&gt;0,Bestellungen!$A243,"")</f>
        <v/>
      </c>
      <c r="U243" s="26" t="str">
        <f t="shared" si="6"/>
        <v/>
      </c>
      <c r="W243" s="26" t="str">
        <f t="shared" si="7"/>
        <v/>
      </c>
    </row>
    <row r="244" spans="1:23" x14ac:dyDescent="0.25">
      <c r="A244" t="str">
        <f>IF(LEN(Bestellungen!$A244)&gt;0,Bestellungen!$A244,"")</f>
        <v/>
      </c>
      <c r="U244" s="26" t="str">
        <f t="shared" si="6"/>
        <v/>
      </c>
      <c r="W244" s="26" t="str">
        <f t="shared" si="7"/>
        <v/>
      </c>
    </row>
    <row r="245" spans="1:23" x14ac:dyDescent="0.25">
      <c r="A245" t="str">
        <f>IF(LEN(Bestellungen!$A245)&gt;0,Bestellungen!$A245,"")</f>
        <v/>
      </c>
      <c r="U245" s="26" t="str">
        <f t="shared" si="6"/>
        <v/>
      </c>
      <c r="W245" s="26" t="str">
        <f t="shared" si="7"/>
        <v/>
      </c>
    </row>
    <row r="246" spans="1:23" x14ac:dyDescent="0.25">
      <c r="A246" t="str">
        <f>IF(LEN(Bestellungen!$A246)&gt;0,Bestellungen!$A246,"")</f>
        <v/>
      </c>
      <c r="U246" s="26" t="str">
        <f t="shared" si="6"/>
        <v/>
      </c>
      <c r="W246" s="26" t="str">
        <f t="shared" si="7"/>
        <v/>
      </c>
    </row>
    <row r="247" spans="1:23" x14ac:dyDescent="0.25">
      <c r="A247" t="str">
        <f>IF(LEN(Bestellungen!$A247)&gt;0,Bestellungen!$A247,"")</f>
        <v/>
      </c>
      <c r="U247" s="26" t="str">
        <f t="shared" si="6"/>
        <v/>
      </c>
      <c r="W247" s="26" t="str">
        <f t="shared" si="7"/>
        <v/>
      </c>
    </row>
    <row r="248" spans="1:23" x14ac:dyDescent="0.25">
      <c r="A248" t="str">
        <f>IF(LEN(Bestellungen!$A248)&gt;0,Bestellungen!$A248,"")</f>
        <v/>
      </c>
      <c r="U248" s="26" t="str">
        <f t="shared" si="6"/>
        <v/>
      </c>
      <c r="W248" s="26" t="str">
        <f t="shared" si="7"/>
        <v/>
      </c>
    </row>
    <row r="249" spans="1:23" x14ac:dyDescent="0.25">
      <c r="A249" t="str">
        <f>IF(LEN(Bestellungen!$A249)&gt;0,Bestellungen!$A249,"")</f>
        <v/>
      </c>
      <c r="U249" s="26" t="str">
        <f t="shared" si="6"/>
        <v/>
      </c>
      <c r="W249" s="26" t="str">
        <f t="shared" si="7"/>
        <v/>
      </c>
    </row>
    <row r="250" spans="1:23" x14ac:dyDescent="0.25">
      <c r="A250" t="str">
        <f>IF(LEN(Bestellungen!$A250)&gt;0,Bestellungen!$A250,"")</f>
        <v/>
      </c>
      <c r="U250" s="26" t="str">
        <f t="shared" si="6"/>
        <v/>
      </c>
      <c r="W250" s="26" t="str">
        <f t="shared" si="7"/>
        <v/>
      </c>
    </row>
    <row r="251" spans="1:23" x14ac:dyDescent="0.25">
      <c r="A251" t="str">
        <f>IF(LEN(Bestellungen!$A251)&gt;0,Bestellungen!$A251,"")</f>
        <v/>
      </c>
      <c r="U251" s="26" t="str">
        <f t="shared" si="6"/>
        <v/>
      </c>
      <c r="W251" s="26" t="str">
        <f t="shared" si="7"/>
        <v/>
      </c>
    </row>
    <row r="252" spans="1:23" x14ac:dyDescent="0.25">
      <c r="A252" t="str">
        <f>IF(LEN(Bestellungen!$A252)&gt;0,Bestellungen!$A252,"")</f>
        <v/>
      </c>
      <c r="U252" s="26" t="str">
        <f t="shared" si="6"/>
        <v/>
      </c>
      <c r="W252" s="26" t="str">
        <f t="shared" si="7"/>
        <v/>
      </c>
    </row>
    <row r="253" spans="1:23" x14ac:dyDescent="0.25">
      <c r="A253" t="str">
        <f>IF(LEN(Bestellungen!$A253)&gt;0,Bestellungen!$A253,"")</f>
        <v/>
      </c>
      <c r="U253" s="26" t="str">
        <f t="shared" si="6"/>
        <v/>
      </c>
      <c r="W253" s="26" t="str">
        <f t="shared" si="7"/>
        <v/>
      </c>
    </row>
    <row r="254" spans="1:23" x14ac:dyDescent="0.25">
      <c r="A254" t="str">
        <f>IF(LEN(Bestellungen!$A254)&gt;0,Bestellungen!$A254,"")</f>
        <v/>
      </c>
      <c r="U254" s="26" t="str">
        <f t="shared" si="6"/>
        <v/>
      </c>
      <c r="W254" s="26" t="str">
        <f t="shared" si="7"/>
        <v/>
      </c>
    </row>
    <row r="255" spans="1:23" x14ac:dyDescent="0.25">
      <c r="A255" t="str">
        <f>IF(LEN(Bestellungen!$A255)&gt;0,Bestellungen!$A255,"")</f>
        <v/>
      </c>
      <c r="U255" s="26" t="str">
        <f t="shared" si="6"/>
        <v/>
      </c>
      <c r="W255" s="26" t="str">
        <f t="shared" si="7"/>
        <v/>
      </c>
    </row>
    <row r="256" spans="1:23" x14ac:dyDescent="0.25">
      <c r="A256" t="str">
        <f>IF(LEN(Bestellungen!$A256)&gt;0,Bestellungen!$A256,"")</f>
        <v/>
      </c>
      <c r="U256" s="26" t="str">
        <f t="shared" si="6"/>
        <v/>
      </c>
      <c r="W256" s="26" t="str">
        <f t="shared" si="7"/>
        <v/>
      </c>
    </row>
    <row r="257" spans="1:23" x14ac:dyDescent="0.25">
      <c r="A257" t="str">
        <f>IF(LEN(Bestellungen!$A257)&gt;0,Bestellungen!$A257,"")</f>
        <v/>
      </c>
      <c r="U257" s="26" t="str">
        <f t="shared" si="6"/>
        <v/>
      </c>
      <c r="W257" s="26" t="str">
        <f t="shared" si="7"/>
        <v/>
      </c>
    </row>
    <row r="258" spans="1:23" x14ac:dyDescent="0.25">
      <c r="A258" t="str">
        <f>IF(LEN(Bestellungen!$A258)&gt;0,Bestellungen!$A258,"")</f>
        <v/>
      </c>
      <c r="U258" s="26" t="str">
        <f t="shared" si="6"/>
        <v/>
      </c>
      <c r="W258" s="26" t="str">
        <f t="shared" si="7"/>
        <v/>
      </c>
    </row>
    <row r="259" spans="1:23" x14ac:dyDescent="0.25">
      <c r="A259" t="str">
        <f>IF(LEN(Bestellungen!$A259)&gt;0,Bestellungen!$A259,"")</f>
        <v/>
      </c>
      <c r="U259" s="26" t="str">
        <f t="shared" si="6"/>
        <v/>
      </c>
      <c r="W259" s="26" t="str">
        <f t="shared" si="7"/>
        <v/>
      </c>
    </row>
    <row r="260" spans="1:23" x14ac:dyDescent="0.25">
      <c r="A260" t="str">
        <f>IF(LEN(Bestellungen!$A260)&gt;0,Bestellungen!$A260,"")</f>
        <v/>
      </c>
      <c r="U260" s="26" t="str">
        <f t="shared" si="6"/>
        <v/>
      </c>
      <c r="W260" s="26" t="str">
        <f t="shared" si="7"/>
        <v/>
      </c>
    </row>
    <row r="261" spans="1:23" x14ac:dyDescent="0.25">
      <c r="A261" t="str">
        <f>IF(LEN(Bestellungen!$A261)&gt;0,Bestellungen!$A261,"")</f>
        <v/>
      </c>
      <c r="U261" s="26" t="str">
        <f t="shared" si="6"/>
        <v/>
      </c>
      <c r="W261" s="26" t="str">
        <f t="shared" si="7"/>
        <v/>
      </c>
    </row>
    <row r="262" spans="1:23" x14ac:dyDescent="0.25">
      <c r="A262" t="str">
        <f>IF(LEN(Bestellungen!$A262)&gt;0,Bestellungen!$A262,"")</f>
        <v/>
      </c>
      <c r="U262" s="26" t="str">
        <f t="shared" si="6"/>
        <v/>
      </c>
      <c r="W262" s="26" t="str">
        <f t="shared" si="7"/>
        <v/>
      </c>
    </row>
    <row r="263" spans="1:23" x14ac:dyDescent="0.25">
      <c r="A263" t="str">
        <f>IF(LEN(Bestellungen!$A263)&gt;0,Bestellungen!$A263,"")</f>
        <v/>
      </c>
      <c r="U263" s="26" t="str">
        <f t="shared" ref="U263:U326" si="8">IF(COUNT(B263:M263)&gt;0,SUM(B263:M263),"")</f>
        <v/>
      </c>
      <c r="W263" s="26" t="str">
        <f t="shared" ref="W263:W317" si="9">IF(AND(ISNUMBER(U263),ISNUMBER(VALUE(V263))),VALUE(V263)-U263,"")</f>
        <v/>
      </c>
    </row>
    <row r="264" spans="1:23" x14ac:dyDescent="0.25">
      <c r="A264" t="str">
        <f>IF(LEN(Bestellungen!$A264)&gt;0,Bestellungen!$A264,"")</f>
        <v/>
      </c>
      <c r="U264" s="26" t="str">
        <f t="shared" si="8"/>
        <v/>
      </c>
      <c r="W264" s="26" t="str">
        <f t="shared" si="9"/>
        <v/>
      </c>
    </row>
    <row r="265" spans="1:23" x14ac:dyDescent="0.25">
      <c r="A265" t="str">
        <f>IF(LEN(Bestellungen!$A265)&gt;0,Bestellungen!$A265,"")</f>
        <v/>
      </c>
      <c r="U265" s="26" t="str">
        <f t="shared" si="8"/>
        <v/>
      </c>
      <c r="W265" s="26" t="str">
        <f t="shared" si="9"/>
        <v/>
      </c>
    </row>
    <row r="266" spans="1:23" x14ac:dyDescent="0.25">
      <c r="A266" t="str">
        <f>IF(LEN(Bestellungen!$A266)&gt;0,Bestellungen!$A266,"")</f>
        <v/>
      </c>
      <c r="U266" s="26" t="str">
        <f t="shared" si="8"/>
        <v/>
      </c>
      <c r="W266" s="26" t="str">
        <f t="shared" si="9"/>
        <v/>
      </c>
    </row>
    <row r="267" spans="1:23" x14ac:dyDescent="0.25">
      <c r="A267" t="str">
        <f>IF(LEN(Bestellungen!$A267)&gt;0,Bestellungen!$A267,"")</f>
        <v/>
      </c>
      <c r="U267" s="26" t="str">
        <f t="shared" si="8"/>
        <v/>
      </c>
      <c r="W267" s="26" t="str">
        <f t="shared" si="9"/>
        <v/>
      </c>
    </row>
    <row r="268" spans="1:23" x14ac:dyDescent="0.25">
      <c r="A268" t="str">
        <f>IF(LEN(Bestellungen!$A268)&gt;0,Bestellungen!$A268,"")</f>
        <v/>
      </c>
      <c r="U268" s="26" t="str">
        <f t="shared" si="8"/>
        <v/>
      </c>
      <c r="W268" s="26" t="str">
        <f t="shared" si="9"/>
        <v/>
      </c>
    </row>
    <row r="269" spans="1:23" x14ac:dyDescent="0.25">
      <c r="A269" t="str">
        <f>IF(LEN(Bestellungen!$A269)&gt;0,Bestellungen!$A269,"")</f>
        <v/>
      </c>
      <c r="U269" s="26" t="str">
        <f t="shared" si="8"/>
        <v/>
      </c>
      <c r="W269" s="26" t="str">
        <f t="shared" si="9"/>
        <v/>
      </c>
    </row>
    <row r="270" spans="1:23" x14ac:dyDescent="0.25">
      <c r="A270" t="str">
        <f>IF(LEN(Bestellungen!$A270)&gt;0,Bestellungen!$A270,"")</f>
        <v/>
      </c>
      <c r="U270" s="26" t="str">
        <f t="shared" si="8"/>
        <v/>
      </c>
      <c r="W270" s="26" t="str">
        <f t="shared" si="9"/>
        <v/>
      </c>
    </row>
    <row r="271" spans="1:23" x14ac:dyDescent="0.25">
      <c r="A271" t="str">
        <f>IF(LEN(Bestellungen!$A271)&gt;0,Bestellungen!$A271,"")</f>
        <v/>
      </c>
      <c r="U271" s="26" t="str">
        <f t="shared" si="8"/>
        <v/>
      </c>
      <c r="W271" s="26" t="str">
        <f t="shared" si="9"/>
        <v/>
      </c>
    </row>
    <row r="272" spans="1:23" x14ac:dyDescent="0.25">
      <c r="A272" t="str">
        <f>IF(LEN(Bestellungen!$A272)&gt;0,Bestellungen!$A272,"")</f>
        <v/>
      </c>
      <c r="U272" s="26" t="str">
        <f t="shared" si="8"/>
        <v/>
      </c>
      <c r="W272" s="26" t="str">
        <f t="shared" si="9"/>
        <v/>
      </c>
    </row>
    <row r="273" spans="1:23" x14ac:dyDescent="0.25">
      <c r="A273" t="str">
        <f>IF(LEN(Bestellungen!$A273)&gt;0,Bestellungen!$A273,"")</f>
        <v/>
      </c>
      <c r="U273" s="26" t="str">
        <f t="shared" si="8"/>
        <v/>
      </c>
      <c r="W273" s="26" t="str">
        <f t="shared" si="9"/>
        <v/>
      </c>
    </row>
    <row r="274" spans="1:23" x14ac:dyDescent="0.25">
      <c r="A274" t="str">
        <f>IF(LEN(Bestellungen!$A274)&gt;0,Bestellungen!$A274,"")</f>
        <v/>
      </c>
      <c r="U274" s="26" t="str">
        <f t="shared" si="8"/>
        <v/>
      </c>
      <c r="W274" s="26" t="str">
        <f t="shared" si="9"/>
        <v/>
      </c>
    </row>
    <row r="275" spans="1:23" x14ac:dyDescent="0.25">
      <c r="A275" t="str">
        <f>IF(LEN(Bestellungen!$A275)&gt;0,Bestellungen!$A275,"")</f>
        <v/>
      </c>
      <c r="U275" s="26" t="str">
        <f t="shared" si="8"/>
        <v/>
      </c>
      <c r="W275" s="26" t="str">
        <f t="shared" si="9"/>
        <v/>
      </c>
    </row>
    <row r="276" spans="1:23" x14ac:dyDescent="0.25">
      <c r="A276" t="str">
        <f>IF(LEN(Bestellungen!$A276)&gt;0,Bestellungen!$A276,"")</f>
        <v/>
      </c>
      <c r="U276" s="26" t="str">
        <f t="shared" si="8"/>
        <v/>
      </c>
      <c r="W276" s="26" t="str">
        <f t="shared" si="9"/>
        <v/>
      </c>
    </row>
    <row r="277" spans="1:23" x14ac:dyDescent="0.25">
      <c r="A277" t="str">
        <f>IF(LEN(Bestellungen!$A277)&gt;0,Bestellungen!$A277,"")</f>
        <v/>
      </c>
      <c r="U277" s="26" t="str">
        <f t="shared" si="8"/>
        <v/>
      </c>
      <c r="W277" s="26" t="str">
        <f t="shared" si="9"/>
        <v/>
      </c>
    </row>
    <row r="278" spans="1:23" x14ac:dyDescent="0.25">
      <c r="A278" t="str">
        <f>IF(LEN(Bestellungen!$A278)&gt;0,Bestellungen!$A278,"")</f>
        <v/>
      </c>
      <c r="U278" s="26" t="str">
        <f t="shared" si="8"/>
        <v/>
      </c>
      <c r="W278" s="26" t="str">
        <f t="shared" si="9"/>
        <v/>
      </c>
    </row>
    <row r="279" spans="1:23" x14ac:dyDescent="0.25">
      <c r="A279" t="str">
        <f>IF(LEN(Bestellungen!$A279)&gt;0,Bestellungen!$A279,"")</f>
        <v/>
      </c>
      <c r="U279" s="26" t="str">
        <f t="shared" si="8"/>
        <v/>
      </c>
      <c r="W279" s="26" t="str">
        <f t="shared" si="9"/>
        <v/>
      </c>
    </row>
    <row r="280" spans="1:23" x14ac:dyDescent="0.25">
      <c r="A280" t="str">
        <f>IF(LEN(Bestellungen!$A280)&gt;0,Bestellungen!$A280,"")</f>
        <v/>
      </c>
      <c r="U280" s="26" t="str">
        <f t="shared" si="8"/>
        <v/>
      </c>
      <c r="W280" s="26" t="str">
        <f t="shared" si="9"/>
        <v/>
      </c>
    </row>
    <row r="281" spans="1:23" x14ac:dyDescent="0.25">
      <c r="A281" t="str">
        <f>IF(LEN(Bestellungen!$A281)&gt;0,Bestellungen!$A281,"")</f>
        <v/>
      </c>
      <c r="U281" s="26" t="str">
        <f t="shared" si="8"/>
        <v/>
      </c>
      <c r="W281" s="26" t="str">
        <f t="shared" si="9"/>
        <v/>
      </c>
    </row>
    <row r="282" spans="1:23" x14ac:dyDescent="0.25">
      <c r="A282" t="str">
        <f>IF(LEN(Bestellungen!$A282)&gt;0,Bestellungen!$A282,"")</f>
        <v/>
      </c>
      <c r="U282" s="26" t="str">
        <f t="shared" si="8"/>
        <v/>
      </c>
      <c r="W282" s="26" t="str">
        <f t="shared" si="9"/>
        <v/>
      </c>
    </row>
    <row r="283" spans="1:23" x14ac:dyDescent="0.25">
      <c r="A283" t="str">
        <f>IF(LEN(Bestellungen!$A283)&gt;0,Bestellungen!$A283,"")</f>
        <v/>
      </c>
      <c r="U283" s="26" t="str">
        <f t="shared" si="8"/>
        <v/>
      </c>
      <c r="W283" s="26" t="str">
        <f t="shared" si="9"/>
        <v/>
      </c>
    </row>
    <row r="284" spans="1:23" x14ac:dyDescent="0.25">
      <c r="A284" t="str">
        <f>IF(LEN(Bestellungen!$A284)&gt;0,Bestellungen!$A284,"")</f>
        <v/>
      </c>
      <c r="U284" s="26" t="str">
        <f t="shared" si="8"/>
        <v/>
      </c>
      <c r="W284" s="26" t="str">
        <f t="shared" si="9"/>
        <v/>
      </c>
    </row>
    <row r="285" spans="1:23" x14ac:dyDescent="0.25">
      <c r="A285" t="str">
        <f>IF(LEN(Bestellungen!$A285)&gt;0,Bestellungen!$A285,"")</f>
        <v/>
      </c>
      <c r="U285" s="26" t="str">
        <f t="shared" si="8"/>
        <v/>
      </c>
      <c r="W285" s="26" t="str">
        <f t="shared" si="9"/>
        <v/>
      </c>
    </row>
    <row r="286" spans="1:23" x14ac:dyDescent="0.25">
      <c r="A286" t="str">
        <f>IF(LEN(Bestellungen!$A286)&gt;0,Bestellungen!$A286,"")</f>
        <v/>
      </c>
      <c r="U286" s="26" t="str">
        <f t="shared" si="8"/>
        <v/>
      </c>
      <c r="W286" s="26" t="str">
        <f t="shared" si="9"/>
        <v/>
      </c>
    </row>
    <row r="287" spans="1:23" x14ac:dyDescent="0.25">
      <c r="A287" t="str">
        <f>IF(LEN(Bestellungen!$A287)&gt;0,Bestellungen!$A287,"")</f>
        <v/>
      </c>
      <c r="U287" s="26" t="str">
        <f t="shared" si="8"/>
        <v/>
      </c>
      <c r="W287" s="26" t="str">
        <f t="shared" si="9"/>
        <v/>
      </c>
    </row>
    <row r="288" spans="1:23" x14ac:dyDescent="0.25">
      <c r="A288" t="str">
        <f>IF(LEN(Bestellungen!$A288)&gt;0,Bestellungen!$A288,"")</f>
        <v/>
      </c>
      <c r="U288" s="26" t="str">
        <f t="shared" si="8"/>
        <v/>
      </c>
      <c r="W288" s="26" t="str">
        <f t="shared" si="9"/>
        <v/>
      </c>
    </row>
    <row r="289" spans="1:23" x14ac:dyDescent="0.25">
      <c r="A289" t="str">
        <f>IF(LEN(Bestellungen!$A289)&gt;0,Bestellungen!$A289,"")</f>
        <v/>
      </c>
      <c r="U289" s="26" t="str">
        <f t="shared" si="8"/>
        <v/>
      </c>
      <c r="W289" s="26" t="str">
        <f t="shared" si="9"/>
        <v/>
      </c>
    </row>
    <row r="290" spans="1:23" x14ac:dyDescent="0.25">
      <c r="A290" t="str">
        <f>IF(LEN(Bestellungen!$A290)&gt;0,Bestellungen!$A290,"")</f>
        <v/>
      </c>
      <c r="U290" s="26" t="str">
        <f t="shared" si="8"/>
        <v/>
      </c>
      <c r="W290" s="26" t="str">
        <f t="shared" si="9"/>
        <v/>
      </c>
    </row>
    <row r="291" spans="1:23" x14ac:dyDescent="0.25">
      <c r="A291" t="str">
        <f>IF(LEN(Bestellungen!$A291)&gt;0,Bestellungen!$A291,"")</f>
        <v/>
      </c>
      <c r="U291" s="26" t="str">
        <f t="shared" si="8"/>
        <v/>
      </c>
      <c r="W291" s="26" t="str">
        <f t="shared" si="9"/>
        <v/>
      </c>
    </row>
    <row r="292" spans="1:23" x14ac:dyDescent="0.25">
      <c r="A292" t="str">
        <f>IF(LEN(Bestellungen!$A292)&gt;0,Bestellungen!$A292,"")</f>
        <v/>
      </c>
      <c r="U292" s="26" t="str">
        <f t="shared" si="8"/>
        <v/>
      </c>
      <c r="W292" s="26" t="str">
        <f t="shared" si="9"/>
        <v/>
      </c>
    </row>
    <row r="293" spans="1:23" x14ac:dyDescent="0.25">
      <c r="A293" t="str">
        <f>IF(LEN(Bestellungen!$A293)&gt;0,Bestellungen!$A293,"")</f>
        <v/>
      </c>
      <c r="U293" s="26" t="str">
        <f t="shared" si="8"/>
        <v/>
      </c>
      <c r="W293" s="26" t="str">
        <f t="shared" si="9"/>
        <v/>
      </c>
    </row>
    <row r="294" spans="1:23" x14ac:dyDescent="0.25">
      <c r="A294" t="str">
        <f>IF(LEN(Bestellungen!$A294)&gt;0,Bestellungen!$A294,"")</f>
        <v/>
      </c>
      <c r="U294" s="26" t="str">
        <f t="shared" si="8"/>
        <v/>
      </c>
      <c r="W294" s="26" t="str">
        <f t="shared" si="9"/>
        <v/>
      </c>
    </row>
    <row r="295" spans="1:23" x14ac:dyDescent="0.25">
      <c r="A295" t="str">
        <f>IF(LEN(Bestellungen!$A295)&gt;0,Bestellungen!$A295,"")</f>
        <v/>
      </c>
      <c r="U295" s="26" t="str">
        <f t="shared" si="8"/>
        <v/>
      </c>
      <c r="W295" s="26" t="str">
        <f t="shared" si="9"/>
        <v/>
      </c>
    </row>
    <row r="296" spans="1:23" x14ac:dyDescent="0.25">
      <c r="A296" t="str">
        <f>IF(LEN(Bestellungen!$A296)&gt;0,Bestellungen!$A296,"")</f>
        <v/>
      </c>
      <c r="U296" s="26" t="str">
        <f t="shared" si="8"/>
        <v/>
      </c>
      <c r="W296" s="26" t="str">
        <f t="shared" si="9"/>
        <v/>
      </c>
    </row>
    <row r="297" spans="1:23" x14ac:dyDescent="0.25">
      <c r="A297" t="str">
        <f>IF(LEN(Bestellungen!$A297)&gt;0,Bestellungen!$A297,"")</f>
        <v/>
      </c>
      <c r="U297" s="26" t="str">
        <f t="shared" si="8"/>
        <v/>
      </c>
      <c r="W297" s="26" t="str">
        <f t="shared" si="9"/>
        <v/>
      </c>
    </row>
    <row r="298" spans="1:23" x14ac:dyDescent="0.25">
      <c r="A298" t="str">
        <f>IF(LEN(Bestellungen!$A298)&gt;0,Bestellungen!$A298,"")</f>
        <v/>
      </c>
      <c r="U298" s="26" t="str">
        <f t="shared" si="8"/>
        <v/>
      </c>
      <c r="W298" s="26" t="str">
        <f t="shared" si="9"/>
        <v/>
      </c>
    </row>
    <row r="299" spans="1:23" x14ac:dyDescent="0.25">
      <c r="A299" t="str">
        <f>IF(LEN(Bestellungen!$A299)&gt;0,Bestellungen!$A299,"")</f>
        <v/>
      </c>
      <c r="U299" s="26" t="str">
        <f t="shared" si="8"/>
        <v/>
      </c>
      <c r="W299" s="26" t="str">
        <f t="shared" si="9"/>
        <v/>
      </c>
    </row>
    <row r="300" spans="1:23" x14ac:dyDescent="0.25">
      <c r="A300" t="str">
        <f>IF(LEN(Bestellungen!$A300)&gt;0,Bestellungen!$A300,"")</f>
        <v/>
      </c>
      <c r="U300" s="26" t="str">
        <f t="shared" si="8"/>
        <v/>
      </c>
      <c r="W300" s="26" t="str">
        <f t="shared" si="9"/>
        <v/>
      </c>
    </row>
    <row r="301" spans="1:23" x14ac:dyDescent="0.25">
      <c r="A301" t="str">
        <f>IF(LEN(Bestellungen!$A301)&gt;0,Bestellungen!$A301,"")</f>
        <v/>
      </c>
      <c r="U301" s="26" t="str">
        <f t="shared" si="8"/>
        <v/>
      </c>
      <c r="W301" s="26" t="str">
        <f t="shared" si="9"/>
        <v/>
      </c>
    </row>
    <row r="302" spans="1:23" x14ac:dyDescent="0.25">
      <c r="A302" t="str">
        <f>IF(LEN(Bestellungen!$A302)&gt;0,Bestellungen!$A302,"")</f>
        <v/>
      </c>
      <c r="U302" s="26" t="str">
        <f t="shared" si="8"/>
        <v/>
      </c>
      <c r="W302" s="26" t="str">
        <f t="shared" si="9"/>
        <v/>
      </c>
    </row>
    <row r="303" spans="1:23" x14ac:dyDescent="0.25">
      <c r="A303" t="str">
        <f>IF(LEN(Bestellungen!$A303)&gt;0,Bestellungen!$A303,"")</f>
        <v/>
      </c>
      <c r="U303" s="26" t="str">
        <f t="shared" si="8"/>
        <v/>
      </c>
      <c r="W303" s="26" t="str">
        <f t="shared" si="9"/>
        <v/>
      </c>
    </row>
    <row r="304" spans="1:23" x14ac:dyDescent="0.25">
      <c r="A304" t="str">
        <f>IF(LEN(Bestellungen!$A304)&gt;0,Bestellungen!$A304,"")</f>
        <v/>
      </c>
      <c r="U304" s="26" t="str">
        <f t="shared" si="8"/>
        <v/>
      </c>
      <c r="W304" s="26" t="str">
        <f t="shared" si="9"/>
        <v/>
      </c>
    </row>
    <row r="305" spans="1:23" x14ac:dyDescent="0.25">
      <c r="A305" t="str">
        <f>IF(LEN(Bestellungen!$A305)&gt;0,Bestellungen!$A305,"")</f>
        <v/>
      </c>
      <c r="U305" s="26" t="str">
        <f t="shared" si="8"/>
        <v/>
      </c>
      <c r="W305" s="26" t="str">
        <f t="shared" si="9"/>
        <v/>
      </c>
    </row>
    <row r="306" spans="1:23" x14ac:dyDescent="0.25">
      <c r="A306" t="str">
        <f>IF(LEN(Bestellungen!$A306)&gt;0,Bestellungen!$A306,"")</f>
        <v/>
      </c>
      <c r="U306" s="26" t="str">
        <f t="shared" si="8"/>
        <v/>
      </c>
      <c r="W306" s="26" t="str">
        <f t="shared" si="9"/>
        <v/>
      </c>
    </row>
    <row r="307" spans="1:23" x14ac:dyDescent="0.25">
      <c r="A307" t="str">
        <f>IF(LEN(Bestellungen!$A307)&gt;0,Bestellungen!$A307,"")</f>
        <v/>
      </c>
      <c r="U307" s="26" t="str">
        <f t="shared" si="8"/>
        <v/>
      </c>
      <c r="W307" s="26" t="str">
        <f t="shared" si="9"/>
        <v/>
      </c>
    </row>
    <row r="308" spans="1:23" x14ac:dyDescent="0.25">
      <c r="A308" t="str">
        <f>IF(LEN(Bestellungen!$A308)&gt;0,Bestellungen!$A308,"")</f>
        <v/>
      </c>
      <c r="U308" s="26" t="str">
        <f t="shared" si="8"/>
        <v/>
      </c>
      <c r="W308" s="26" t="str">
        <f t="shared" si="9"/>
        <v/>
      </c>
    </row>
    <row r="309" spans="1:23" x14ac:dyDescent="0.25">
      <c r="A309" t="str">
        <f>IF(LEN(Bestellungen!$A309)&gt;0,Bestellungen!$A309,"")</f>
        <v/>
      </c>
      <c r="U309" s="26" t="str">
        <f t="shared" si="8"/>
        <v/>
      </c>
      <c r="W309" s="26" t="str">
        <f t="shared" si="9"/>
        <v/>
      </c>
    </row>
    <row r="310" spans="1:23" x14ac:dyDescent="0.25">
      <c r="A310" t="str">
        <f>IF(LEN(Bestellungen!$A310)&gt;0,Bestellungen!$A310,"")</f>
        <v/>
      </c>
      <c r="U310" s="26" t="str">
        <f t="shared" si="8"/>
        <v/>
      </c>
      <c r="W310" s="26" t="str">
        <f t="shared" si="9"/>
        <v/>
      </c>
    </row>
    <row r="311" spans="1:23" x14ac:dyDescent="0.25">
      <c r="A311" t="str">
        <f>IF(LEN(Bestellungen!$A311)&gt;0,Bestellungen!$A311,"")</f>
        <v/>
      </c>
      <c r="U311" s="26" t="str">
        <f t="shared" si="8"/>
        <v/>
      </c>
      <c r="W311" s="26" t="str">
        <f t="shared" si="9"/>
        <v/>
      </c>
    </row>
    <row r="312" spans="1:23" x14ac:dyDescent="0.25">
      <c r="A312" t="str">
        <f>IF(LEN(Bestellungen!$A312)&gt;0,Bestellungen!$A312,"")</f>
        <v/>
      </c>
      <c r="U312" s="26" t="str">
        <f t="shared" si="8"/>
        <v/>
      </c>
      <c r="W312" s="26" t="str">
        <f t="shared" si="9"/>
        <v/>
      </c>
    </row>
    <row r="313" spans="1:23" x14ac:dyDescent="0.25">
      <c r="A313" t="str">
        <f>IF(LEN(Bestellungen!$A313)&gt;0,Bestellungen!$A313,"")</f>
        <v/>
      </c>
      <c r="U313" s="26" t="str">
        <f t="shared" si="8"/>
        <v/>
      </c>
      <c r="W313" s="26" t="str">
        <f t="shared" si="9"/>
        <v/>
      </c>
    </row>
    <row r="314" spans="1:23" x14ac:dyDescent="0.25">
      <c r="A314" t="str">
        <f>IF(LEN(Bestellungen!$A314)&gt;0,Bestellungen!$A314,"")</f>
        <v/>
      </c>
      <c r="U314" s="26" t="str">
        <f t="shared" si="8"/>
        <v/>
      </c>
      <c r="W314" s="26" t="str">
        <f t="shared" si="9"/>
        <v/>
      </c>
    </row>
    <row r="315" spans="1:23" x14ac:dyDescent="0.25">
      <c r="A315" t="str">
        <f>IF(LEN(Bestellungen!$A315)&gt;0,Bestellungen!$A315,"")</f>
        <v/>
      </c>
      <c r="U315" s="26" t="str">
        <f t="shared" si="8"/>
        <v/>
      </c>
      <c r="W315" s="26" t="str">
        <f t="shared" si="9"/>
        <v/>
      </c>
    </row>
    <row r="316" spans="1:23" x14ac:dyDescent="0.25">
      <c r="A316" t="str">
        <f>IF(LEN(Bestellungen!$A316)&gt;0,Bestellungen!$A316,"")</f>
        <v/>
      </c>
      <c r="U316" s="26" t="str">
        <f t="shared" si="8"/>
        <v/>
      </c>
      <c r="W316" s="26" t="str">
        <f t="shared" si="9"/>
        <v/>
      </c>
    </row>
    <row r="317" spans="1:23" x14ac:dyDescent="0.25">
      <c r="A317" t="str">
        <f>IF(LEN(Bestellungen!$A317)&gt;0,Bestellungen!$A317,"")</f>
        <v/>
      </c>
      <c r="U317" s="26" t="str">
        <f t="shared" si="8"/>
        <v/>
      </c>
      <c r="W317" s="26" t="str">
        <f t="shared" si="9"/>
        <v/>
      </c>
    </row>
    <row r="318" spans="1:23" x14ac:dyDescent="0.25">
      <c r="A318" t="str">
        <f>IF(LEN(Bestellungen!$A318)&gt;0,Bestellungen!$A318,"")</f>
        <v/>
      </c>
      <c r="U318" s="26" t="str">
        <f t="shared" si="8"/>
        <v/>
      </c>
    </row>
    <row r="319" spans="1:23" x14ac:dyDescent="0.25">
      <c r="A319" t="str">
        <f>IF(LEN(Bestellungen!$A319)&gt;0,Bestellungen!$A319,"")</f>
        <v/>
      </c>
      <c r="U319" s="26" t="str">
        <f t="shared" si="8"/>
        <v/>
      </c>
    </row>
    <row r="320" spans="1:23" x14ac:dyDescent="0.25">
      <c r="A320" t="str">
        <f>IF(LEN(Bestellungen!$A320)&gt;0,Bestellungen!$A320,"")</f>
        <v/>
      </c>
      <c r="U320" s="26" t="str">
        <f t="shared" si="8"/>
        <v/>
      </c>
    </row>
    <row r="321" spans="1:21" x14ac:dyDescent="0.25">
      <c r="A321" t="str">
        <f>IF(LEN(Bestellungen!$A321)&gt;0,Bestellungen!$A321,"")</f>
        <v/>
      </c>
      <c r="U321" s="26" t="str">
        <f t="shared" si="8"/>
        <v/>
      </c>
    </row>
    <row r="322" spans="1:21" x14ac:dyDescent="0.25">
      <c r="A322" t="str">
        <f>IF(LEN(Bestellungen!$A322)&gt;0,Bestellungen!$A322,"")</f>
        <v/>
      </c>
      <c r="U322" s="26" t="str">
        <f t="shared" si="8"/>
        <v/>
      </c>
    </row>
    <row r="323" spans="1:21" x14ac:dyDescent="0.25">
      <c r="A323" t="str">
        <f>IF(LEN(Bestellungen!$A323)&gt;0,Bestellungen!$A323,"")</f>
        <v/>
      </c>
      <c r="U323" s="26" t="str">
        <f t="shared" si="8"/>
        <v/>
      </c>
    </row>
    <row r="324" spans="1:21" x14ac:dyDescent="0.25">
      <c r="A324" t="str">
        <f>IF(LEN(Bestellungen!$A324)&gt;0,Bestellungen!$A324,"")</f>
        <v/>
      </c>
      <c r="U324" s="26" t="str">
        <f t="shared" si="8"/>
        <v/>
      </c>
    </row>
    <row r="325" spans="1:21" x14ac:dyDescent="0.25">
      <c r="A325" t="str">
        <f>IF(LEN(Bestellungen!$A325)&gt;0,Bestellungen!$A325,"")</f>
        <v/>
      </c>
      <c r="U325" s="26" t="str">
        <f t="shared" si="8"/>
        <v/>
      </c>
    </row>
    <row r="326" spans="1:21" x14ac:dyDescent="0.25">
      <c r="A326" t="str">
        <f>IF(LEN(Bestellungen!$A326)&gt;0,Bestellungen!$A326,"")</f>
        <v/>
      </c>
      <c r="U326" s="26" t="str">
        <f t="shared" si="8"/>
        <v/>
      </c>
    </row>
    <row r="327" spans="1:21" x14ac:dyDescent="0.25">
      <c r="A327" t="str">
        <f>IF(LEN(Bestellungen!$A327)&gt;0,Bestellungen!$A327,"")</f>
        <v/>
      </c>
      <c r="U327" s="26" t="str">
        <f t="shared" ref="U327:U390" si="10">IF(COUNT(B327:M327)&gt;0,SUM(B327:M327),"")</f>
        <v/>
      </c>
    </row>
    <row r="328" spans="1:21" x14ac:dyDescent="0.25">
      <c r="A328" t="str">
        <f>IF(LEN(Bestellungen!$A328)&gt;0,Bestellungen!$A328,"")</f>
        <v/>
      </c>
      <c r="U328" s="26" t="str">
        <f t="shared" si="10"/>
        <v/>
      </c>
    </row>
    <row r="329" spans="1:21" x14ac:dyDescent="0.25">
      <c r="A329" t="str">
        <f>IF(LEN(Bestellungen!$A329)&gt;0,Bestellungen!$A329,"")</f>
        <v/>
      </c>
      <c r="U329" s="26" t="str">
        <f t="shared" si="10"/>
        <v/>
      </c>
    </row>
    <row r="330" spans="1:21" x14ac:dyDescent="0.25">
      <c r="A330" t="str">
        <f>IF(LEN(Bestellungen!$A330)&gt;0,Bestellungen!$A330,"")</f>
        <v/>
      </c>
      <c r="U330" s="26" t="str">
        <f t="shared" si="10"/>
        <v/>
      </c>
    </row>
    <row r="331" spans="1:21" x14ac:dyDescent="0.25">
      <c r="A331" t="str">
        <f>IF(LEN(Bestellungen!$A331)&gt;0,Bestellungen!$A331,"")</f>
        <v/>
      </c>
      <c r="U331" s="26" t="str">
        <f t="shared" si="10"/>
        <v/>
      </c>
    </row>
    <row r="332" spans="1:21" x14ac:dyDescent="0.25">
      <c r="A332" t="str">
        <f>IF(LEN(Bestellungen!$A332)&gt;0,Bestellungen!$A332,"")</f>
        <v/>
      </c>
      <c r="U332" s="26" t="str">
        <f t="shared" si="10"/>
        <v/>
      </c>
    </row>
    <row r="333" spans="1:21" x14ac:dyDescent="0.25">
      <c r="A333" t="str">
        <f>IF(LEN(Bestellungen!$A333)&gt;0,Bestellungen!$A333,"")</f>
        <v/>
      </c>
      <c r="U333" s="26" t="str">
        <f t="shared" si="10"/>
        <v/>
      </c>
    </row>
    <row r="334" spans="1:21" x14ac:dyDescent="0.25">
      <c r="A334" t="str">
        <f>IF(LEN(Bestellungen!$A334)&gt;0,Bestellungen!$A334,"")</f>
        <v/>
      </c>
      <c r="U334" s="26" t="str">
        <f t="shared" si="10"/>
        <v/>
      </c>
    </row>
    <row r="335" spans="1:21" x14ac:dyDescent="0.25">
      <c r="A335" t="str">
        <f>IF(LEN(Bestellungen!$A335)&gt;0,Bestellungen!$A335,"")</f>
        <v/>
      </c>
      <c r="U335" s="26" t="str">
        <f t="shared" si="10"/>
        <v/>
      </c>
    </row>
    <row r="336" spans="1:21" x14ac:dyDescent="0.25">
      <c r="A336" t="str">
        <f>IF(LEN(Bestellungen!$A336)&gt;0,Bestellungen!$A336,"")</f>
        <v/>
      </c>
      <c r="U336" s="26" t="str">
        <f t="shared" si="10"/>
        <v/>
      </c>
    </row>
    <row r="337" spans="1:21" x14ac:dyDescent="0.25">
      <c r="A337" t="str">
        <f>IF(LEN(Bestellungen!$A337)&gt;0,Bestellungen!$A337,"")</f>
        <v/>
      </c>
      <c r="U337" s="26" t="str">
        <f t="shared" si="10"/>
        <v/>
      </c>
    </row>
    <row r="338" spans="1:21" x14ac:dyDescent="0.25">
      <c r="A338" t="str">
        <f>IF(LEN(Bestellungen!$A338)&gt;0,Bestellungen!$A338,"")</f>
        <v/>
      </c>
      <c r="U338" s="26" t="str">
        <f t="shared" si="10"/>
        <v/>
      </c>
    </row>
    <row r="339" spans="1:21" x14ac:dyDescent="0.25">
      <c r="A339" t="str">
        <f>IF(LEN(Bestellungen!$A339)&gt;0,Bestellungen!$A339,"")</f>
        <v/>
      </c>
      <c r="U339" s="26" t="str">
        <f t="shared" si="10"/>
        <v/>
      </c>
    </row>
    <row r="340" spans="1:21" x14ac:dyDescent="0.25">
      <c r="A340" t="str">
        <f>IF(LEN(Bestellungen!$A340)&gt;0,Bestellungen!$A340,"")</f>
        <v/>
      </c>
      <c r="U340" s="26" t="str">
        <f t="shared" si="10"/>
        <v/>
      </c>
    </row>
    <row r="341" spans="1:21" x14ac:dyDescent="0.25">
      <c r="A341" t="str">
        <f>IF(LEN(Bestellungen!$A341)&gt;0,Bestellungen!$A341,"")</f>
        <v/>
      </c>
      <c r="U341" s="26" t="str">
        <f t="shared" si="10"/>
        <v/>
      </c>
    </row>
    <row r="342" spans="1:21" x14ac:dyDescent="0.25">
      <c r="A342" t="str">
        <f>IF(LEN(Bestellungen!$A342)&gt;0,Bestellungen!$A342,"")</f>
        <v/>
      </c>
      <c r="U342" s="26" t="str">
        <f t="shared" si="10"/>
        <v/>
      </c>
    </row>
    <row r="343" spans="1:21" x14ac:dyDescent="0.25">
      <c r="A343" t="str">
        <f>IF(LEN(Bestellungen!$A343)&gt;0,Bestellungen!$A343,"")</f>
        <v/>
      </c>
      <c r="U343" s="26" t="str">
        <f t="shared" si="10"/>
        <v/>
      </c>
    </row>
    <row r="344" spans="1:21" x14ac:dyDescent="0.25">
      <c r="A344" t="str">
        <f>IF(LEN(Bestellungen!$A344)&gt;0,Bestellungen!$A344,"")</f>
        <v/>
      </c>
      <c r="U344" s="26" t="str">
        <f t="shared" si="10"/>
        <v/>
      </c>
    </row>
    <row r="345" spans="1:21" x14ac:dyDescent="0.25">
      <c r="A345" t="str">
        <f>IF(LEN(Bestellungen!$A345)&gt;0,Bestellungen!$A345,"")</f>
        <v/>
      </c>
      <c r="U345" s="26" t="str">
        <f t="shared" si="10"/>
        <v/>
      </c>
    </row>
    <row r="346" spans="1:21" x14ac:dyDescent="0.25">
      <c r="A346" t="str">
        <f>IF(LEN(Bestellungen!$A346)&gt;0,Bestellungen!$A346,"")</f>
        <v/>
      </c>
      <c r="U346" s="26" t="str">
        <f t="shared" si="10"/>
        <v/>
      </c>
    </row>
    <row r="347" spans="1:21" x14ac:dyDescent="0.25">
      <c r="A347" t="str">
        <f>IF(LEN(Bestellungen!$A347)&gt;0,Bestellungen!$A347,"")</f>
        <v/>
      </c>
      <c r="U347" s="26" t="str">
        <f t="shared" si="10"/>
        <v/>
      </c>
    </row>
    <row r="348" spans="1:21" x14ac:dyDescent="0.25">
      <c r="A348" t="str">
        <f>IF(LEN(Bestellungen!$A348)&gt;0,Bestellungen!$A348,"")</f>
        <v/>
      </c>
      <c r="U348" s="26" t="str">
        <f t="shared" si="10"/>
        <v/>
      </c>
    </row>
    <row r="349" spans="1:21" x14ac:dyDescent="0.25">
      <c r="A349" t="str">
        <f>IF(LEN(Bestellungen!$A349)&gt;0,Bestellungen!$A349,"")</f>
        <v/>
      </c>
      <c r="U349" s="26" t="str">
        <f t="shared" si="10"/>
        <v/>
      </c>
    </row>
    <row r="350" spans="1:21" x14ac:dyDescent="0.25">
      <c r="A350" t="str">
        <f>IF(LEN(Bestellungen!$A350)&gt;0,Bestellungen!$A350,"")</f>
        <v/>
      </c>
      <c r="U350" s="26" t="str">
        <f t="shared" si="10"/>
        <v/>
      </c>
    </row>
    <row r="351" spans="1:21" x14ac:dyDescent="0.25">
      <c r="A351" t="str">
        <f>IF(LEN(Bestellungen!$A351)&gt;0,Bestellungen!$A351,"")</f>
        <v/>
      </c>
      <c r="U351" s="26" t="str">
        <f t="shared" si="10"/>
        <v/>
      </c>
    </row>
    <row r="352" spans="1:21" x14ac:dyDescent="0.25">
      <c r="A352" t="str">
        <f>IF(LEN(Bestellungen!$A352)&gt;0,Bestellungen!$A352,"")</f>
        <v/>
      </c>
      <c r="U352" s="26" t="str">
        <f t="shared" si="10"/>
        <v/>
      </c>
    </row>
    <row r="353" spans="1:21" x14ac:dyDescent="0.25">
      <c r="A353" t="str">
        <f>IF(LEN(Bestellungen!$A353)&gt;0,Bestellungen!$A353,"")</f>
        <v/>
      </c>
      <c r="U353" s="26" t="str">
        <f t="shared" si="10"/>
        <v/>
      </c>
    </row>
    <row r="354" spans="1:21" x14ac:dyDescent="0.25">
      <c r="A354" t="str">
        <f>IF(LEN(Bestellungen!$A354)&gt;0,Bestellungen!$A354,"")</f>
        <v/>
      </c>
      <c r="U354" s="26" t="str">
        <f t="shared" si="10"/>
        <v/>
      </c>
    </row>
    <row r="355" spans="1:21" x14ac:dyDescent="0.25">
      <c r="A355" t="str">
        <f>IF(LEN(Bestellungen!$A355)&gt;0,Bestellungen!$A355,"")</f>
        <v/>
      </c>
      <c r="U355" s="26" t="str">
        <f t="shared" si="10"/>
        <v/>
      </c>
    </row>
    <row r="356" spans="1:21" x14ac:dyDescent="0.25">
      <c r="A356" t="str">
        <f>IF(LEN(Bestellungen!$A356)&gt;0,Bestellungen!$A356,"")</f>
        <v/>
      </c>
      <c r="U356" s="26" t="str">
        <f t="shared" si="10"/>
        <v/>
      </c>
    </row>
    <row r="357" spans="1:21" x14ac:dyDescent="0.25">
      <c r="A357" t="str">
        <f>IF(LEN(Bestellungen!$A357)&gt;0,Bestellungen!$A357,"")</f>
        <v/>
      </c>
      <c r="U357" s="26" t="str">
        <f t="shared" si="10"/>
        <v/>
      </c>
    </row>
    <row r="358" spans="1:21" x14ac:dyDescent="0.25">
      <c r="A358" t="str">
        <f>IF(LEN(Bestellungen!$A358)&gt;0,Bestellungen!$A358,"")</f>
        <v/>
      </c>
      <c r="U358" s="26" t="str">
        <f t="shared" si="10"/>
        <v/>
      </c>
    </row>
    <row r="359" spans="1:21" x14ac:dyDescent="0.25">
      <c r="A359" t="str">
        <f>IF(LEN(Bestellungen!$A359)&gt;0,Bestellungen!$A359,"")</f>
        <v/>
      </c>
      <c r="U359" s="26" t="str">
        <f t="shared" si="10"/>
        <v/>
      </c>
    </row>
    <row r="360" spans="1:21" x14ac:dyDescent="0.25">
      <c r="A360" t="str">
        <f>IF(LEN(Bestellungen!$A360)&gt;0,Bestellungen!$A360,"")</f>
        <v/>
      </c>
      <c r="U360" s="26" t="str">
        <f t="shared" si="10"/>
        <v/>
      </c>
    </row>
    <row r="361" spans="1:21" x14ac:dyDescent="0.25">
      <c r="A361" t="str">
        <f>IF(LEN(Bestellungen!$A361)&gt;0,Bestellungen!$A361,"")</f>
        <v/>
      </c>
      <c r="U361" s="26" t="str">
        <f t="shared" si="10"/>
        <v/>
      </c>
    </row>
    <row r="362" spans="1:21" x14ac:dyDescent="0.25">
      <c r="A362" t="str">
        <f>IF(LEN(Bestellungen!$A362)&gt;0,Bestellungen!$A362,"")</f>
        <v/>
      </c>
      <c r="U362" s="26" t="str">
        <f t="shared" si="10"/>
        <v/>
      </c>
    </row>
    <row r="363" spans="1:21" x14ac:dyDescent="0.25">
      <c r="A363" t="str">
        <f>IF(LEN(Bestellungen!$A363)&gt;0,Bestellungen!$A363,"")</f>
        <v/>
      </c>
      <c r="U363" s="26" t="str">
        <f t="shared" si="10"/>
        <v/>
      </c>
    </row>
    <row r="364" spans="1:21" x14ac:dyDescent="0.25">
      <c r="A364" t="str">
        <f>IF(LEN(Bestellungen!$A364)&gt;0,Bestellungen!$A364,"")</f>
        <v/>
      </c>
      <c r="U364" s="26" t="str">
        <f t="shared" si="10"/>
        <v/>
      </c>
    </row>
    <row r="365" spans="1:21" x14ac:dyDescent="0.25">
      <c r="A365" t="str">
        <f>IF(LEN(Bestellungen!$A365)&gt;0,Bestellungen!$A365,"")</f>
        <v/>
      </c>
      <c r="U365" s="26" t="str">
        <f t="shared" si="10"/>
        <v/>
      </c>
    </row>
    <row r="366" spans="1:21" x14ac:dyDescent="0.25">
      <c r="A366" t="str">
        <f>IF(LEN(Bestellungen!$A366)&gt;0,Bestellungen!$A366,"")</f>
        <v/>
      </c>
      <c r="U366" s="26" t="str">
        <f t="shared" si="10"/>
        <v/>
      </c>
    </row>
    <row r="367" spans="1:21" x14ac:dyDescent="0.25">
      <c r="A367" t="str">
        <f>IF(LEN(Bestellungen!$A367)&gt;0,Bestellungen!$A367,"")</f>
        <v/>
      </c>
      <c r="U367" s="26" t="str">
        <f t="shared" si="10"/>
        <v/>
      </c>
    </row>
    <row r="368" spans="1:21" x14ac:dyDescent="0.25">
      <c r="A368" t="str">
        <f>IF(LEN(Bestellungen!$A368)&gt;0,Bestellungen!$A368,"")</f>
        <v/>
      </c>
      <c r="U368" s="26" t="str">
        <f t="shared" si="10"/>
        <v/>
      </c>
    </row>
    <row r="369" spans="1:21" x14ac:dyDescent="0.25">
      <c r="A369" t="str">
        <f>IF(LEN(Bestellungen!$A369)&gt;0,Bestellungen!$A369,"")</f>
        <v/>
      </c>
      <c r="U369" s="26" t="str">
        <f t="shared" si="10"/>
        <v/>
      </c>
    </row>
    <row r="370" spans="1:21" x14ac:dyDescent="0.25">
      <c r="A370" t="str">
        <f>IF(LEN(Bestellungen!$A370)&gt;0,Bestellungen!$A370,"")</f>
        <v/>
      </c>
      <c r="U370" s="26" t="str">
        <f t="shared" si="10"/>
        <v/>
      </c>
    </row>
    <row r="371" spans="1:21" x14ac:dyDescent="0.25">
      <c r="A371" t="str">
        <f>IF(LEN(Bestellungen!$A371)&gt;0,Bestellungen!$A371,"")</f>
        <v/>
      </c>
      <c r="U371" s="26" t="str">
        <f t="shared" si="10"/>
        <v/>
      </c>
    </row>
    <row r="372" spans="1:21" x14ac:dyDescent="0.25">
      <c r="A372" t="str">
        <f>IF(LEN(Bestellungen!$A372)&gt;0,Bestellungen!$A372,"")</f>
        <v/>
      </c>
      <c r="U372" s="26" t="str">
        <f t="shared" si="10"/>
        <v/>
      </c>
    </row>
    <row r="373" spans="1:21" x14ac:dyDescent="0.25">
      <c r="A373" t="str">
        <f>IF(LEN(Bestellungen!$A373)&gt;0,Bestellungen!$A373,"")</f>
        <v/>
      </c>
      <c r="U373" s="26" t="str">
        <f t="shared" si="10"/>
        <v/>
      </c>
    </row>
    <row r="374" spans="1:21" x14ac:dyDescent="0.25">
      <c r="A374" t="str">
        <f>IF(LEN(Bestellungen!$A374)&gt;0,Bestellungen!$A374,"")</f>
        <v/>
      </c>
      <c r="U374" s="26" t="str">
        <f t="shared" si="10"/>
        <v/>
      </c>
    </row>
    <row r="375" spans="1:21" x14ac:dyDescent="0.25">
      <c r="A375" t="str">
        <f>IF(LEN(Bestellungen!$A375)&gt;0,Bestellungen!$A375,"")</f>
        <v/>
      </c>
      <c r="U375" s="26" t="str">
        <f t="shared" si="10"/>
        <v/>
      </c>
    </row>
    <row r="376" spans="1:21" x14ac:dyDescent="0.25">
      <c r="A376" t="str">
        <f>IF(LEN(Bestellungen!$A376)&gt;0,Bestellungen!$A376,"")</f>
        <v/>
      </c>
      <c r="U376" s="26" t="str">
        <f t="shared" si="10"/>
        <v/>
      </c>
    </row>
    <row r="377" spans="1:21" x14ac:dyDescent="0.25">
      <c r="A377" t="str">
        <f>IF(LEN(Bestellungen!$A377)&gt;0,Bestellungen!$A377,"")</f>
        <v/>
      </c>
      <c r="U377" s="26" t="str">
        <f t="shared" si="10"/>
        <v/>
      </c>
    </row>
    <row r="378" spans="1:21" x14ac:dyDescent="0.25">
      <c r="A378" t="str">
        <f>IF(LEN(Bestellungen!$A378)&gt;0,Bestellungen!$A378,"")</f>
        <v/>
      </c>
      <c r="U378" s="26" t="str">
        <f t="shared" si="10"/>
        <v/>
      </c>
    </row>
    <row r="379" spans="1:21" x14ac:dyDescent="0.25">
      <c r="A379" t="str">
        <f>IF(LEN(Bestellungen!$A379)&gt;0,Bestellungen!$A379,"")</f>
        <v/>
      </c>
      <c r="U379" s="26" t="str">
        <f t="shared" si="10"/>
        <v/>
      </c>
    </row>
    <row r="380" spans="1:21" x14ac:dyDescent="0.25">
      <c r="A380" t="str">
        <f>IF(LEN(Bestellungen!$A380)&gt;0,Bestellungen!$A380,"")</f>
        <v/>
      </c>
      <c r="U380" s="26" t="str">
        <f t="shared" si="10"/>
        <v/>
      </c>
    </row>
    <row r="381" spans="1:21" x14ac:dyDescent="0.25">
      <c r="A381" t="str">
        <f>IF(LEN(Bestellungen!$A381)&gt;0,Bestellungen!$A381,"")</f>
        <v/>
      </c>
      <c r="U381" s="26" t="str">
        <f t="shared" si="10"/>
        <v/>
      </c>
    </row>
    <row r="382" spans="1:21" x14ac:dyDescent="0.25">
      <c r="A382" t="str">
        <f>IF(LEN(Bestellungen!$A382)&gt;0,Bestellungen!$A382,"")</f>
        <v/>
      </c>
      <c r="U382" s="26" t="str">
        <f t="shared" si="10"/>
        <v/>
      </c>
    </row>
    <row r="383" spans="1:21" x14ac:dyDescent="0.25">
      <c r="A383" t="str">
        <f>IF(LEN(Bestellungen!$A383)&gt;0,Bestellungen!$A383,"")</f>
        <v/>
      </c>
      <c r="U383" s="26" t="str">
        <f t="shared" si="10"/>
        <v/>
      </c>
    </row>
    <row r="384" spans="1:21" x14ac:dyDescent="0.25">
      <c r="A384" t="str">
        <f>IF(LEN(Bestellungen!$A384)&gt;0,Bestellungen!$A384,"")</f>
        <v/>
      </c>
      <c r="U384" s="26" t="str">
        <f t="shared" si="10"/>
        <v/>
      </c>
    </row>
    <row r="385" spans="1:21" x14ac:dyDescent="0.25">
      <c r="A385" t="str">
        <f>IF(LEN(Bestellungen!$A385)&gt;0,Bestellungen!$A385,"")</f>
        <v/>
      </c>
      <c r="U385" s="26" t="str">
        <f t="shared" si="10"/>
        <v/>
      </c>
    </row>
    <row r="386" spans="1:21" x14ac:dyDescent="0.25">
      <c r="A386" t="str">
        <f>IF(LEN(Bestellungen!$A386)&gt;0,Bestellungen!$A386,"")</f>
        <v/>
      </c>
      <c r="U386" s="26" t="str">
        <f t="shared" si="10"/>
        <v/>
      </c>
    </row>
    <row r="387" spans="1:21" x14ac:dyDescent="0.25">
      <c r="A387" t="str">
        <f>IF(LEN(Bestellungen!$A387)&gt;0,Bestellungen!$A387,"")</f>
        <v/>
      </c>
      <c r="U387" s="26" t="str">
        <f t="shared" si="10"/>
        <v/>
      </c>
    </row>
    <row r="388" spans="1:21" x14ac:dyDescent="0.25">
      <c r="A388" t="str">
        <f>IF(LEN(Bestellungen!$A388)&gt;0,Bestellungen!$A388,"")</f>
        <v/>
      </c>
      <c r="U388" s="26" t="str">
        <f t="shared" si="10"/>
        <v/>
      </c>
    </row>
    <row r="389" spans="1:21" x14ac:dyDescent="0.25">
      <c r="A389" t="str">
        <f>IF(LEN(Bestellungen!$A389)&gt;0,Bestellungen!$A389,"")</f>
        <v/>
      </c>
      <c r="U389" s="26" t="str">
        <f t="shared" si="10"/>
        <v/>
      </c>
    </row>
    <row r="390" spans="1:21" x14ac:dyDescent="0.25">
      <c r="A390" t="str">
        <f>IF(LEN(Bestellungen!$A390)&gt;0,Bestellungen!$A390,"")</f>
        <v/>
      </c>
      <c r="U390" s="26" t="str">
        <f t="shared" si="10"/>
        <v/>
      </c>
    </row>
    <row r="391" spans="1:21" x14ac:dyDescent="0.25">
      <c r="A391" t="str">
        <f>IF(LEN(Bestellungen!$A391)&gt;0,Bestellungen!$A391,"")</f>
        <v/>
      </c>
      <c r="U391" s="26" t="str">
        <f t="shared" ref="U391:U415" si="11">IF(COUNT(B391:M391)&gt;0,SUM(B391:M391),"")</f>
        <v/>
      </c>
    </row>
    <row r="392" spans="1:21" x14ac:dyDescent="0.25">
      <c r="A392" t="str">
        <f>IF(LEN(Bestellungen!$A392)&gt;0,Bestellungen!$A392,"")</f>
        <v/>
      </c>
      <c r="U392" s="26" t="str">
        <f t="shared" si="11"/>
        <v/>
      </c>
    </row>
    <row r="393" spans="1:21" x14ac:dyDescent="0.25">
      <c r="A393" t="str">
        <f>IF(LEN(Bestellungen!$A393)&gt;0,Bestellungen!$A393,"")</f>
        <v/>
      </c>
      <c r="U393" s="26" t="str">
        <f t="shared" si="11"/>
        <v/>
      </c>
    </row>
    <row r="394" spans="1:21" x14ac:dyDescent="0.25">
      <c r="A394" t="str">
        <f>IF(LEN(Bestellungen!$A394)&gt;0,Bestellungen!$A394,"")</f>
        <v/>
      </c>
      <c r="U394" s="26" t="str">
        <f t="shared" si="11"/>
        <v/>
      </c>
    </row>
    <row r="395" spans="1:21" x14ac:dyDescent="0.25">
      <c r="A395" t="str">
        <f>IF(LEN(Bestellungen!$A395)&gt;0,Bestellungen!$A395,"")</f>
        <v/>
      </c>
      <c r="U395" s="26" t="str">
        <f t="shared" si="11"/>
        <v/>
      </c>
    </row>
    <row r="396" spans="1:21" x14ac:dyDescent="0.25">
      <c r="A396" t="str">
        <f>IF(LEN(Bestellungen!$A396)&gt;0,Bestellungen!$A396,"")</f>
        <v/>
      </c>
      <c r="U396" s="26" t="str">
        <f t="shared" si="11"/>
        <v/>
      </c>
    </row>
    <row r="397" spans="1:21" x14ac:dyDescent="0.25">
      <c r="A397" t="str">
        <f>IF(LEN(Bestellungen!$A397)&gt;0,Bestellungen!$A397,"")</f>
        <v/>
      </c>
      <c r="U397" s="26" t="str">
        <f t="shared" si="11"/>
        <v/>
      </c>
    </row>
    <row r="398" spans="1:21" x14ac:dyDescent="0.25">
      <c r="A398" t="str">
        <f>IF(LEN(Bestellungen!$A398)&gt;0,Bestellungen!$A398,"")</f>
        <v/>
      </c>
      <c r="U398" s="26" t="str">
        <f t="shared" si="11"/>
        <v/>
      </c>
    </row>
    <row r="399" spans="1:21" x14ac:dyDescent="0.25">
      <c r="A399" t="str">
        <f>IF(LEN(Bestellungen!$A399)&gt;0,Bestellungen!$A399,"")</f>
        <v/>
      </c>
      <c r="U399" s="26" t="str">
        <f t="shared" si="11"/>
        <v/>
      </c>
    </row>
    <row r="400" spans="1:21" x14ac:dyDescent="0.25">
      <c r="A400" t="str">
        <f>IF(LEN(Bestellungen!$A400)&gt;0,Bestellungen!$A400,"")</f>
        <v/>
      </c>
      <c r="U400" s="26" t="str">
        <f t="shared" si="11"/>
        <v/>
      </c>
    </row>
    <row r="401" spans="1:21" x14ac:dyDescent="0.25">
      <c r="A401" t="str">
        <f>IF(LEN(Bestellungen!$A401)&gt;0,Bestellungen!$A401,"")</f>
        <v/>
      </c>
      <c r="U401" s="26" t="str">
        <f t="shared" si="11"/>
        <v/>
      </c>
    </row>
    <row r="402" spans="1:21" x14ac:dyDescent="0.25">
      <c r="A402" t="str">
        <f>IF(LEN(Bestellungen!$A402)&gt;0,Bestellungen!$A402,"")</f>
        <v/>
      </c>
      <c r="U402" s="26" t="str">
        <f t="shared" si="11"/>
        <v/>
      </c>
    </row>
    <row r="403" spans="1:21" x14ac:dyDescent="0.25">
      <c r="A403" t="str">
        <f>IF(LEN(Bestellungen!$A403)&gt;0,Bestellungen!$A403,"")</f>
        <v/>
      </c>
      <c r="U403" s="26" t="str">
        <f t="shared" si="11"/>
        <v/>
      </c>
    </row>
    <row r="404" spans="1:21" x14ac:dyDescent="0.25">
      <c r="A404" t="str">
        <f>IF(LEN(Bestellungen!$A404)&gt;0,Bestellungen!$A404,"")</f>
        <v/>
      </c>
      <c r="U404" s="26" t="str">
        <f t="shared" si="11"/>
        <v/>
      </c>
    </row>
    <row r="405" spans="1:21" x14ac:dyDescent="0.25">
      <c r="A405" t="str">
        <f>IF(LEN(Bestellungen!$A405)&gt;0,Bestellungen!$A405,"")</f>
        <v/>
      </c>
      <c r="U405" s="26" t="str">
        <f t="shared" si="11"/>
        <v/>
      </c>
    </row>
    <row r="406" spans="1:21" x14ac:dyDescent="0.25">
      <c r="A406" t="str">
        <f>IF(LEN(Bestellungen!$A406)&gt;0,Bestellungen!$A406,"")</f>
        <v/>
      </c>
      <c r="U406" s="26" t="str">
        <f t="shared" si="11"/>
        <v/>
      </c>
    </row>
    <row r="407" spans="1:21" x14ac:dyDescent="0.25">
      <c r="A407" t="str">
        <f>IF(LEN(Bestellungen!$A407)&gt;0,Bestellungen!$A407,"")</f>
        <v/>
      </c>
      <c r="U407" s="26" t="str">
        <f t="shared" si="11"/>
        <v/>
      </c>
    </row>
    <row r="408" spans="1:21" x14ac:dyDescent="0.25">
      <c r="A408" t="str">
        <f>IF(LEN(Bestellungen!$A408)&gt;0,Bestellungen!$A408,"")</f>
        <v/>
      </c>
      <c r="U408" s="26" t="str">
        <f t="shared" si="11"/>
        <v/>
      </c>
    </row>
    <row r="409" spans="1:21" x14ac:dyDescent="0.25">
      <c r="A409" t="str">
        <f>IF(LEN(Bestellungen!$A409)&gt;0,Bestellungen!$A409,"")</f>
        <v/>
      </c>
      <c r="U409" s="26" t="str">
        <f t="shared" si="11"/>
        <v/>
      </c>
    </row>
    <row r="410" spans="1:21" x14ac:dyDescent="0.25">
      <c r="A410" t="str">
        <f>IF(LEN(Bestellungen!$A410)&gt;0,Bestellungen!$A410,"")</f>
        <v/>
      </c>
      <c r="U410" s="26" t="str">
        <f t="shared" si="11"/>
        <v/>
      </c>
    </row>
    <row r="411" spans="1:21" x14ac:dyDescent="0.25">
      <c r="A411" t="str">
        <f>IF(LEN(Bestellungen!$A411)&gt;0,Bestellungen!$A411,"")</f>
        <v/>
      </c>
      <c r="U411" s="26" t="str">
        <f t="shared" si="11"/>
        <v/>
      </c>
    </row>
    <row r="412" spans="1:21" x14ac:dyDescent="0.25">
      <c r="A412" t="str">
        <f>IF(LEN(Bestellungen!$A412)&gt;0,Bestellungen!$A412,"")</f>
        <v/>
      </c>
      <c r="U412" s="26" t="str">
        <f t="shared" si="11"/>
        <v/>
      </c>
    </row>
    <row r="413" spans="1:21" x14ac:dyDescent="0.25">
      <c r="A413" t="str">
        <f>IF(LEN(Bestellungen!$A413)&gt;0,Bestellungen!$A413,"")</f>
        <v/>
      </c>
      <c r="U413" s="26" t="str">
        <f t="shared" si="11"/>
        <v/>
      </c>
    </row>
    <row r="414" spans="1:21" x14ac:dyDescent="0.25">
      <c r="A414" t="str">
        <f>IF(LEN(Bestellungen!$A414)&gt;0,Bestellungen!$A414,"")</f>
        <v/>
      </c>
      <c r="U414" s="26" t="str">
        <f t="shared" si="11"/>
        <v/>
      </c>
    </row>
    <row r="415" spans="1:21" x14ac:dyDescent="0.25">
      <c r="A415" t="str">
        <f>IF(LEN(Bestellungen!$A415)&gt;0,Bestellungen!$A415,"")</f>
        <v/>
      </c>
      <c r="U415" s="26" t="str">
        <f t="shared" si="11"/>
        <v/>
      </c>
    </row>
    <row r="416" spans="1:21" x14ac:dyDescent="0.25">
      <c r="A416" t="str">
        <f>IF(LEN(Bestellungen!$A416)&gt;0,Bestellungen!$A416,"")</f>
        <v/>
      </c>
    </row>
    <row r="417" spans="1:13" x14ac:dyDescent="0.25">
      <c r="A417" t="str">
        <f>IF(LEN(Bestellungen!$A417)&gt;0,Bestellungen!$A417,"")</f>
        <v/>
      </c>
    </row>
    <row r="418" spans="1:13" x14ac:dyDescent="0.25">
      <c r="A418" t="str">
        <f>IF(LEN(Bestellungen!$A418)&gt;0,Bestellungen!$A418,"")</f>
        <v/>
      </c>
    </row>
    <row r="419" spans="1:13" x14ac:dyDescent="0.25">
      <c r="A419" t="str">
        <f>IF(LEN(Bestellungen!$A419)&gt;0,Bestellungen!$A419,"")</f>
        <v/>
      </c>
    </row>
    <row r="420" spans="1:13" x14ac:dyDescent="0.25">
      <c r="A420" t="str">
        <f>IF(LEN(Bestellungen!$A420)&gt;0,Bestellungen!$A420,"")</f>
        <v/>
      </c>
    </row>
    <row r="421" spans="1:13" x14ac:dyDescent="0.25">
      <c r="A421" t="str">
        <f>IF(LEN(Bestellungen!$A421)&gt;0,Bestellungen!$A421,"")</f>
        <v/>
      </c>
    </row>
    <row r="422" spans="1:13" x14ac:dyDescent="0.25">
      <c r="A422" t="str">
        <f>IF(LEN(Bestellungen!$A422)&gt;0,Bestellungen!$A422,"")</f>
        <v/>
      </c>
    </row>
    <row r="423" spans="1:13" x14ac:dyDescent="0.25">
      <c r="A423" t="str">
        <f>IF(LEN(Bestellungen!$A423)&gt;0,Bestellungen!$A423,"")</f>
        <v/>
      </c>
    </row>
    <row r="424" spans="1:13" x14ac:dyDescent="0.25">
      <c r="A424" t="str">
        <f>IF(LEN(Bestellungen!$A424)&gt;0,Bestellungen!$A424,"")</f>
        <v/>
      </c>
    </row>
    <row r="425" spans="1:13" x14ac:dyDescent="0.25">
      <c r="A425" t="str">
        <f>IF(LEN(Bestellungen!$A425)&gt;0,Bestellungen!$A425,"")</f>
        <v/>
      </c>
    </row>
    <row r="426" spans="1:13" x14ac:dyDescent="0.25">
      <c r="A426" t="str">
        <f>IF(LEN(Bestellungen!$A426)&gt;0,Bestellungen!$A426,"")</f>
        <v/>
      </c>
    </row>
    <row r="427" spans="1:13" x14ac:dyDescent="0.25">
      <c r="A427" t="s">
        <v>48</v>
      </c>
      <c r="B427" s="26">
        <v>2</v>
      </c>
      <c r="C427" s="26">
        <v>1</v>
      </c>
      <c r="D427" s="26">
        <v>11</v>
      </c>
      <c r="E427" s="26">
        <v>2</v>
      </c>
      <c r="G427" s="26">
        <v>8</v>
      </c>
      <c r="H427" s="26">
        <v>7</v>
      </c>
      <c r="I427" s="26">
        <v>6</v>
      </c>
      <c r="J427" s="26">
        <v>5</v>
      </c>
      <c r="K427" s="26">
        <v>4</v>
      </c>
      <c r="L427" s="26">
        <v>8</v>
      </c>
      <c r="M427" s="26">
        <v>3</v>
      </c>
    </row>
  </sheetData>
  <conditionalFormatting sqref="A6:W426">
    <cfRule type="expression" dxfId="0" priority="1">
      <formula>AND(MOD(COUNTA($A$6:$A6),2)=1,LEN($A6)&gt;0)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Schaltfläche11_Klicken">
                <anchor moveWithCells="1" sizeWithCells="1">
                  <from>
                    <xdr:col>2</xdr:col>
                    <xdr:colOff>9525</xdr:colOff>
                    <xdr:row>0</xdr:row>
                    <xdr:rowOff>180975</xdr:rowOff>
                  </from>
                  <to>
                    <xdr:col>3</xdr:col>
                    <xdr:colOff>752475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Kunden!#REF!</xm:f>
          </x14:formula1>
          <xm:sqref>A6:A426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3</vt:i4>
      </vt:variant>
    </vt:vector>
  </HeadingPairs>
  <TitlesOfParts>
    <vt:vector size="10" baseType="lpstr">
      <vt:lpstr>Rezepte</vt:lpstr>
      <vt:lpstr>Kunden</vt:lpstr>
      <vt:lpstr>Bestellungen</vt:lpstr>
      <vt:lpstr>Kalkulation</vt:lpstr>
      <vt:lpstr>Materialpreise</vt:lpstr>
      <vt:lpstr>Produktionsmenge</vt:lpstr>
      <vt:lpstr>Kasse</vt:lpstr>
      <vt:lpstr>Kalkulationspreise</vt:lpstr>
      <vt:lpstr>Materialpreise</vt:lpstr>
      <vt:lpstr>Rezepte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</dc:creator>
  <cp:lastModifiedBy>Stephan Ulbricht</cp:lastModifiedBy>
  <dcterms:created xsi:type="dcterms:W3CDTF">2017-02-10T06:37:47Z</dcterms:created>
  <dcterms:modified xsi:type="dcterms:W3CDTF">2018-04-24T06:24:40Z</dcterms:modified>
</cp:coreProperties>
</file>